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TA GUPTA\Downloads\"/>
    </mc:Choice>
  </mc:AlternateContent>
  <xr:revisionPtr revIDLastSave="0" documentId="13_ncr:1_{31941C37-A544-4842-9308-134CB662D90F}" xr6:coauthVersionLast="47" xr6:coauthVersionMax="47" xr10:uidLastSave="{00000000-0000-0000-0000-000000000000}"/>
  <bookViews>
    <workbookView xWindow="-108" yWindow="-108" windowWidth="23256" windowHeight="12456" activeTab="5" xr2:uid="{93099F2B-7E6C-4BA9-95A4-BEF44B4C6E23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Final Analysis" sheetId="7" r:id="rId6"/>
    <sheet name="Pivot Table" sheetId="8" r:id="rId7"/>
  </sheets>
  <definedNames>
    <definedName name="_xlnm._FilterDatabase" localSheetId="5" hidden="1">'Final Analysis'!$A$1:$AT$1009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2" i="7"/>
  <c r="K7" i="8"/>
  <c r="K6" i="8"/>
  <c r="K5" i="8"/>
  <c r="J7" i="8"/>
  <c r="J6" i="8"/>
  <c r="J5" i="8"/>
</calcChain>
</file>

<file path=xl/sharedStrings.xml><?xml version="1.0" encoding="utf-8"?>
<sst xmlns="http://schemas.openxmlformats.org/spreadsheetml/2006/main" count="27383" uniqueCount="115">
  <si>
    <t>word</t>
  </si>
  <si>
    <t>word_type</t>
  </si>
  <si>
    <t>color</t>
  </si>
  <si>
    <t>stim_condition</t>
  </si>
  <si>
    <t>correct_resp</t>
  </si>
  <si>
    <t>thisN</t>
  </si>
  <si>
    <t>thisTrialN</t>
  </si>
  <si>
    <t>thisRepN</t>
  </si>
  <si>
    <t>resp.keys</t>
  </si>
  <si>
    <t>resp.corr</t>
  </si>
  <si>
    <t>resp.rt</t>
  </si>
  <si>
    <t>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</si>
  <si>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</si>
  <si>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</si>
  <si>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</si>
  <si>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</si>
  <si>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</si>
  <si>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</si>
  <si>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</si>
  <si>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instr_text.started</t>
  </si>
  <si>
    <t>Instructions.stopped</t>
  </si>
  <si>
    <t>trial.started</t>
  </si>
  <si>
    <t>fixation.started</t>
  </si>
  <si>
    <t>fixation.stopped</t>
  </si>
  <si>
    <t>word_stim.started</t>
  </si>
  <si>
    <t>resp.started</t>
  </si>
  <si>
    <t>trial.stopped</t>
  </si>
  <si>
    <t>trials.resp.keys</t>
  </si>
  <si>
    <t>trials.resp.corr</t>
  </si>
  <si>
    <t>trials.resp.rt</t>
  </si>
  <si>
    <t>trials.resp.duration</t>
  </si>
  <si>
    <t>Thanks.started</t>
  </si>
  <si>
    <t>text.started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</si>
  <si>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</si>
  <si>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</si>
  <si>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</si>
  <si>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</si>
  <si>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</si>
  <si>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</si>
  <si>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</si>
  <si>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</si>
  <si>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</si>
  <si>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2025-11-18_20h03.11.027</t>
  </si>
  <si>
    <t>emotional stroop_untitled</t>
  </si>
  <si>
    <t>2025.1.1</t>
  </si>
  <si>
    <t>2025-11-18 20h03.45.044066 +0530</t>
  </si>
  <si>
    <t>Stone</t>
  </si>
  <si>
    <t>neutral</t>
  </si>
  <si>
    <t>yellow</t>
  </si>
  <si>
    <t>I</t>
  </si>
  <si>
    <t>y</t>
  </si>
  <si>
    <t>None</t>
  </si>
  <si>
    <t>Pencil</t>
  </si>
  <si>
    <t>green</t>
  </si>
  <si>
    <t>g</t>
  </si>
  <si>
    <t>Table</t>
  </si>
  <si>
    <t>blue</t>
  </si>
  <si>
    <t>b</t>
  </si>
  <si>
    <t>Sadness</t>
  </si>
  <si>
    <t>emotional</t>
  </si>
  <si>
    <t>Fear</t>
  </si>
  <si>
    <t>red</t>
  </si>
  <si>
    <t>C</t>
  </si>
  <si>
    <t>r</t>
  </si>
  <si>
    <t>Road</t>
  </si>
  <si>
    <t>Violence</t>
  </si>
  <si>
    <t>Window</t>
  </si>
  <si>
    <t>Chair</t>
  </si>
  <si>
    <t>Injury</t>
  </si>
  <si>
    <t>Threat</t>
  </si>
  <si>
    <t>Death</t>
  </si>
  <si>
    <t>Paper</t>
  </si>
  <si>
    <t>Anger</t>
  </si>
  <si>
    <t>Pain</t>
  </si>
  <si>
    <t>Bottle</t>
  </si>
  <si>
    <t>Garden</t>
  </si>
  <si>
    <t>Panic</t>
  </si>
  <si>
    <t>Abuse</t>
  </si>
  <si>
    <t>Book</t>
  </si>
  <si>
    <t>text.stopped</t>
  </si>
  <si>
    <t>2025-11-18_20h17.36.442</t>
  </si>
  <si>
    <t>2025-11-18 20h17.41.541747 +0530</t>
  </si>
  <si>
    <t>2025-11-18_20h25.15.667</t>
  </si>
  <si>
    <t>2025-11-18 20h25.20.723610 +0530</t>
  </si>
  <si>
    <t>word_stim.stopped</t>
  </si>
  <si>
    <t>2025-11-19_00h51.47.577</t>
  </si>
  <si>
    <t>2025-11-19 00h51.53.024765 +0530</t>
  </si>
  <si>
    <t>2025-11-19_00h57.30.606</t>
  </si>
  <si>
    <t>2025-11-19 00h57.36.210315 +0530</t>
  </si>
  <si>
    <t>P1</t>
  </si>
  <si>
    <t>condition</t>
  </si>
  <si>
    <t>P2</t>
  </si>
  <si>
    <t>P3</t>
  </si>
  <si>
    <t>P4</t>
  </si>
  <si>
    <t>P5</t>
  </si>
  <si>
    <t>Grand Total</t>
  </si>
  <si>
    <t>Emotional-C</t>
  </si>
  <si>
    <t>Emotional-I</t>
  </si>
  <si>
    <t>Neutral</t>
  </si>
  <si>
    <t>(blank)</t>
  </si>
  <si>
    <t>Mean RTs</t>
  </si>
  <si>
    <t>P1 Total</t>
  </si>
  <si>
    <t>P2 Total</t>
  </si>
  <si>
    <t>P3 Total</t>
  </si>
  <si>
    <t>P4 Total</t>
  </si>
  <si>
    <t>P5 Total</t>
  </si>
  <si>
    <t>SD</t>
  </si>
  <si>
    <t>n</t>
  </si>
  <si>
    <t>emotional-c</t>
  </si>
  <si>
    <t>emotional-i</t>
  </si>
  <si>
    <t>SD of all</t>
  </si>
  <si>
    <t xml:space="preserve">Condition </t>
  </si>
  <si>
    <t>Mean of all</t>
  </si>
  <si>
    <t>Participant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</si>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</sst>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164" fontId="0" fillId="0" borderId="0" xfId="0" applyNumberFormat="1"/>
    <xf numFmtId="0" fontId="1" fillId="0" borderId="1" xfId="0" applyFont="1" applyBorder="1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Mean RTs Across All Participants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Table'!$J$4</c:f>
              <c:strCache>
                <c:ptCount val="1"/>
                <c:pt idx="0">
                  <c:v>Mean of 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'Pivot Table'!$K$5:$K$7</c:f>
                <c:numCache>
                  <c:formatCode>General</c:formatCode>
                  <c:ptCount val="3"/>
                  <c:pt idx="0">
                    <c:v>7.8923713960336372E-2</c:v>
                  </c:pt>
                  <c:pt idx="1">
                    <c:v>0.16156889376339928</c:v>
                  </c:pt>
                  <c:pt idx="2">
                    <c:v>0.1710031243379857</c:v>
                  </c:pt>
                </c:numCache>
              </c:numRef>
            </c:plus>
            <c:minus>
              <c:numRef>
                <c:f>'Pivot Table'!$K$5:$K$7</c:f>
                <c:numCache>
                  <c:formatCode>General</c:formatCode>
                  <c:ptCount val="3"/>
                  <c:pt idx="0">
                    <c:v>7.8923713960336372E-2</c:v>
                  </c:pt>
                  <c:pt idx="1">
                    <c:v>0.16156889376339928</c:v>
                  </c:pt>
                  <c:pt idx="2">
                    <c:v>0.1710031243379857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Table'!$I$5:$I$7</c:f>
              <c:strCache>
                <c:ptCount val="3"/>
                <c:pt idx="0">
                  <c:v>neutral</c:v>
                </c:pt>
                <c:pt idx="1">
                  <c:v>emotional-c</c:v>
                </c:pt>
                <c:pt idx="2">
                  <c:v>emotional-i</c:v>
                </c:pt>
              </c:strCache>
            </c:strRef>
          </c:cat>
          <c:val>
            <c:numRef>
              <c:f>'Pivot Table'!$J$5:$J$7</c:f>
              <c:numCache>
                <c:formatCode>General</c:formatCode>
                <c:ptCount val="3"/>
                <c:pt idx="0">
                  <c:v>0.79659457000030598</c:v>
                </c:pt>
                <c:pt idx="1">
                  <c:v>0.74091235599946148</c:v>
                </c:pt>
                <c:pt idx="2">
                  <c:v>0.85671643885584159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C-417B-B7F3-462C79E42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067248"/>
        <c:axId val="465068208"/>
      </c:barChart>
      <c:catAx>
        <c:axId val="46506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Conditions</a:t>
                </a:r>
              </a:p>
            </c:rich>
          </c:tx>
          <c:layout>
            <c:manualLayout>
              <c:xMode val="edge"/>
              <c:yMode val="edge"/>
              <c:x val="0.4877139107611548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68208"/>
        <c:crosses val="autoZero"/>
        <c:auto val="1"/>
        <c:lblAlgn val="ctr"/>
        <c:lblOffset val="100"/>
        <c:noMultiLvlLbl val="0"/>
      </c:catAx>
      <c:valAx>
        <c:axId val="46506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Mean Reaction Time (seconds)</a:t>
                </a:r>
                <a:endParaRPr lang="en-IN" baseline="0"/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4.7222222222222221E-2"/>
              <c:y val="0.130046296296296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6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Participant-wise Mean RTs Across Conditions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Table'!$R$5</c:f>
              <c:strCache>
                <c:ptCount val="1"/>
                <c:pt idx="0">
                  <c:v>P1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Table'!$S$4:$U$4</c:f>
              <c:strCache>
                <c:ptCount val="3"/>
                <c:pt idx="0">
                  <c:v>Neutral</c:v>
                </c:pt>
                <c:pt idx="1">
                  <c:v>Emotional-C</c:v>
                </c:pt>
                <c:pt idx="2">
                  <c:v>Emotional-I</c:v>
                </c:pt>
              </c:strCache>
            </c:strRef>
          </c:cat>
          <c:val>
            <c:numRef>
              <c:f>'Pivot Table'!$S$5:$U$5</c:f>
              <c:numCache>
                <c:formatCode>0.000</c:formatCode>
                <c:ptCount val="3"/>
                <c:pt idx="0">
                  <c:v>0.87312951900006619</c:v>
                </c:pt>
                <c:pt idx="1">
                  <c:v>0.86253098999149946</c:v>
                </c:pt>
                <c:pt idx="2">
                  <c:v>0.91540858428758809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12-4F83-9CCD-0FA9BDC60536}"/>
            </c:ext>
          </c:extLst>
        </c:ser>
        <c:ser>
          <c:idx val="1"/>
          <c:order val="1"/>
          <c:tx>
            <c:strRef>
              <c:f>'Pivot Table'!$R$6</c:f>
              <c:strCache>
                <c:ptCount val="1"/>
                <c:pt idx="0">
                  <c:v>P2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Table'!$S$4:$U$4</c:f>
              <c:strCache>
                <c:ptCount val="3"/>
                <c:pt idx="0">
                  <c:v>Neutral</c:v>
                </c:pt>
                <c:pt idx="1">
                  <c:v>Emotional-C</c:v>
                </c:pt>
                <c:pt idx="2">
                  <c:v>Emotional-I</c:v>
                </c:pt>
              </c:strCache>
            </c:strRef>
          </c:cat>
          <c:val>
            <c:numRef>
              <c:f>'Pivot Table'!$S$6:$U$6</c:f>
              <c:numCache>
                <c:formatCode>0.000</c:formatCode>
                <c:ptCount val="3"/>
                <c:pt idx="0">
                  <c:v>0.80398330599942658</c:v>
                </c:pt>
                <c:pt idx="1">
                  <c:v>0.86826942000576812</c:v>
                </c:pt>
                <c:pt idx="2">
                  <c:v>0.86472767142362672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12-4F83-9CCD-0FA9BDC60536}"/>
            </c:ext>
          </c:extLst>
        </c:ser>
        <c:ser>
          <c:idx val="2"/>
          <c:order val="2"/>
          <c:tx>
            <c:strRef>
              <c:f>'Pivot Table'!$R$7</c:f>
              <c:strCache>
                <c:ptCount val="1"/>
                <c:pt idx="0">
                  <c:v>P3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Table'!$S$4:$U$4</c:f>
              <c:strCache>
                <c:ptCount val="3"/>
                <c:pt idx="0">
                  <c:v>Neutral</c:v>
                </c:pt>
                <c:pt idx="1">
                  <c:v>Emotional-C</c:v>
                </c:pt>
                <c:pt idx="2">
                  <c:v>Emotional-I</c:v>
                </c:pt>
              </c:strCache>
            </c:strRef>
          </c:cat>
          <c:val>
            <c:numRef>
              <c:f>'Pivot Table'!$S$7:$U$7</c:f>
              <c:numCache>
                <c:formatCode>0.000</c:formatCode>
                <c:ptCount val="3"/>
                <c:pt idx="0">
                  <c:v>0.81968688000226309</c:v>
                </c:pt>
                <c:pt idx="1">
                  <c:v>0.65031127333058925</c:v>
                </c:pt>
                <c:pt idx="2">
                  <c:v>0.80802682714586571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12-4F83-9CCD-0FA9BDC60536}"/>
            </c:ext>
          </c:extLst>
        </c:ser>
        <c:ser>
          <c:idx val="3"/>
          <c:order val="3"/>
          <c:tx>
            <c:strRef>
              <c:f>'Pivot Table'!$R$8</c:f>
              <c:strCache>
                <c:ptCount val="1"/>
                <c:pt idx="0">
                  <c:v>P4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Table'!$S$4:$U$4</c:f>
              <c:strCache>
                <c:ptCount val="3"/>
                <c:pt idx="0">
                  <c:v>Neutral</c:v>
                </c:pt>
                <c:pt idx="1">
                  <c:v>Emotional-C</c:v>
                </c:pt>
                <c:pt idx="2">
                  <c:v>Emotional-I</c:v>
                </c:pt>
              </c:strCache>
            </c:strRef>
          </c:cat>
          <c:val>
            <c:numRef>
              <c:f>'Pivot Table'!$S$8:$U$8</c:f>
              <c:numCache>
                <c:formatCode>0.000</c:formatCode>
                <c:ptCount val="3"/>
                <c:pt idx="0">
                  <c:v>0.77503063400159533</c:v>
                </c:pt>
                <c:pt idx="1">
                  <c:v>0.63278054667171035</c:v>
                </c:pt>
                <c:pt idx="2">
                  <c:v>0.91307089285775223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12-4F83-9CCD-0FA9BDC60536}"/>
            </c:ext>
          </c:extLst>
        </c:ser>
        <c:ser>
          <c:idx val="4"/>
          <c:order val="4"/>
          <c:tx>
            <c:strRef>
              <c:f>'Pivot Table'!$R$9</c:f>
              <c:strCache>
                <c:ptCount val="1"/>
                <c:pt idx="0">
                  <c:v>P5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'Pivot Table'!$S$4:$U$4</c:f>
              <c:strCache>
                <c:ptCount val="3"/>
                <c:pt idx="0">
                  <c:v>Neutral</c:v>
                </c:pt>
                <c:pt idx="1">
                  <c:v>Emotional-C</c:v>
                </c:pt>
                <c:pt idx="2">
                  <c:v>Emotional-I</c:v>
                </c:pt>
              </c:strCache>
            </c:strRef>
          </c:cat>
          <c:val>
            <c:numRef>
              <c:f>'Pivot Table'!$S$9:$U$9</c:f>
              <c:numCache>
                <c:formatCode>0.000</c:formatCode>
                <c:ptCount val="3"/>
                <c:pt idx="0">
                  <c:v>0.7111425109981786</c:v>
                </c:pt>
                <c:pt idx="1">
                  <c:v>0.69066954999774033</c:v>
                </c:pt>
                <c:pt idx="2">
                  <c:v>0.78234821856437542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12-4F83-9CCD-0FA9BDC60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6956592"/>
        <c:axId val="1806955152"/>
      </c:lineChart>
      <c:catAx>
        <c:axId val="1806956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Conditions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955152"/>
        <c:crosses val="autoZero"/>
        <c:auto val="1"/>
        <c:lblAlgn val="ctr"/>
        <c:lblOffset val="100"/>
        <c:noMultiLvlLbl val="0"/>
      </c:catAx>
      <c:valAx>
        <c:axId val="180695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Reaction</a:t>
                </a:r>
                <a:r>
                  <a:rPr lang="en-IN" b="1" baseline="0"/>
                  <a:t> Time (seconds)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95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8</xdr:row>
      <xdr:rowOff>148590</xdr:rowOff>
    </xdr:from>
    <xdr:to>
      <xdr:col>13</xdr:col>
      <xdr:colOff>457200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003A6C-F11A-BACE-7A3A-633520356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344021</xdr:colOff>
      <xdr:row>11</xdr:row>
      <xdr:rowOff>6534</xdr:rowOff>
    </xdr:from>
    <xdr:to>
      <xdr:col>23</xdr:col>
      <xdr:colOff>32558</xdr:colOff>
      <xdr:row>26</xdr:row>
      <xdr:rowOff>46078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B6D7FD-4951-59E1-2CC6-138014E67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TA GUPTA" refreshedDate="45980.84047372685" createdVersion="8" refreshedVersion="8" minRefreshableVersion="3" recordCount="1008" xr:uid="{E38E6E69-D3F7-44EF-8FF2-509CACB824D5}">
  <cacheSource type="worksheet">
    <worksheetSource ref="A1:AT1009" sheet="Final Analysis"/>
  </cacheSource>
  <cacheFields count="45">
    <cacheField name="word_type" numFmtId="0">
      <sharedItems containsBlank="1"/>
    </cacheField>
    <cacheField name="stim_condition" numFmtId="0">
      <sharedItems containsBlank="1"/>
    </cacheField>
    <cacheField name="condition" numFmtId="0">
      <sharedItems containsBlank="1" count="5">
        <s v="Neutral"/>
        <s v="Emotional-I"/>
        <s v="Emotional-C"/>
        <s v=""/>
        <m/>
      </sharedItems>
    </cacheField>
    <cacheField name="word_type2" numFmtId="0">
      <sharedItems containsBlank="1"/>
    </cacheField>
    <cacheField name="color" numFmtId="0">
      <sharedItems containsBlank="1"/>
    </cacheField>
    <cacheField name="correct_resp" numFmtId="0">
      <sharedItems containsBlank="1"/>
    </cacheField>
    <cacheField name="thisN" numFmtId="0">
      <sharedItems containsString="0" containsBlank="1" containsNumber="1" containsInteger="1" minValue="0" maxValue="199"/>
    </cacheField>
    <cacheField name="thisTrialN" numFmtId="0">
      <sharedItems containsString="0" containsBlank="1" containsNumber="1" containsInteger="1" minValue="0" maxValue="19"/>
    </cacheField>
    <cacheField name="thisRepN" numFmtId="0">
      <sharedItems containsString="0" containsBlank="1" containsNumber="1" containsInteger="1" minValue="0" maxValue="9"/>
    </cacheField>
    <cacheField name="resp.keys" numFmtId="0">
      <sharedItems containsBlank="1"/>
    </cacheField>
    <cacheField name="resp.corr" numFmtId="0">
      <sharedItems containsString="0" containsBlank="1" containsNumber="1" containsInteger="1" minValue="0" maxValue="1"/>
    </cacheField>
    <cacheField name="resp.rt" numFmtId="0">
      <sharedItems containsString="0" containsBlank="1" containsNumber="1" minValue="0.366891099954955" maxValue="6.2667314999853199"/>
    </cacheField>
    <cacheField name="resp.duration" numFmtId="0">
      <sharedItems containsBlank="1"/>
    </cacheField>
    <cacheField name="trials.thisRepN" numFmtId="0">
      <sharedItems containsString="0" containsBlank="1" containsNumber="1" containsInteger="1" minValue="0" maxValue="9"/>
    </cacheField>
    <cacheField name="trials.thisTrialN" numFmtId="0">
      <sharedItems containsString="0" containsBlank="1" containsNumber="1" containsInteger="1" minValue="0" maxValue="19"/>
    </cacheField>
    <cacheField name="trials.thisN" numFmtId="0">
      <sharedItems containsString="0" containsBlank="1" containsNumber="1" containsInteger="1" minValue="0" maxValue="199"/>
    </cacheField>
    <cacheField name="trials.thisIndex" numFmtId="0">
      <sharedItems containsString="0" containsBlank="1" containsNumber="1" containsInteger="1" minValue="0" maxValue="19"/>
    </cacheField>
    <cacheField name="thisRow.t" numFmtId="0">
      <sharedItems containsString="0" containsBlank="1" containsNumber="1" minValue="2.0542469000210901" maxValue="282.06307510001301"/>
    </cacheField>
    <cacheField name="notes" numFmtId="0">
      <sharedItems containsNonDate="0" containsString="0" containsBlank="1"/>
    </cacheField>
    <cacheField name="Instructions.started" numFmtId="0">
      <sharedItems containsString="0" containsBlank="1" containsNumber="1" minValue="1.1019300029147401E-2" maxValue="2.50021000392735E-2"/>
    </cacheField>
    <cacheField name="instr_text.started" numFmtId="0">
      <sharedItems containsString="0" containsBlank="1" containsNumber="1" minValue="2.5215400033630399E-2" maxValue="3.8491000013891601E-2"/>
    </cacheField>
    <cacheField name="Instructions.stopped" numFmtId="0">
      <sharedItems containsString="0" containsBlank="1" containsNumber="1" minValue="2.0080251999897798" maxValue="2.0157962000230301"/>
    </cacheField>
    <cacheField name="trial.started" numFmtId="0">
      <sharedItems containsString="0" containsBlank="1" containsNumber="1" minValue="2.0372398000326899" maxValue="282.05255860002899"/>
    </cacheField>
    <cacheField name="fixation.started" numFmtId="0">
      <sharedItems containsString="0" containsBlank="1" containsNumber="1" minValue="2.0542469000210901" maxValue="282.06307510001301"/>
    </cacheField>
    <cacheField name="fixation.stopped" numFmtId="0">
      <sharedItems containsString="0" containsBlank="1" containsNumber="1" minValue="2.5048612999962598" maxValue="282.56325750000502"/>
    </cacheField>
    <cacheField name="word_stim.started" numFmtId="0">
      <sharedItems containsString="0" containsBlank="1" containsNumber="1" minValue="2.5048612999962598" maxValue="282.56325750000502"/>
    </cacheField>
    <cacheField name="resp.started" numFmtId="0">
      <sharedItems containsString="0" containsBlank="1" containsNumber="1" minValue="2.5048612999962598" maxValue="282.56325750000502"/>
    </cacheField>
    <cacheField name="trial.stopped" numFmtId="0">
      <sharedItems containsString="0" containsBlank="1" containsNumber="1" minValue="3.2618693000404102" maxValue="283.534257000021"/>
    </cacheField>
    <cacheField name="trials.resp.keys" numFmtId="0">
      <sharedItems containsBlank="1"/>
    </cacheField>
    <cacheField name="trials.resp.corr" numFmtId="0">
      <sharedItems containsString="0" containsBlank="1" containsNumber="1" containsInteger="1" minValue="0" maxValue="1"/>
    </cacheField>
    <cacheField name="trials.resp.rt" numFmtId="0">
      <sharedItems containsString="0" containsBlank="1" containsNumber="1" minValue="0.366891099954955" maxValue="6.2667314999853199"/>
    </cacheField>
    <cacheField name="trials.resp.duration" numFmtId="0">
      <sharedItems containsBlank="1"/>
    </cacheField>
    <cacheField name="Thanks.started" numFmtId="0">
      <sharedItems containsString="0" containsBlank="1" containsNumber="1" minValue="252.86419880000099" maxValue="273.15507640002699"/>
    </cacheField>
    <cacheField name="text.started" numFmtId="0">
      <sharedItems containsString="0" containsBlank="1" containsNumber="1" minValue="252.87765839998599" maxValue="273.166753000055"/>
    </cacheField>
    <cacheField name="Thanks.stopped" numFmtId="0">
      <sharedItems containsString="0" containsBlank="1" containsNumber="1" minValue="253.864377600024" maxValue="274.15340820001398"/>
    </cacheField>
    <cacheField name="participant" numFmtId="0">
      <sharedItems count="5">
        <s v="P1"/>
        <s v="P2"/>
        <s v="P3"/>
        <s v="P4"/>
        <s v="P5"/>
      </sharedItems>
    </cacheField>
    <cacheField name="session" numFmtId="0">
      <sharedItems containsSemiMixedTypes="0" containsString="0" containsNumber="1" containsInteger="1" minValue="1" maxValue="1"/>
    </cacheField>
    <cacheField name="date" numFmtId="0">
      <sharedItems/>
    </cacheField>
    <cacheField name="expName" numFmtId="0">
      <sharedItems/>
    </cacheField>
    <cacheField name="expVersion" numFmtId="0">
      <sharedItems containsNonDate="0" containsString="0" containsBlank="1"/>
    </cacheField>
    <cacheField name="psychopyVersion" numFmtId="0">
      <sharedItems/>
    </cacheField>
    <cacheField name="frameRate" numFmtId="0">
      <sharedItems containsSemiMixedTypes="0" containsString="0" containsNumber="1" minValue="59.456390224006398" maxValue="60.129904655169099"/>
    </cacheField>
    <cacheField name="expStart" numFmtId="0">
      <sharedItems/>
    </cacheField>
    <cacheField name="text.stopped" numFmtId="0">
      <sharedItems containsString="0" containsBlank="1" containsNumber="1" minValue="265.21383640001199" maxValue="274.166515100048"/>
    </cacheField>
    <cacheField name="word_stim.stopped" numFmtId="0">
      <sharedItems containsString="0" containsBlank="1" containsNumber="1" minValue="24.7436424000188" maxValue="24.74364240001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s v="Stone"/>
    <s v="I"/>
    <x v="0"/>
    <s v="neutral"/>
    <s v="yellow"/>
    <s v="y"/>
    <n v="0"/>
    <n v="0"/>
    <n v="0"/>
    <s v="y"/>
    <n v="1"/>
    <n v="1.5350409999955399"/>
    <s v="None"/>
    <n v="0"/>
    <n v="0"/>
    <n v="0"/>
    <n v="19"/>
    <n v="2.0573283000267102"/>
    <m/>
    <m/>
    <m/>
    <m/>
    <n v="2.03979060001438"/>
    <n v="2.0573283000267102"/>
    <n v="2.50791889999527"/>
    <n v="2.50791889999527"/>
    <n v="2.50791889999527"/>
    <n v="4.0750645000371097"/>
    <s v="y"/>
    <n v="1"/>
    <n v="1.53504099999553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encil"/>
    <s v="I"/>
    <x v="0"/>
    <s v="neutral"/>
    <s v="green"/>
    <s v="g"/>
    <n v="1"/>
    <n v="1"/>
    <n v="0"/>
    <s v="g"/>
    <n v="1"/>
    <n v="1.4325543000013501"/>
    <s v="None"/>
    <n v="0"/>
    <n v="1"/>
    <n v="1"/>
    <n v="14"/>
    <n v="4.0906036000233099"/>
    <m/>
    <m/>
    <m/>
    <m/>
    <n v="4.0786190000362597"/>
    <n v="4.0906036000233099"/>
    <n v="4.57514000002993"/>
    <n v="4.57514000002993"/>
    <n v="4.57514000002993"/>
    <n v="6.01180460001342"/>
    <s v="g"/>
    <n v="1"/>
    <n v="1.43255430000135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able"/>
    <s v="I"/>
    <x v="0"/>
    <s v="neutral"/>
    <s v="blue"/>
    <s v="b"/>
    <n v="2"/>
    <n v="2"/>
    <n v="0"/>
    <s v="b"/>
    <n v="1"/>
    <n v="1.0838545000297"/>
    <s v="None"/>
    <n v="0"/>
    <n v="2"/>
    <n v="2"/>
    <n v="13"/>
    <n v="6.0248994000139602"/>
    <m/>
    <m/>
    <m/>
    <m/>
    <n v="6.01459690002957"/>
    <n v="6.0248994000139602"/>
    <n v="6.5245110000250799"/>
    <n v="6.5245110000250799"/>
    <n v="6.5245110000250799"/>
    <n v="7.6111892000189902"/>
    <s v="b"/>
    <n v="1"/>
    <n v="1.083854500029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adness"/>
    <s v="I"/>
    <x v="1"/>
    <s v="emotional"/>
    <s v="yellow"/>
    <s v="y"/>
    <n v="3"/>
    <n v="3"/>
    <n v="0"/>
    <s v="y"/>
    <n v="1"/>
    <n v="0.73963969998294399"/>
    <s v="None"/>
    <n v="0"/>
    <n v="3"/>
    <n v="3"/>
    <n v="7"/>
    <n v="7.6242268999922"/>
    <m/>
    <m/>
    <m/>
    <m/>
    <n v="7.6140269000316003"/>
    <n v="7.6242268999922"/>
    <n v="8.1242010000278206"/>
    <n v="8.1242010000278206"/>
    <n v="8.1242010000278206"/>
    <n v="8.8773404000094107"/>
    <s v="y"/>
    <n v="1"/>
    <n v="0.739639699982943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Fear"/>
    <s v="C"/>
    <x v="2"/>
    <s v="emotional"/>
    <s v="red"/>
    <s v="r"/>
    <n v="4"/>
    <n v="4"/>
    <n v="0"/>
    <s v="r"/>
    <n v="1"/>
    <n v="1.46953579998807"/>
    <s v="None"/>
    <n v="0"/>
    <n v="4"/>
    <n v="4"/>
    <n v="0"/>
    <n v="8.8905826000263897"/>
    <m/>
    <m/>
    <m/>
    <m/>
    <n v="8.8825997000094503"/>
    <n v="8.8905826000263897"/>
    <n v="9.3916086000390298"/>
    <n v="9.3916086000390298"/>
    <n v="9.3916086000390298"/>
    <n v="10.861720899992999"/>
    <s v="r"/>
    <n v="1"/>
    <n v="1.4695357999880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Road"/>
    <s v="I"/>
    <x v="0"/>
    <s v="neutral"/>
    <s v="green"/>
    <s v="g"/>
    <n v="5"/>
    <n v="5"/>
    <n v="0"/>
    <s v="g"/>
    <n v="1"/>
    <n v="1.62222599994856"/>
    <s v="None"/>
    <n v="0"/>
    <n v="5"/>
    <n v="5"/>
    <n v="18"/>
    <n v="10.8728338000364"/>
    <m/>
    <m/>
    <m/>
    <m/>
    <n v="10.865294900024301"/>
    <n v="10.8728338000364"/>
    <n v="11.3733613000367"/>
    <n v="11.3733613000367"/>
    <n v="11.3733613000367"/>
    <n v="12.996382500045"/>
    <s v="g"/>
    <n v="1"/>
    <n v="1.6222259999485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Violence"/>
    <s v="I"/>
    <x v="1"/>
    <s v="emotional"/>
    <s v="blue"/>
    <s v="b"/>
    <n v="6"/>
    <n v="6"/>
    <n v="0"/>
    <s v="b"/>
    <n v="1"/>
    <n v="1.2838648000033499"/>
    <s v="None"/>
    <n v="0"/>
    <n v="6"/>
    <n v="6"/>
    <n v="9"/>
    <n v="13.024639500014001"/>
    <m/>
    <m/>
    <m/>
    <m/>
    <n v="13.002851500001199"/>
    <n v="13.024639500014001"/>
    <n v="13.5075027000275"/>
    <n v="13.5075027000275"/>
    <n v="13.5075027000275"/>
    <n v="14.794316000014"/>
    <s v="b"/>
    <n v="1"/>
    <n v="1.28386480000334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Window"/>
    <s v="I"/>
    <x v="0"/>
    <s v="neutral"/>
    <s v="red"/>
    <s v="r"/>
    <n v="7"/>
    <n v="7"/>
    <n v="0"/>
    <s v="r"/>
    <n v="1"/>
    <n v="0.78497129998868298"/>
    <s v="None"/>
    <n v="0"/>
    <n v="7"/>
    <n v="7"/>
    <n v="12"/>
    <n v="14.807522899995"/>
    <m/>
    <m/>
    <m/>
    <m/>
    <n v="14.797185000032099"/>
    <n v="14.807522899995"/>
    <n v="15.307940400030899"/>
    <n v="15.307940400030899"/>
    <n v="15.307940400030899"/>
    <n v="16.094762600027"/>
    <s v="r"/>
    <n v="1"/>
    <n v="0.784971299988682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Chair"/>
    <s v="I"/>
    <x v="0"/>
    <s v="neutral"/>
    <s v="green"/>
    <s v="g"/>
    <n v="8"/>
    <n v="8"/>
    <n v="0"/>
    <s v="g"/>
    <n v="1"/>
    <n v="0.99462939996737898"/>
    <s v="None"/>
    <n v="0"/>
    <n v="8"/>
    <n v="8"/>
    <n v="10"/>
    <n v="16.107440599996998"/>
    <m/>
    <m/>
    <m/>
    <m/>
    <n v="16.097870199999299"/>
    <n v="16.107440599996998"/>
    <n v="16.607389200013099"/>
    <n v="16.607389200013099"/>
    <n v="16.607389200013099"/>
    <n v="17.611020500015002"/>
    <s v="g"/>
    <n v="1"/>
    <n v="0.994629399967378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Injury"/>
    <s v="I"/>
    <x v="1"/>
    <s v="emotional"/>
    <s v="green"/>
    <s v="g"/>
    <n v="9"/>
    <n v="9"/>
    <n v="0"/>
    <s v="g"/>
    <n v="1"/>
    <n v="0.70482320000883103"/>
    <s v="None"/>
    <n v="0"/>
    <n v="9"/>
    <n v="9"/>
    <n v="6"/>
    <n v="17.623411800013798"/>
    <m/>
    <m/>
    <m/>
    <m/>
    <n v="17.616250200022399"/>
    <n v="17.623411800013798"/>
    <n v="18.123588300019001"/>
    <n v="18.123588300019001"/>
    <n v="18.123588300019001"/>
    <n v="18.844352999993099"/>
    <s v="g"/>
    <n v="1"/>
    <n v="0.704823200008831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hreat"/>
    <s v="I"/>
    <x v="1"/>
    <s v="emotional"/>
    <s v="blue"/>
    <s v="b"/>
    <n v="10"/>
    <n v="10"/>
    <n v="0"/>
    <s v="b"/>
    <n v="1"/>
    <n v="1.30152959999395"/>
    <s v="None"/>
    <n v="0"/>
    <n v="10"/>
    <n v="10"/>
    <n v="5"/>
    <n v="18.858561400033"/>
    <m/>
    <m/>
    <m/>
    <m/>
    <n v="18.847476200025898"/>
    <n v="18.858561400033"/>
    <n v="19.357572900014901"/>
    <n v="19.357572900014901"/>
    <n v="19.357572900014901"/>
    <n v="20.661642400023901"/>
    <s v="b"/>
    <n v="1"/>
    <n v="1.3015295999939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Death"/>
    <s v="I"/>
    <x v="1"/>
    <s v="emotional"/>
    <s v="green"/>
    <s v="g"/>
    <n v="11"/>
    <n v="11"/>
    <n v="0"/>
    <s v="g"/>
    <n v="1"/>
    <n v="1.7711194999865201"/>
    <s v="None"/>
    <n v="0"/>
    <n v="11"/>
    <n v="11"/>
    <n v="2"/>
    <n v="20.689859100035299"/>
    <m/>
    <m/>
    <m/>
    <m/>
    <n v="20.668219600047401"/>
    <n v="20.689859100035299"/>
    <n v="21.173336400010101"/>
    <n v="21.173336400010101"/>
    <n v="21.173336400010101"/>
    <n v="22.962265600042802"/>
    <s v="g"/>
    <n v="1"/>
    <n v="1.77111949998652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per"/>
    <s v="I"/>
    <x v="0"/>
    <s v="neutral"/>
    <s v="yellow"/>
    <s v="y"/>
    <n v="12"/>
    <n v="12"/>
    <n v="0"/>
    <s v="y"/>
    <n v="1"/>
    <n v="1.0291376999812201"/>
    <s v="None"/>
    <n v="0"/>
    <n v="12"/>
    <n v="12"/>
    <n v="15"/>
    <n v="22.9742561000166"/>
    <m/>
    <m/>
    <m/>
    <m/>
    <n v="22.966379499994201"/>
    <n v="22.9742561000166"/>
    <n v="23.473785700043599"/>
    <n v="23.473785700043599"/>
    <n v="23.473785700043599"/>
    <n v="24.510514700028502"/>
    <s v="y"/>
    <n v="1"/>
    <n v="1.02913769998122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nger"/>
    <s v="C"/>
    <x v="2"/>
    <s v="emotional"/>
    <s v="red"/>
    <s v="r"/>
    <n v="13"/>
    <n v="13"/>
    <n v="0"/>
    <s v="r"/>
    <n v="1"/>
    <n v="0.96321910002734501"/>
    <s v="None"/>
    <n v="0"/>
    <n v="13"/>
    <n v="13"/>
    <n v="8"/>
    <n v="24.523327700037001"/>
    <m/>
    <m/>
    <m/>
    <m/>
    <n v="24.513577700010501"/>
    <n v="24.523327700037001"/>
    <n v="25.0237120999954"/>
    <n v="25.0237120999954"/>
    <n v="25.0237120999954"/>
    <n v="25.9939701000112"/>
    <s v="r"/>
    <n v="1"/>
    <n v="0.963219100027345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in"/>
    <s v="I"/>
    <x v="1"/>
    <s v="emotional"/>
    <s v="blue"/>
    <s v="b"/>
    <n v="14"/>
    <n v="14"/>
    <n v="0"/>
    <s v="b"/>
    <n v="1"/>
    <n v="0.993037500011269"/>
    <s v="None"/>
    <n v="0"/>
    <n v="14"/>
    <n v="14"/>
    <n v="1"/>
    <n v="26.007223599997801"/>
    <m/>
    <m/>
    <m/>
    <m/>
    <n v="25.996545800007802"/>
    <n v="26.007223599997801"/>
    <n v="26.5066772000282"/>
    <n v="26.5066772000282"/>
    <n v="26.5066772000282"/>
    <n v="27.510247500031198"/>
    <s v="b"/>
    <n v="1"/>
    <n v="0.99303750001126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ttle"/>
    <s v="I"/>
    <x v="0"/>
    <s v="neutral"/>
    <s v="yellow"/>
    <s v="y"/>
    <n v="15"/>
    <n v="15"/>
    <n v="0"/>
    <s v="y"/>
    <n v="1"/>
    <n v="0.92349839996313599"/>
    <s v="None"/>
    <n v="0"/>
    <n v="15"/>
    <n v="15"/>
    <n v="11"/>
    <n v="27.5244976000394"/>
    <m/>
    <m/>
    <m/>
    <m/>
    <n v="27.5134147000499"/>
    <n v="27.5244976000394"/>
    <n v="28.023710200039201"/>
    <n v="28.023710200039201"/>
    <n v="28.023710200039201"/>
    <n v="28.9602023000479"/>
    <s v="y"/>
    <n v="1"/>
    <n v="0.923498399963135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Garden"/>
    <s v="I"/>
    <x v="0"/>
    <s v="neutral"/>
    <s v="red"/>
    <s v="r"/>
    <n v="16"/>
    <n v="16"/>
    <n v="0"/>
    <s v="r"/>
    <n v="1"/>
    <n v="0.648784300021361"/>
    <s v="None"/>
    <n v="0"/>
    <n v="16"/>
    <n v="16"/>
    <n v="16"/>
    <n v="28.973710899997901"/>
    <m/>
    <m/>
    <m/>
    <m/>
    <n v="28.962873600015801"/>
    <n v="28.973710899997901"/>
    <n v="29.474675800010999"/>
    <n v="29.474675800010999"/>
    <n v="29.474675800010999"/>
    <n v="30.126941599999501"/>
    <s v="r"/>
    <n v="1"/>
    <n v="0.64878430002136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nic"/>
    <s v="I"/>
    <x v="1"/>
    <s v="emotional"/>
    <s v="yellow"/>
    <s v="y"/>
    <n v="17"/>
    <n v="17"/>
    <n v="0"/>
    <s v="y"/>
    <n v="1"/>
    <n v="1.05651660001603"/>
    <s v="None"/>
    <n v="0"/>
    <n v="17"/>
    <n v="17"/>
    <n v="3"/>
    <n v="30.141102300025501"/>
    <m/>
    <m/>
    <m/>
    <m/>
    <n v="30.1297132000327"/>
    <n v="30.141102300025501"/>
    <n v="30.6401149000157"/>
    <n v="30.6401149000157"/>
    <n v="30.6401149000157"/>
    <n v="31.710906199994401"/>
    <s v="y"/>
    <n v="1"/>
    <n v="1.056516600016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buse"/>
    <s v="C"/>
    <x v="2"/>
    <s v="emotional"/>
    <s v="red"/>
    <s v="r"/>
    <n v="18"/>
    <n v="18"/>
    <n v="0"/>
    <s v="r"/>
    <n v="1"/>
    <n v="0.62281219998840198"/>
    <s v="None"/>
    <n v="0"/>
    <n v="18"/>
    <n v="18"/>
    <n v="4"/>
    <n v="31.723213899996999"/>
    <m/>
    <m/>
    <m/>
    <m/>
    <n v="31.7135424000443"/>
    <n v="31.723213899996999"/>
    <n v="32.223322000005197"/>
    <n v="32.223322000005197"/>
    <n v="32.223322000005197"/>
    <n v="32.860314699995797"/>
    <s v="r"/>
    <n v="1"/>
    <n v="0.622812199988401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ok"/>
    <s v="I"/>
    <x v="0"/>
    <s v="neutral"/>
    <s v="blue"/>
    <s v="b"/>
    <n v="19"/>
    <n v="19"/>
    <n v="0"/>
    <s v="b"/>
    <n v="1"/>
    <n v="0.75071069999830797"/>
    <s v="None"/>
    <n v="0"/>
    <n v="19"/>
    <n v="19"/>
    <n v="17"/>
    <n v="32.873477699991703"/>
    <m/>
    <m/>
    <m/>
    <m/>
    <n v="32.862819600035401"/>
    <n v="32.873477699991703"/>
    <n v="33.373045900021602"/>
    <n v="33.373045900021602"/>
    <n v="33.373045900021602"/>
    <n v="34.126590400002897"/>
    <s v="b"/>
    <n v="1"/>
    <n v="0.7507106999983079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nger"/>
    <s v="C"/>
    <x v="2"/>
    <s v="emotional"/>
    <s v="red"/>
    <s v="r"/>
    <n v="20"/>
    <n v="0"/>
    <n v="1"/>
    <s v="r"/>
    <n v="1"/>
    <n v="0.98692230001324699"/>
    <s v="None"/>
    <n v="1"/>
    <n v="0"/>
    <n v="20"/>
    <n v="8"/>
    <n v="34.140098900010301"/>
    <m/>
    <m/>
    <m/>
    <m/>
    <n v="34.131296200037397"/>
    <n v="34.140098900010301"/>
    <n v="34.639927800046202"/>
    <n v="34.639927800046202"/>
    <n v="34.639927800046202"/>
    <n v="35.628105600015203"/>
    <s v="r"/>
    <n v="1"/>
    <n v="0.986922300013246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nic"/>
    <s v="I"/>
    <x v="1"/>
    <s v="emotional"/>
    <s v="yellow"/>
    <s v="y"/>
    <n v="21"/>
    <n v="1"/>
    <n v="1"/>
    <s v="y"/>
    <n v="1"/>
    <n v="1.5155499000102199"/>
    <s v="None"/>
    <n v="1"/>
    <n v="1"/>
    <n v="21"/>
    <n v="3"/>
    <n v="35.6399502000422"/>
    <m/>
    <m/>
    <m/>
    <m/>
    <n v="35.631956800003501"/>
    <n v="35.6399502000422"/>
    <n v="36.139951299992298"/>
    <n v="36.139951299992298"/>
    <n v="36.139951299992298"/>
    <n v="37.660562600009101"/>
    <s v="y"/>
    <n v="1"/>
    <n v="1.51554990001021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adness"/>
    <s v="I"/>
    <x v="1"/>
    <s v="emotional"/>
    <s v="yellow"/>
    <s v="y"/>
    <n v="22"/>
    <n v="2"/>
    <n v="1"/>
    <s v="y"/>
    <n v="1"/>
    <n v="0.65680330002214704"/>
    <s v="None"/>
    <n v="1"/>
    <n v="2"/>
    <n v="22"/>
    <n v="7"/>
    <n v="37.673285400029201"/>
    <m/>
    <m/>
    <m/>
    <m/>
    <n v="37.663423200021498"/>
    <n v="37.673285400029201"/>
    <n v="38.172922600002401"/>
    <n v="38.172922600002401"/>
    <n v="38.172922600002401"/>
    <n v="38.843520700000198"/>
    <s v="y"/>
    <n v="1"/>
    <n v="0.6568033000221470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per"/>
    <s v="I"/>
    <x v="0"/>
    <s v="neutral"/>
    <s v="yellow"/>
    <s v="y"/>
    <n v="23"/>
    <n v="3"/>
    <n v="1"/>
    <s v="y"/>
    <n v="1"/>
    <n v="0.57917979999910996"/>
    <s v="None"/>
    <n v="1"/>
    <n v="3"/>
    <n v="23"/>
    <n v="15"/>
    <n v="38.856756900029701"/>
    <m/>
    <m/>
    <m/>
    <m/>
    <n v="38.847112100047497"/>
    <n v="38.856756900029701"/>
    <n v="39.356361200043402"/>
    <n v="39.356361200043402"/>
    <n v="39.356361200043402"/>
    <n v="39.943028600013299"/>
    <s v="y"/>
    <n v="1"/>
    <n v="0.5791797999991099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able"/>
    <s v="I"/>
    <x v="0"/>
    <s v="neutral"/>
    <s v="blue"/>
    <s v="b"/>
    <n v="24"/>
    <n v="4"/>
    <n v="1"/>
    <s v="b"/>
    <n v="1"/>
    <n v="0.88088140002218995"/>
    <s v="None"/>
    <n v="1"/>
    <n v="4"/>
    <n v="24"/>
    <n v="13"/>
    <n v="39.956386200035901"/>
    <m/>
    <m/>
    <m/>
    <m/>
    <n v="39.945968999992999"/>
    <n v="39.956386200035901"/>
    <n v="40.456794600002397"/>
    <n v="40.456794600002397"/>
    <n v="40.456794600002397"/>
    <n v="41.3436367000103"/>
    <s v="b"/>
    <n v="1"/>
    <n v="0.8808814000221899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Window"/>
    <s v="I"/>
    <x v="0"/>
    <s v="neutral"/>
    <s v="red"/>
    <s v="r"/>
    <n v="25"/>
    <n v="5"/>
    <n v="1"/>
    <s v="r"/>
    <n v="1"/>
    <n v="0.56971549999434501"/>
    <s v="None"/>
    <n v="1"/>
    <n v="5"/>
    <n v="25"/>
    <n v="12"/>
    <n v="41.356142700009499"/>
    <m/>
    <m/>
    <m/>
    <m/>
    <n v="41.346442100009803"/>
    <n v="41.356142700009499"/>
    <n v="41.857288099999998"/>
    <n v="41.857288099999998"/>
    <n v="41.857288099999998"/>
    <n v="42.428038300014997"/>
    <s v="r"/>
    <n v="1"/>
    <n v="0.569715499994345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ok"/>
    <s v="I"/>
    <x v="0"/>
    <s v="neutral"/>
    <s v="blue"/>
    <s v="b"/>
    <n v="26"/>
    <n v="6"/>
    <n v="1"/>
    <s v="b"/>
    <n v="1"/>
    <n v="0.75970100000267804"/>
    <s v="None"/>
    <n v="1"/>
    <n v="6"/>
    <n v="26"/>
    <n v="17"/>
    <n v="42.439452400023498"/>
    <m/>
    <m/>
    <m/>
    <m/>
    <n v="42.431106800038798"/>
    <n v="42.439452400023498"/>
    <n v="42.939586199994601"/>
    <n v="42.939586199994601"/>
    <n v="42.939586199994601"/>
    <n v="43.7100341000477"/>
    <s v="b"/>
    <n v="1"/>
    <n v="0.7597010000026780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tone"/>
    <s v="I"/>
    <x v="0"/>
    <s v="neutral"/>
    <s v="yellow"/>
    <s v="y"/>
    <n v="27"/>
    <n v="7"/>
    <n v="1"/>
    <s v="y"/>
    <n v="1"/>
    <n v="0.99808479996863697"/>
    <s v="None"/>
    <n v="1"/>
    <n v="7"/>
    <n v="27"/>
    <n v="19"/>
    <n v="43.722965700027999"/>
    <m/>
    <m/>
    <m/>
    <m/>
    <n v="43.7126861000433"/>
    <n v="43.722965700027999"/>
    <n v="44.223297999997101"/>
    <n v="44.223297999997101"/>
    <n v="44.223297999997101"/>
    <n v="45.2273411000496"/>
    <s v="y"/>
    <n v="1"/>
    <n v="0.9980847999686369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Death"/>
    <s v="I"/>
    <x v="1"/>
    <s v="emotional"/>
    <s v="green"/>
    <s v="g"/>
    <n v="28"/>
    <n v="8"/>
    <n v="1"/>
    <s v="g"/>
    <n v="1"/>
    <n v="0.92719449999276504"/>
    <s v="None"/>
    <n v="1"/>
    <n v="8"/>
    <n v="28"/>
    <n v="2"/>
    <n v="45.239229200000402"/>
    <m/>
    <m/>
    <m/>
    <m/>
    <n v="45.229940399993197"/>
    <n v="45.239229200000402"/>
    <n v="45.7390601999941"/>
    <n v="45.7390601999941"/>
    <n v="45.7390601999941"/>
    <n v="46.676763900031801"/>
    <s v="g"/>
    <n v="1"/>
    <n v="0.9271944999927650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Injury"/>
    <s v="I"/>
    <x v="1"/>
    <s v="emotional"/>
    <s v="green"/>
    <s v="g"/>
    <n v="29"/>
    <n v="9"/>
    <n v="1"/>
    <s v="g"/>
    <n v="1"/>
    <n v="1.11945810000179"/>
    <s v="None"/>
    <n v="1"/>
    <n v="9"/>
    <n v="29"/>
    <n v="6"/>
    <n v="46.690112200041703"/>
    <m/>
    <m/>
    <m/>
    <m/>
    <n v="46.679424800036898"/>
    <n v="46.690112200041703"/>
    <n v="47.189202200039198"/>
    <n v="47.189202200039198"/>
    <n v="47.189202200039198"/>
    <n v="48.311238900001598"/>
    <s v="g"/>
    <n v="1"/>
    <n v="1.1194581000017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ttle"/>
    <s v="I"/>
    <x v="0"/>
    <s v="neutral"/>
    <s v="yellow"/>
    <s v="y"/>
    <n v="30"/>
    <n v="10"/>
    <n v="1"/>
    <s v="y"/>
    <n v="1"/>
    <n v="0.78925979998894003"/>
    <s v="None"/>
    <n v="1"/>
    <n v="10"/>
    <n v="30"/>
    <n v="11"/>
    <n v="48.322324900014699"/>
    <m/>
    <m/>
    <m/>
    <m/>
    <n v="48.315476900024798"/>
    <n v="48.322324900014699"/>
    <n v="48.822120400029199"/>
    <n v="48.822120400029199"/>
    <n v="48.822120400029199"/>
    <n v="49.6262293000472"/>
    <s v="y"/>
    <n v="1"/>
    <n v="0.789259799988940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Road"/>
    <s v="I"/>
    <x v="0"/>
    <s v="neutral"/>
    <s v="green"/>
    <s v="g"/>
    <n v="31"/>
    <n v="11"/>
    <n v="1"/>
    <s v="g"/>
    <n v="1"/>
    <n v="0.74914150004042301"/>
    <s v="None"/>
    <n v="1"/>
    <n v="11"/>
    <n v="31"/>
    <n v="18"/>
    <n v="49.639300300041199"/>
    <m/>
    <m/>
    <m/>
    <m/>
    <n v="49.630294400034401"/>
    <n v="49.639300300041199"/>
    <n v="50.139371299999702"/>
    <n v="50.139371299999702"/>
    <n v="50.139371299999702"/>
    <n v="50.894102799997199"/>
    <s v="g"/>
    <n v="1"/>
    <n v="0.749141500040423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Chair"/>
    <s v="I"/>
    <x v="0"/>
    <s v="neutral"/>
    <s v="green"/>
    <s v="g"/>
    <n v="32"/>
    <n v="12"/>
    <n v="1"/>
    <s v="g"/>
    <n v="1"/>
    <n v="0.76926109998021197"/>
    <s v="None"/>
    <n v="1"/>
    <n v="12"/>
    <n v="32"/>
    <n v="10"/>
    <n v="50.905838400009003"/>
    <m/>
    <m/>
    <m/>
    <m/>
    <n v="50.897383700008497"/>
    <n v="50.905838400009003"/>
    <n v="51.405864600033901"/>
    <n v="51.405864600033901"/>
    <n v="51.405864600033901"/>
    <n v="52.176661000004898"/>
    <s v="g"/>
    <n v="1"/>
    <n v="0.7692610999802119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buse"/>
    <s v="C"/>
    <x v="2"/>
    <s v="emotional"/>
    <s v="red"/>
    <s v="r"/>
    <n v="33"/>
    <n v="13"/>
    <n v="1"/>
    <s v="r"/>
    <n v="1"/>
    <n v="1.88923420000355"/>
    <s v="None"/>
    <n v="1"/>
    <n v="13"/>
    <n v="33"/>
    <n v="4"/>
    <n v="52.189035799994599"/>
    <m/>
    <m/>
    <m/>
    <m/>
    <n v="52.180673199996797"/>
    <n v="52.189035799994599"/>
    <n v="52.689788600022403"/>
    <n v="52.689788600022403"/>
    <n v="52.689788600022403"/>
    <n v="54.593637800018698"/>
    <s v="r"/>
    <n v="1"/>
    <n v="1.8892342000035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Garden"/>
    <s v="I"/>
    <x v="0"/>
    <s v="neutral"/>
    <s v="red"/>
    <s v="r"/>
    <n v="34"/>
    <n v="14"/>
    <n v="1"/>
    <s v="r"/>
    <n v="1"/>
    <n v="0.80532189999939796"/>
    <s v="None"/>
    <n v="1"/>
    <n v="14"/>
    <n v="34"/>
    <n v="16"/>
    <n v="54.6057891999953"/>
    <m/>
    <m/>
    <m/>
    <m/>
    <n v="54.597089200047698"/>
    <n v="54.6057891999953"/>
    <n v="55.106565700029002"/>
    <n v="55.106565700029002"/>
    <n v="55.106565700029002"/>
    <n v="55.926176600041799"/>
    <s v="r"/>
    <n v="1"/>
    <n v="0.8053218999993979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hreat"/>
    <s v="I"/>
    <x v="1"/>
    <s v="emotional"/>
    <s v="blue"/>
    <s v="b"/>
    <n v="35"/>
    <n v="15"/>
    <n v="1"/>
    <s v="b"/>
    <n v="1"/>
    <n v="0.73971350002102498"/>
    <s v="None"/>
    <n v="1"/>
    <n v="15"/>
    <n v="35"/>
    <n v="5"/>
    <n v="55.939836100034803"/>
    <m/>
    <m/>
    <m/>
    <m/>
    <n v="55.928977100003898"/>
    <n v="55.939836100034803"/>
    <n v="56.438719000027"/>
    <n v="56.438719000027"/>
    <n v="56.438719000027"/>
    <n v="57.193243700021398"/>
    <s v="b"/>
    <n v="1"/>
    <n v="0.739713500021024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in"/>
    <s v="I"/>
    <x v="1"/>
    <s v="emotional"/>
    <s v="blue"/>
    <s v="b"/>
    <n v="36"/>
    <n v="16"/>
    <n v="1"/>
    <s v="b"/>
    <n v="1"/>
    <n v="0.70396889996482004"/>
    <s v="None"/>
    <n v="1"/>
    <n v="16"/>
    <n v="36"/>
    <n v="1"/>
    <n v="57.206388799997498"/>
    <m/>
    <m/>
    <m/>
    <m/>
    <n v="57.196245800005201"/>
    <n v="57.206388799997498"/>
    <n v="57.706426499993498"/>
    <n v="57.706426499993498"/>
    <n v="57.706426499993498"/>
    <n v="58.426328500034202"/>
    <s v="b"/>
    <n v="1"/>
    <n v="0.7039688999648200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Fear"/>
    <s v="C"/>
    <x v="2"/>
    <s v="emotional"/>
    <s v="red"/>
    <s v="r"/>
    <n v="37"/>
    <n v="17"/>
    <n v="1"/>
    <s v="r"/>
    <n v="1"/>
    <n v="0.73132179997628499"/>
    <s v="None"/>
    <n v="1"/>
    <n v="17"/>
    <n v="37"/>
    <n v="0"/>
    <n v="58.439457800006402"/>
    <m/>
    <m/>
    <m/>
    <m/>
    <n v="58.428820100030798"/>
    <n v="58.439457800006402"/>
    <n v="58.938738199998603"/>
    <n v="58.938738199998603"/>
    <n v="58.938738199998603"/>
    <n v="59.676014900032897"/>
    <s v="r"/>
    <n v="1"/>
    <n v="0.731321799976284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Violence"/>
    <s v="I"/>
    <x v="1"/>
    <s v="emotional"/>
    <s v="blue"/>
    <s v="b"/>
    <n v="38"/>
    <n v="18"/>
    <n v="1"/>
    <s v="b"/>
    <n v="1"/>
    <n v="0.75086750002810698"/>
    <s v="None"/>
    <n v="1"/>
    <n v="18"/>
    <n v="38"/>
    <n v="9"/>
    <n v="59.689187800046"/>
    <m/>
    <m/>
    <m/>
    <m/>
    <n v="59.678722900047397"/>
    <n v="59.689187800046"/>
    <n v="60.189398400019797"/>
    <n v="60.189398400019797"/>
    <n v="60.189398400019797"/>
    <n v="60.942788700049199"/>
    <s v="b"/>
    <n v="1"/>
    <n v="0.750867500028106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encil"/>
    <s v="I"/>
    <x v="0"/>
    <s v="neutral"/>
    <s v="green"/>
    <s v="g"/>
    <n v="39"/>
    <n v="19"/>
    <n v="1"/>
    <s v="g"/>
    <n v="1"/>
    <n v="0.980700200016144"/>
    <s v="None"/>
    <n v="1"/>
    <n v="19"/>
    <n v="39"/>
    <n v="14"/>
    <n v="60.956375400011801"/>
    <m/>
    <m/>
    <m/>
    <m/>
    <n v="60.945598500023998"/>
    <n v="60.956375400011801"/>
    <n v="61.454546199995001"/>
    <n v="61.454546199995001"/>
    <n v="61.454546199995001"/>
    <n v="62.442269799998002"/>
    <s v="g"/>
    <n v="1"/>
    <n v="0.98070020001614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Fear"/>
    <s v="C"/>
    <x v="2"/>
    <s v="emotional"/>
    <s v="red"/>
    <s v="r"/>
    <n v="40"/>
    <n v="0"/>
    <n v="2"/>
    <s v="r"/>
    <n v="1"/>
    <n v="0.875049200025387"/>
    <s v="None"/>
    <n v="2"/>
    <n v="0"/>
    <n v="40"/>
    <n v="0"/>
    <n v="62.454199600033398"/>
    <m/>
    <m/>
    <m/>
    <m/>
    <n v="62.444667400035499"/>
    <n v="62.454199600033398"/>
    <n v="62.956925700011197"/>
    <n v="62.956925700011197"/>
    <n v="62.956925700011197"/>
    <n v="63.842644700023797"/>
    <s v="r"/>
    <n v="1"/>
    <n v="0.87504920002538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Violence"/>
    <s v="I"/>
    <x v="1"/>
    <s v="emotional"/>
    <s v="blue"/>
    <s v="b"/>
    <n v="41"/>
    <n v="1"/>
    <n v="2"/>
    <s v="b"/>
    <n v="1"/>
    <n v="0.71260079997591597"/>
    <s v="None"/>
    <n v="2"/>
    <n v="1"/>
    <n v="41"/>
    <n v="9"/>
    <n v="63.855401400010997"/>
    <m/>
    <m/>
    <m/>
    <m/>
    <n v="63.845883800007798"/>
    <n v="63.855401400010997"/>
    <n v="64.355440200015394"/>
    <n v="64.355440200015394"/>
    <n v="64.355440200015394"/>
    <n v="65.077360800001699"/>
    <s v="b"/>
    <n v="1"/>
    <n v="0.7126007999759159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tone"/>
    <s v="I"/>
    <x v="0"/>
    <s v="neutral"/>
    <s v="yellow"/>
    <s v="y"/>
    <n v="42"/>
    <n v="2"/>
    <n v="2"/>
    <s v="y"/>
    <n v="1"/>
    <n v="0.67997120000654798"/>
    <s v="None"/>
    <n v="2"/>
    <n v="2"/>
    <n v="42"/>
    <n v="19"/>
    <n v="65.088932400045394"/>
    <m/>
    <m/>
    <m/>
    <m/>
    <n v="65.080881600035298"/>
    <n v="65.088932400045394"/>
    <n v="65.588866300007794"/>
    <n v="65.588866300007794"/>
    <n v="65.588866300007794"/>
    <n v="66.276164400042006"/>
    <s v="y"/>
    <n v="1"/>
    <n v="0.679971200006547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Road"/>
    <s v="I"/>
    <x v="0"/>
    <s v="neutral"/>
    <s v="green"/>
    <s v="g"/>
    <n v="43"/>
    <n v="3"/>
    <n v="2"/>
    <s v="r"/>
    <n v="0"/>
    <n v="0.68622319999849402"/>
    <s v="None"/>
    <n v="2"/>
    <n v="3"/>
    <n v="43"/>
    <n v="18"/>
    <n v="66.288880300009595"/>
    <m/>
    <m/>
    <m/>
    <m/>
    <n v="66.278802899992996"/>
    <n v="66.288880300009595"/>
    <n v="66.7883920000167"/>
    <n v="66.7883920000167"/>
    <n v="66.7883920000167"/>
    <n v="67.475494500016794"/>
    <s v="r"/>
    <n v="0"/>
    <n v="0.6862231999984940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nger"/>
    <s v="C"/>
    <x v="2"/>
    <s v="emotional"/>
    <s v="red"/>
    <s v="r"/>
    <n v="44"/>
    <n v="4"/>
    <n v="2"/>
    <s v="r"/>
    <n v="1"/>
    <n v="0.903859000012744"/>
    <s v="None"/>
    <n v="2"/>
    <n v="4"/>
    <n v="44"/>
    <n v="8"/>
    <n v="67.488462500041294"/>
    <m/>
    <m/>
    <m/>
    <m/>
    <n v="67.478484100021802"/>
    <n v="67.488462500041294"/>
    <n v="67.9892720000352"/>
    <n v="67.9892720000352"/>
    <n v="67.9892720000352"/>
    <n v="68.909015700046396"/>
    <s v="r"/>
    <n v="1"/>
    <n v="0.90385900001274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Garden"/>
    <s v="I"/>
    <x v="0"/>
    <s v="neutral"/>
    <s v="red"/>
    <s v="r"/>
    <n v="45"/>
    <n v="5"/>
    <n v="2"/>
    <s v="r"/>
    <n v="1"/>
    <n v="1.7657798000145699"/>
    <s v="None"/>
    <n v="2"/>
    <n v="5"/>
    <n v="45"/>
    <n v="16"/>
    <n v="68.921843799995202"/>
    <m/>
    <m/>
    <m/>
    <m/>
    <n v="68.911732300010001"/>
    <n v="68.921843799995202"/>
    <n v="69.423137400008201"/>
    <n v="69.423137400008201"/>
    <n v="69.423137400008201"/>
    <n v="71.192689699993906"/>
    <s v="r"/>
    <n v="1"/>
    <n v="1.76577980001456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Injury"/>
    <s v="I"/>
    <x v="1"/>
    <s v="emotional"/>
    <s v="green"/>
    <s v="g"/>
    <n v="46"/>
    <n v="6"/>
    <n v="2"/>
    <s v="g"/>
    <n v="1"/>
    <n v="1.19390510005177"/>
    <s v="None"/>
    <n v="2"/>
    <n v="6"/>
    <n v="46"/>
    <n v="6"/>
    <n v="71.205125900043598"/>
    <m/>
    <m/>
    <m/>
    <m/>
    <n v="71.195649200002606"/>
    <n v="71.205125900043598"/>
    <n v="71.704904800048098"/>
    <n v="71.704904800048098"/>
    <n v="71.704904800048098"/>
    <n v="72.908761900034705"/>
    <s v="g"/>
    <n v="1"/>
    <n v="1.1939051000517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ok"/>
    <s v="I"/>
    <x v="0"/>
    <s v="neutral"/>
    <s v="blue"/>
    <s v="b"/>
    <n v="47"/>
    <n v="7"/>
    <n v="2"/>
    <s v="b"/>
    <n v="1"/>
    <n v="1.2224168999819001"/>
    <s v="None"/>
    <n v="2"/>
    <n v="7"/>
    <n v="47"/>
    <n v="17"/>
    <n v="72.921741800033402"/>
    <m/>
    <m/>
    <m/>
    <m/>
    <n v="72.911435100017101"/>
    <n v="72.921741800033402"/>
    <n v="73.421733500028495"/>
    <n v="73.421733500028495"/>
    <n v="73.421733500028495"/>
    <n v="74.660192600043899"/>
    <s v="b"/>
    <n v="1"/>
    <n v="1.22241689998190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Death"/>
    <s v="I"/>
    <x v="1"/>
    <s v="emotional"/>
    <s v="green"/>
    <s v="g"/>
    <n v="48"/>
    <n v="8"/>
    <n v="2"/>
    <s v="g"/>
    <n v="1"/>
    <n v="3.52781270002014"/>
    <s v="None"/>
    <n v="2"/>
    <n v="8"/>
    <n v="48"/>
    <n v="2"/>
    <n v="74.671313600032505"/>
    <m/>
    <m/>
    <m/>
    <m/>
    <n v="74.662876999995206"/>
    <n v="74.671313600032505"/>
    <n v="75.172367500024805"/>
    <n v="75.172367500024805"/>
    <n v="75.172367500024805"/>
    <n v="78.7083677000482"/>
    <s v="g"/>
    <n v="1"/>
    <n v="3.5278127000201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hreat"/>
    <s v="I"/>
    <x v="1"/>
    <s v="emotional"/>
    <s v="blue"/>
    <s v="b"/>
    <n v="49"/>
    <n v="9"/>
    <n v="2"/>
    <s v="b"/>
    <n v="1"/>
    <n v="0.84053240000503104"/>
    <s v="None"/>
    <n v="2"/>
    <n v="9"/>
    <n v="49"/>
    <n v="5"/>
    <n v="78.721379499998804"/>
    <m/>
    <m/>
    <m/>
    <m/>
    <n v="78.7115793999983"/>
    <n v="78.721379499998804"/>
    <n v="79.221314500027802"/>
    <n v="79.221314500027802"/>
    <n v="79.221314500027802"/>
    <n v="80.076954699994502"/>
    <s v="b"/>
    <n v="1"/>
    <n v="0.8405324000050310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per"/>
    <s v="I"/>
    <x v="0"/>
    <s v="neutral"/>
    <s v="yellow"/>
    <s v="y"/>
    <n v="50"/>
    <n v="10"/>
    <n v="2"/>
    <s v="y"/>
    <n v="1"/>
    <n v="0.91597570001613304"/>
    <s v="None"/>
    <n v="2"/>
    <n v="10"/>
    <n v="50"/>
    <n v="15"/>
    <n v="80.088736800011205"/>
    <m/>
    <m/>
    <m/>
    <m/>
    <n v="80.0801708000362"/>
    <n v="80.088736800011205"/>
    <n v="80.588910699996603"/>
    <n v="80.588910699996603"/>
    <n v="80.588910699996603"/>
    <n v="81.508823800017097"/>
    <s v="y"/>
    <n v="1"/>
    <n v="0.9159757000161330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Window"/>
    <s v="I"/>
    <x v="0"/>
    <s v="neutral"/>
    <s v="red"/>
    <s v="r"/>
    <n v="51"/>
    <n v="11"/>
    <n v="2"/>
    <s v="r"/>
    <n v="1"/>
    <n v="0.73868609999772095"/>
    <s v="None"/>
    <n v="2"/>
    <n v="11"/>
    <n v="51"/>
    <n v="12"/>
    <n v="81.521163200028198"/>
    <m/>
    <m/>
    <m/>
    <m/>
    <n v="81.512423000007402"/>
    <n v="81.521163200028198"/>
    <n v="82.021038900012996"/>
    <n v="82.021038900012996"/>
    <n v="82.021038900012996"/>
    <n v="82.775663700012899"/>
    <s v="r"/>
    <n v="1"/>
    <n v="0.7386860999977209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able"/>
    <s v="I"/>
    <x v="0"/>
    <s v="neutral"/>
    <s v="blue"/>
    <s v="b"/>
    <n v="52"/>
    <n v="12"/>
    <n v="2"/>
    <s v="b"/>
    <n v="1"/>
    <n v="0.71549160004360601"/>
    <s v="None"/>
    <n v="2"/>
    <n v="12"/>
    <n v="52"/>
    <n v="13"/>
    <n v="82.788273500045705"/>
    <m/>
    <m/>
    <m/>
    <m/>
    <n v="82.778454500017602"/>
    <n v="82.788273500045705"/>
    <n v="83.287648500001495"/>
    <n v="83.287648500001495"/>
    <n v="83.287648500001495"/>
    <n v="84.008972700044893"/>
    <s v="b"/>
    <n v="1"/>
    <n v="0.715491600043606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Chair"/>
    <s v="I"/>
    <x v="0"/>
    <s v="neutral"/>
    <s v="green"/>
    <s v="g"/>
    <n v="53"/>
    <n v="13"/>
    <n v="2"/>
    <s v="g"/>
    <n v="1"/>
    <n v="0.73290529998484999"/>
    <s v="None"/>
    <n v="2"/>
    <n v="13"/>
    <n v="53"/>
    <n v="10"/>
    <n v="84.020908800011895"/>
    <m/>
    <m/>
    <m/>
    <m/>
    <n v="84.012235600035595"/>
    <n v="84.020908800011895"/>
    <n v="84.521762699994696"/>
    <n v="84.521762699994696"/>
    <n v="84.521762699994696"/>
    <n v="85.259154900035298"/>
    <s v="g"/>
    <n v="1"/>
    <n v="0.732905299984849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buse"/>
    <s v="C"/>
    <x v="2"/>
    <s v="emotional"/>
    <s v="red"/>
    <s v="r"/>
    <n v="54"/>
    <n v="14"/>
    <n v="2"/>
    <s v="r"/>
    <n v="1"/>
    <n v="0.70075700001325403"/>
    <s v="None"/>
    <n v="2"/>
    <n v="14"/>
    <n v="54"/>
    <n v="4"/>
    <n v="85.272787399997398"/>
    <m/>
    <m/>
    <m/>
    <m/>
    <n v="85.262660700012901"/>
    <n v="85.272787399997398"/>
    <n v="85.770904000033596"/>
    <n v="85.770904000033596"/>
    <n v="85.770904000033596"/>
    <n v="86.475347200001096"/>
    <s v="r"/>
    <n v="1"/>
    <n v="0.700757000013254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ttle"/>
    <s v="I"/>
    <x v="0"/>
    <s v="neutral"/>
    <s v="yellow"/>
    <s v="y"/>
    <n v="55"/>
    <n v="15"/>
    <n v="2"/>
    <s v="b"/>
    <n v="0"/>
    <n v="0.59687959996517703"/>
    <s v="None"/>
    <n v="2"/>
    <n v="15"/>
    <n v="55"/>
    <n v="11"/>
    <n v="86.488400800037198"/>
    <m/>
    <m/>
    <m/>
    <m/>
    <n v="86.478497000003699"/>
    <n v="86.488400800037198"/>
    <n v="86.987920000043204"/>
    <n v="86.987920000043204"/>
    <n v="86.987920000043204"/>
    <n v="87.591250500001394"/>
    <s v="b"/>
    <n v="0"/>
    <n v="0.596879599965177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encil"/>
    <s v="I"/>
    <x v="0"/>
    <s v="neutral"/>
    <s v="green"/>
    <s v="g"/>
    <n v="56"/>
    <n v="16"/>
    <n v="2"/>
    <s v="g"/>
    <n v="1"/>
    <n v="2.0791054999572198"/>
    <s v="None"/>
    <n v="2"/>
    <n v="16"/>
    <n v="56"/>
    <n v="14"/>
    <n v="87.605404800036894"/>
    <m/>
    <m/>
    <m/>
    <m/>
    <n v="87.594005900027696"/>
    <n v="87.605404800036894"/>
    <n v="88.105055499996496"/>
    <n v="88.105055499996496"/>
    <n v="88.105055499996496"/>
    <n v="90.192537299997596"/>
    <s v="g"/>
    <n v="1"/>
    <n v="2.07910549995721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nic"/>
    <s v="I"/>
    <x v="1"/>
    <s v="emotional"/>
    <s v="yellow"/>
    <s v="y"/>
    <n v="57"/>
    <n v="17"/>
    <n v="2"/>
    <s v="y"/>
    <n v="1"/>
    <n v="1.1079665000434"/>
    <s v="None"/>
    <n v="2"/>
    <n v="17"/>
    <n v="57"/>
    <n v="3"/>
    <n v="90.204383300035204"/>
    <m/>
    <m/>
    <m/>
    <m/>
    <n v="90.196062400005701"/>
    <n v="90.204383300035204"/>
    <n v="90.7048271000385"/>
    <n v="90.7048271000385"/>
    <n v="90.7048271000385"/>
    <n v="91.825408300035605"/>
    <s v="y"/>
    <n v="1"/>
    <n v="1.107966500043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adness"/>
    <s v="I"/>
    <x v="1"/>
    <s v="emotional"/>
    <s v="yellow"/>
    <s v="y"/>
    <n v="58"/>
    <n v="18"/>
    <n v="2"/>
    <s v="y"/>
    <n v="1"/>
    <n v="1.0445674000075"/>
    <s v="None"/>
    <n v="2"/>
    <n v="18"/>
    <n v="58"/>
    <n v="7"/>
    <n v="91.8371914000017"/>
    <m/>
    <m/>
    <m/>
    <m/>
    <n v="91.828449800028395"/>
    <n v="91.8371914000017"/>
    <n v="92.337367100000804"/>
    <n v="92.337367100000804"/>
    <n v="92.337367100000804"/>
    <n v="93.391291900013996"/>
    <s v="y"/>
    <n v="1"/>
    <n v="1.044567400007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in"/>
    <s v="I"/>
    <x v="1"/>
    <s v="emotional"/>
    <s v="blue"/>
    <s v="b"/>
    <n v="59"/>
    <n v="19"/>
    <n v="2"/>
    <s v="b"/>
    <n v="1"/>
    <n v="0.77238670003134702"/>
    <s v="None"/>
    <n v="2"/>
    <n v="19"/>
    <n v="59"/>
    <n v="1"/>
    <n v="93.403991100029003"/>
    <m/>
    <m/>
    <m/>
    <m/>
    <n v="93.393998200015602"/>
    <n v="93.403991100029003"/>
    <n v="93.902928800031006"/>
    <n v="93.902928800031006"/>
    <n v="93.902928800031006"/>
    <n v="94.690341600042302"/>
    <s v="b"/>
    <n v="1"/>
    <n v="0.7723867000313470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Road"/>
    <s v="I"/>
    <x v="0"/>
    <s v="neutral"/>
    <s v="green"/>
    <s v="g"/>
    <n v="60"/>
    <n v="0"/>
    <n v="3"/>
    <s v="g"/>
    <n v="1"/>
    <n v="1.3039797000237701"/>
    <s v="None"/>
    <n v="3"/>
    <n v="0"/>
    <n v="60"/>
    <n v="18"/>
    <n v="94.703216099995103"/>
    <m/>
    <m/>
    <m/>
    <m/>
    <n v="94.692986100038894"/>
    <n v="94.703216099995103"/>
    <n v="95.203500800009294"/>
    <n v="95.203500800009294"/>
    <n v="95.203500800009294"/>
    <n v="96.523076200042794"/>
    <s v="g"/>
    <n v="1"/>
    <n v="1.30397970002377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in"/>
    <s v="I"/>
    <x v="1"/>
    <s v="emotional"/>
    <s v="blue"/>
    <s v="b"/>
    <n v="61"/>
    <n v="1"/>
    <n v="3"/>
    <s v="b"/>
    <n v="1"/>
    <n v="0.830294399987906"/>
    <s v="None"/>
    <n v="3"/>
    <n v="1"/>
    <n v="61"/>
    <n v="1"/>
    <n v="96.536251200013794"/>
    <m/>
    <m/>
    <m/>
    <m/>
    <n v="96.525140100042293"/>
    <n v="96.536251200013794"/>
    <n v="97.037165000045206"/>
    <n v="97.037165000045206"/>
    <n v="97.037165000045206"/>
    <n v="97.872903900046296"/>
    <s v="b"/>
    <n v="1"/>
    <n v="0.83029439998790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Chair"/>
    <s v="I"/>
    <x v="0"/>
    <s v="neutral"/>
    <s v="green"/>
    <s v="g"/>
    <n v="62"/>
    <n v="2"/>
    <n v="3"/>
    <s v="g"/>
    <n v="1"/>
    <n v="1.08055549999699"/>
    <s v="None"/>
    <n v="3"/>
    <n v="2"/>
    <n v="62"/>
    <n v="10"/>
    <n v="97.886501800036001"/>
    <m/>
    <m/>
    <m/>
    <m/>
    <n v="97.875290099997002"/>
    <n v="97.886501800036001"/>
    <n v="98.386309400026207"/>
    <n v="98.386309400026207"/>
    <n v="98.386309400026207"/>
    <n v="99.4748280000058"/>
    <s v="g"/>
    <n v="1"/>
    <n v="1.080555499996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hreat"/>
    <s v="I"/>
    <x v="1"/>
    <s v="emotional"/>
    <s v="blue"/>
    <s v="b"/>
    <n v="63"/>
    <n v="3"/>
    <n v="3"/>
    <s v="b"/>
    <n v="1"/>
    <n v="0.77397420001216199"/>
    <s v="None"/>
    <n v="3"/>
    <n v="3"/>
    <n v="63"/>
    <n v="5"/>
    <n v="99.486757900041994"/>
    <m/>
    <m/>
    <m/>
    <m/>
    <n v="99.478418000042396"/>
    <n v="99.486757900041994"/>
    <n v="99.986945300013701"/>
    <n v="99.986945300013701"/>
    <n v="99.986945300013701"/>
    <n v="100.77439199999201"/>
    <s v="b"/>
    <n v="1"/>
    <n v="0.773974200012161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nger"/>
    <s v="C"/>
    <x v="2"/>
    <s v="emotional"/>
    <s v="red"/>
    <s v="r"/>
    <n v="64"/>
    <n v="4"/>
    <n v="3"/>
    <s v="r"/>
    <n v="1"/>
    <n v="0.71493349998490796"/>
    <s v="None"/>
    <n v="3"/>
    <n v="4"/>
    <n v="64"/>
    <n v="8"/>
    <n v="100.78720070002601"/>
    <m/>
    <m/>
    <m/>
    <m/>
    <n v="100.777318600041"/>
    <n v="100.78720070002601"/>
    <n v="101.28747999999899"/>
    <n v="101.28747999999899"/>
    <n v="101.28747999999899"/>
    <n v="102.00765430001699"/>
    <s v="r"/>
    <n v="1"/>
    <n v="0.7149334999849079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per"/>
    <s v="I"/>
    <x v="0"/>
    <s v="neutral"/>
    <s v="yellow"/>
    <s v="y"/>
    <n v="65"/>
    <n v="5"/>
    <n v="3"/>
    <s v="y"/>
    <n v="1"/>
    <n v="0.97530719998758197"/>
    <s v="None"/>
    <n v="3"/>
    <n v="5"/>
    <n v="65"/>
    <n v="15"/>
    <n v="102.020629900041"/>
    <m/>
    <m/>
    <m/>
    <m/>
    <n v="102.010892599995"/>
    <n v="102.020629900041"/>
    <n v="102.520542100013"/>
    <n v="102.520542100013"/>
    <n v="102.520542100013"/>
    <n v="103.507212700031"/>
    <s v="y"/>
    <n v="1"/>
    <n v="0.9753071999875819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Fear"/>
    <s v="C"/>
    <x v="2"/>
    <s v="emotional"/>
    <s v="red"/>
    <s v="r"/>
    <n v="66"/>
    <n v="6"/>
    <n v="3"/>
    <s v="r"/>
    <n v="1"/>
    <n v="0.95050129998708099"/>
    <s v="None"/>
    <n v="3"/>
    <n v="6"/>
    <n v="66"/>
    <n v="0"/>
    <n v="103.520273500005"/>
    <m/>
    <m/>
    <m/>
    <m/>
    <n v="103.510145900014"/>
    <n v="103.520273500005"/>
    <n v="104.020866600039"/>
    <n v="104.020866600039"/>
    <n v="104.020866600039"/>
    <n v="104.973938500043"/>
    <s v="r"/>
    <n v="1"/>
    <n v="0.950501299987080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adness"/>
    <s v="I"/>
    <x v="1"/>
    <s v="emotional"/>
    <s v="yellow"/>
    <s v="y"/>
    <n v="67"/>
    <n v="7"/>
    <n v="3"/>
    <s v="y"/>
    <n v="1"/>
    <n v="0.90535789995919902"/>
    <s v="None"/>
    <n v="3"/>
    <n v="7"/>
    <n v="67"/>
    <n v="7"/>
    <n v="104.987468500039"/>
    <m/>
    <m/>
    <m/>
    <m/>
    <n v="104.97750370000701"/>
    <n v="104.987468500039"/>
    <n v="105.488889300031"/>
    <n v="105.488889300031"/>
    <n v="105.488889300031"/>
    <n v="106.40764430002299"/>
    <s v="y"/>
    <n v="1"/>
    <n v="0.9053578999591990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able"/>
    <s v="I"/>
    <x v="0"/>
    <s v="neutral"/>
    <s v="blue"/>
    <s v="b"/>
    <n v="68"/>
    <n v="8"/>
    <n v="3"/>
    <s v="b"/>
    <n v="1"/>
    <n v="0.70072650001384296"/>
    <s v="None"/>
    <n v="3"/>
    <n v="8"/>
    <n v="68"/>
    <n v="13"/>
    <n v="106.420130800048"/>
    <m/>
    <m/>
    <m/>
    <m/>
    <n v="106.410905600001"/>
    <n v="106.420130800048"/>
    <n v="106.920296300027"/>
    <n v="106.920296300027"/>
    <n v="106.920296300027"/>
    <n v="107.624720300023"/>
    <s v="b"/>
    <n v="1"/>
    <n v="0.7007265000138429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Violence"/>
    <s v="I"/>
    <x v="1"/>
    <s v="emotional"/>
    <s v="blue"/>
    <s v="b"/>
    <n v="69"/>
    <n v="9"/>
    <n v="3"/>
    <s v="b"/>
    <n v="1"/>
    <n v="0.42737639998085702"/>
    <s v="None"/>
    <n v="3"/>
    <n v="9"/>
    <n v="69"/>
    <n v="9"/>
    <n v="107.636675900022"/>
    <m/>
    <m/>
    <m/>
    <m/>
    <n v="107.62873400002699"/>
    <n v="107.636675900022"/>
    <n v="108.136855799995"/>
    <n v="108.136855799995"/>
    <n v="108.136855799995"/>
    <n v="108.573854100017"/>
    <s v="b"/>
    <n v="1"/>
    <n v="0.4273763999808570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Injury"/>
    <s v="I"/>
    <x v="1"/>
    <s v="emotional"/>
    <s v="green"/>
    <s v="g"/>
    <n v="70"/>
    <n v="10"/>
    <n v="3"/>
    <s v="g"/>
    <n v="1"/>
    <n v="0.824257800006307"/>
    <s v="None"/>
    <n v="3"/>
    <n v="10"/>
    <n v="70"/>
    <n v="6"/>
    <n v="108.58661890000801"/>
    <m/>
    <m/>
    <m/>
    <m/>
    <n v="108.57682280003699"/>
    <n v="108.58661890000801"/>
    <n v="109.087047000008"/>
    <n v="109.087047000008"/>
    <n v="109.087047000008"/>
    <n v="109.923533299996"/>
    <s v="g"/>
    <n v="1"/>
    <n v="0.82425780000630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tone"/>
    <s v="I"/>
    <x v="0"/>
    <s v="neutral"/>
    <s v="yellow"/>
    <s v="y"/>
    <n v="71"/>
    <n v="11"/>
    <n v="3"/>
    <s v="y"/>
    <n v="1"/>
    <n v="0.65508340002270404"/>
    <s v="None"/>
    <n v="3"/>
    <n v="11"/>
    <n v="71"/>
    <n v="19"/>
    <n v="109.93698420003"/>
    <m/>
    <m/>
    <m/>
    <m/>
    <n v="109.926490000041"/>
    <n v="109.93698420003"/>
    <n v="110.437168600037"/>
    <n v="110.437168600037"/>
    <n v="110.437168600037"/>
    <n v="111.093107299995"/>
    <s v="y"/>
    <n v="1"/>
    <n v="0.6550834000227040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ok"/>
    <s v="I"/>
    <x v="0"/>
    <s v="neutral"/>
    <s v="blue"/>
    <s v="b"/>
    <n v="72"/>
    <n v="12"/>
    <n v="3"/>
    <s v="b"/>
    <n v="1"/>
    <n v="0.68934410001384006"/>
    <s v="None"/>
    <n v="3"/>
    <n v="12"/>
    <n v="72"/>
    <n v="17"/>
    <n v="111.10344000003499"/>
    <m/>
    <m/>
    <m/>
    <m/>
    <n v="111.096527700021"/>
    <n v="111.10344000003499"/>
    <n v="111.603672600002"/>
    <n v="111.603672600002"/>
    <n v="111.603672600002"/>
    <n v="112.306470600015"/>
    <s v="b"/>
    <n v="1"/>
    <n v="0.6893441000138400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Garden"/>
    <s v="I"/>
    <x v="0"/>
    <s v="neutral"/>
    <s v="red"/>
    <s v="r"/>
    <n v="73"/>
    <n v="13"/>
    <n v="3"/>
    <s v="r"/>
    <n v="1"/>
    <n v="0.59250299999257505"/>
    <s v="None"/>
    <n v="3"/>
    <n v="13"/>
    <n v="73"/>
    <n v="16"/>
    <n v="112.319647299998"/>
    <m/>
    <m/>
    <m/>
    <m/>
    <n v="112.3091671"/>
    <n v="112.319647299998"/>
    <n v="112.82039200002301"/>
    <n v="112.82039200002301"/>
    <n v="112.82039200002301"/>
    <n v="113.423616000043"/>
    <s v="r"/>
    <n v="1"/>
    <n v="0.5925029999925750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Window"/>
    <s v="I"/>
    <x v="0"/>
    <s v="neutral"/>
    <s v="red"/>
    <s v="r"/>
    <n v="74"/>
    <n v="14"/>
    <n v="3"/>
    <s v="r"/>
    <n v="1"/>
    <n v="0.46937269996851599"/>
    <s v="None"/>
    <n v="3"/>
    <n v="14"/>
    <n v="74"/>
    <n v="12"/>
    <n v="113.438349000003"/>
    <m/>
    <m/>
    <m/>
    <m/>
    <n v="113.427419300016"/>
    <n v="113.438349000003"/>
    <n v="113.936391399998"/>
    <n v="113.936391399998"/>
    <n v="113.936391399998"/>
    <n v="114.42156069999299"/>
    <s v="r"/>
    <n v="1"/>
    <n v="0.469372699968515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encil"/>
    <s v="I"/>
    <x v="0"/>
    <s v="neutral"/>
    <s v="green"/>
    <s v="g"/>
    <n v="75"/>
    <n v="15"/>
    <n v="3"/>
    <s v="g"/>
    <n v="1"/>
    <n v="1.4228159000049301"/>
    <s v="None"/>
    <n v="3"/>
    <n v="15"/>
    <n v="75"/>
    <n v="14"/>
    <n v="114.435580299992"/>
    <m/>
    <m/>
    <m/>
    <m/>
    <n v="114.424169900012"/>
    <n v="114.435580299992"/>
    <n v="114.936322199995"/>
    <n v="114.936322199995"/>
    <n v="114.936322199995"/>
    <n v="116.374262600031"/>
    <s v="g"/>
    <n v="1"/>
    <n v="1.42281590000493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Death"/>
    <s v="I"/>
    <x v="1"/>
    <s v="emotional"/>
    <s v="green"/>
    <s v="g"/>
    <n v="76"/>
    <n v="16"/>
    <n v="3"/>
    <s v="g"/>
    <n v="1"/>
    <n v="0.70803770003840305"/>
    <s v="None"/>
    <n v="3"/>
    <n v="16"/>
    <n v="76"/>
    <n v="2"/>
    <n v="116.386217500024"/>
    <m/>
    <m/>
    <m/>
    <m/>
    <n v="116.377609000017"/>
    <n v="116.386217500024"/>
    <n v="116.886205699993"/>
    <n v="116.886205699993"/>
    <n v="116.886205699993"/>
    <n v="117.607256100047"/>
    <s v="g"/>
    <n v="1"/>
    <n v="0.7080377000384030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buse"/>
    <s v="C"/>
    <x v="2"/>
    <s v="emotional"/>
    <s v="red"/>
    <s v="r"/>
    <n v="77"/>
    <n v="17"/>
    <n v="3"/>
    <s v="r"/>
    <n v="1"/>
    <n v="0.76081319997319896"/>
    <s v="None"/>
    <n v="3"/>
    <n v="17"/>
    <n v="77"/>
    <n v="4"/>
    <n v="117.620208800013"/>
    <m/>
    <m/>
    <m/>
    <m/>
    <n v="117.609906600031"/>
    <n v="117.620208800013"/>
    <n v="118.12007920001599"/>
    <n v="118.12007920001599"/>
    <n v="118.12007920001599"/>
    <n v="118.88984030002"/>
    <s v="r"/>
    <n v="1"/>
    <n v="0.7608131999731989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ttle"/>
    <s v="I"/>
    <x v="0"/>
    <s v="neutral"/>
    <s v="yellow"/>
    <s v="y"/>
    <n v="78"/>
    <n v="18"/>
    <n v="3"/>
    <s v="y"/>
    <n v="1"/>
    <n v="0.94541769998613701"/>
    <s v="None"/>
    <n v="3"/>
    <n v="18"/>
    <n v="78"/>
    <n v="11"/>
    <n v="118.903106500045"/>
    <m/>
    <m/>
    <m/>
    <m/>
    <n v="118.892471800034"/>
    <n v="118.903106500045"/>
    <n v="119.403406500001"/>
    <n v="119.403406500001"/>
    <n v="119.403406500001"/>
    <n v="120.35634520003801"/>
    <s v="y"/>
    <n v="1"/>
    <n v="0.945417699986137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nic"/>
    <s v="I"/>
    <x v="1"/>
    <s v="emotional"/>
    <s v="yellow"/>
    <s v="y"/>
    <n v="79"/>
    <n v="19"/>
    <n v="3"/>
    <s v="y"/>
    <n v="1"/>
    <n v="0.48774620000040098"/>
    <s v="None"/>
    <n v="3"/>
    <n v="19"/>
    <n v="79"/>
    <n v="3"/>
    <n v="120.369377900031"/>
    <m/>
    <m/>
    <m/>
    <m/>
    <n v="120.35958300001199"/>
    <n v="120.369377900031"/>
    <n v="120.87064530001901"/>
    <n v="120.87064530001901"/>
    <n v="120.87064530001901"/>
    <n v="121.374162700027"/>
    <s v="y"/>
    <n v="1"/>
    <n v="0.487746200000400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Window"/>
    <s v="I"/>
    <x v="0"/>
    <s v="neutral"/>
    <s v="red"/>
    <s v="r"/>
    <n v="80"/>
    <n v="0"/>
    <n v="4"/>
    <s v="r"/>
    <n v="1"/>
    <n v="0.69880129996454299"/>
    <s v="None"/>
    <n v="4"/>
    <n v="0"/>
    <n v="80"/>
    <n v="12"/>
    <n v="121.38610699999801"/>
    <m/>
    <m/>
    <m/>
    <m/>
    <n v="121.377489600039"/>
    <n v="121.38610699999801"/>
    <n v="121.886069500003"/>
    <n v="121.886069500003"/>
    <n v="121.886069500003"/>
    <n v="122.590714100049"/>
    <s v="r"/>
    <n v="1"/>
    <n v="0.698801299964542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Road"/>
    <s v="I"/>
    <x v="0"/>
    <s v="neutral"/>
    <s v="green"/>
    <s v="g"/>
    <n v="81"/>
    <n v="1"/>
    <n v="4"/>
    <s v="g"/>
    <n v="1"/>
    <n v="1.1959942000103101"/>
    <s v="None"/>
    <n v="4"/>
    <n v="1"/>
    <n v="81"/>
    <n v="18"/>
    <n v="122.602806800045"/>
    <m/>
    <m/>
    <m/>
    <m/>
    <n v="122.59361820004401"/>
    <n v="122.602806800045"/>
    <n v="123.103080500033"/>
    <n v="123.103080500033"/>
    <n v="123.103080500033"/>
    <n v="124.30691220000099"/>
    <s v="g"/>
    <n v="1"/>
    <n v="1.19599420001031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ttle"/>
    <s v="I"/>
    <x v="0"/>
    <s v="neutral"/>
    <s v="yellow"/>
    <s v="y"/>
    <n v="82"/>
    <n v="2"/>
    <n v="4"/>
    <s v="y"/>
    <n v="1"/>
    <n v="0.745323200011625"/>
    <s v="None"/>
    <n v="4"/>
    <n v="2"/>
    <n v="82"/>
    <n v="11"/>
    <n v="124.319434200006"/>
    <m/>
    <m/>
    <m/>
    <m/>
    <n v="124.309449899999"/>
    <n v="124.319434200006"/>
    <n v="124.81993650004701"/>
    <n v="124.81993650004701"/>
    <n v="124.81993650004701"/>
    <n v="125.57273810001701"/>
    <s v="y"/>
    <n v="1"/>
    <n v="0.74532320001162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nger"/>
    <s v="C"/>
    <x v="2"/>
    <s v="emotional"/>
    <s v="red"/>
    <s v="r"/>
    <n v="83"/>
    <n v="3"/>
    <n v="4"/>
    <s v="r"/>
    <n v="1"/>
    <n v="1.16402389999711"/>
    <s v="None"/>
    <n v="4"/>
    <n v="3"/>
    <n v="83"/>
    <n v="8"/>
    <n v="125.5863962"/>
    <m/>
    <m/>
    <m/>
    <m/>
    <n v="125.575520200014"/>
    <n v="125.5863962"/>
    <n v="126.086324800038"/>
    <n v="126.086324800038"/>
    <n v="126.086324800038"/>
    <n v="127.256486800033"/>
    <s v="r"/>
    <n v="1"/>
    <n v="1.1640238999971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Death"/>
    <s v="I"/>
    <x v="1"/>
    <s v="emotional"/>
    <s v="green"/>
    <s v="g"/>
    <n v="84"/>
    <n v="4"/>
    <n v="4"/>
    <s v="g"/>
    <n v="1"/>
    <n v="0.842352100007701"/>
    <s v="None"/>
    <n v="4"/>
    <n v="4"/>
    <n v="84"/>
    <n v="2"/>
    <n v="127.269687600026"/>
    <m/>
    <m/>
    <m/>
    <m/>
    <n v="127.259851400041"/>
    <n v="127.269687600026"/>
    <n v="127.77017770003199"/>
    <n v="127.77017770003199"/>
    <n v="127.77017770003199"/>
    <n v="128.62292970000999"/>
    <s v="g"/>
    <n v="1"/>
    <n v="0.8423521000077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tone"/>
    <s v="I"/>
    <x v="0"/>
    <s v="neutral"/>
    <s v="yellow"/>
    <s v="y"/>
    <n v="85"/>
    <n v="5"/>
    <n v="4"/>
    <s v="y"/>
    <n v="1"/>
    <n v="0.72727630002191201"/>
    <s v="None"/>
    <n v="4"/>
    <n v="5"/>
    <n v="85"/>
    <n v="19"/>
    <n v="128.63575469999299"/>
    <m/>
    <m/>
    <m/>
    <m/>
    <n v="128.626751800009"/>
    <n v="128.63575469999299"/>
    <n v="129.13642680004699"/>
    <n v="129.13642680004699"/>
    <n v="129.13642680004699"/>
    <n v="129.87276460003301"/>
    <s v="y"/>
    <n v="1"/>
    <n v="0.727276300021912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hreat"/>
    <s v="I"/>
    <x v="1"/>
    <s v="emotional"/>
    <s v="blue"/>
    <s v="b"/>
    <n v="86"/>
    <n v="6"/>
    <n v="4"/>
    <s v="b"/>
    <n v="1"/>
    <n v="0.69933099998161197"/>
    <s v="None"/>
    <n v="4"/>
    <n v="6"/>
    <n v="86"/>
    <n v="5"/>
    <n v="129.886023300001"/>
    <m/>
    <m/>
    <m/>
    <m/>
    <n v="129.87546990002701"/>
    <n v="129.886023300001"/>
    <n v="130.38619910000099"/>
    <n v="130.38619910000099"/>
    <n v="130.38619910000099"/>
    <n v="131.089763100026"/>
    <s v="b"/>
    <n v="1"/>
    <n v="0.6993309999816119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in"/>
    <s v="I"/>
    <x v="1"/>
    <s v="emotional"/>
    <s v="blue"/>
    <s v="b"/>
    <n v="87"/>
    <n v="7"/>
    <n v="4"/>
    <s v="b"/>
    <n v="1"/>
    <n v="0.39551030000438903"/>
    <s v="None"/>
    <n v="4"/>
    <n v="7"/>
    <n v="87"/>
    <n v="1"/>
    <n v="131.10292490001299"/>
    <m/>
    <m/>
    <m/>
    <m/>
    <n v="131.09241159999499"/>
    <n v="131.10292490001299"/>
    <n v="131.60260440001699"/>
    <n v="131.60260440001699"/>
    <n v="131.60260440001699"/>
    <n v="132.00765730003999"/>
    <s v="b"/>
    <n v="1"/>
    <n v="0.395510300004389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Fear"/>
    <s v="C"/>
    <x v="2"/>
    <s v="emotional"/>
    <s v="red"/>
    <s v="r"/>
    <n v="88"/>
    <n v="8"/>
    <n v="4"/>
    <s v="r"/>
    <n v="1"/>
    <n v="0.51300560001982298"/>
    <s v="None"/>
    <n v="4"/>
    <n v="8"/>
    <n v="88"/>
    <n v="0"/>
    <n v="132.02021790004801"/>
    <m/>
    <m/>
    <m/>
    <m/>
    <n v="132.011160199996"/>
    <n v="132.02021790004801"/>
    <n v="132.51889629999599"/>
    <n v="132.51889629999599"/>
    <n v="132.51889629999599"/>
    <n v="133.03951090003801"/>
    <s v="r"/>
    <n v="1"/>
    <n v="0.513005600019822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Injury"/>
    <s v="I"/>
    <x v="1"/>
    <s v="emotional"/>
    <s v="green"/>
    <s v="g"/>
    <n v="89"/>
    <n v="9"/>
    <n v="4"/>
    <s v="g"/>
    <n v="1"/>
    <n v="0.83632080000825204"/>
    <s v="None"/>
    <n v="4"/>
    <n v="9"/>
    <n v="89"/>
    <n v="6"/>
    <n v="133.05241230002099"/>
    <m/>
    <m/>
    <m/>
    <m/>
    <n v="133.04308740003"/>
    <n v="133.05241230002099"/>
    <n v="133.55232990003401"/>
    <n v="133.55232990003401"/>
    <n v="133.55232990003401"/>
    <n v="134.389892300008"/>
    <s v="g"/>
    <n v="1"/>
    <n v="0.8363208000082520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Chair"/>
    <s v="I"/>
    <x v="0"/>
    <s v="neutral"/>
    <s v="green"/>
    <s v="g"/>
    <n v="90"/>
    <n v="10"/>
    <n v="4"/>
    <s v="g"/>
    <n v="1"/>
    <n v="0.51603649999015"/>
    <s v="None"/>
    <n v="4"/>
    <n v="10"/>
    <n v="90"/>
    <n v="10"/>
    <n v="134.402251799998"/>
    <m/>
    <m/>
    <m/>
    <m/>
    <n v="134.392558499996"/>
    <n v="134.402251799998"/>
    <n v="134.90226110001001"/>
    <n v="134.90226110001001"/>
    <n v="134.90226110001001"/>
    <n v="135.42413580004299"/>
    <s v="g"/>
    <n v="1"/>
    <n v="0.5160364999901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encil"/>
    <s v="I"/>
    <x v="0"/>
    <s v="neutral"/>
    <s v="green"/>
    <s v="g"/>
    <n v="91"/>
    <n v="11"/>
    <n v="4"/>
    <s v="g"/>
    <n v="1"/>
    <n v="0.58796049997908995"/>
    <s v="None"/>
    <n v="4"/>
    <n v="11"/>
    <n v="91"/>
    <n v="14"/>
    <n v="135.435493200027"/>
    <m/>
    <m/>
    <m/>
    <m/>
    <n v="135.428505200019"/>
    <n v="135.435493200027"/>
    <n v="135.93532380001801"/>
    <n v="135.93532380001801"/>
    <n v="135.93532380001801"/>
    <n v="136.53893390000999"/>
    <s v="g"/>
    <n v="1"/>
    <n v="0.5879604999790899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Violence"/>
    <s v="I"/>
    <x v="1"/>
    <s v="emotional"/>
    <s v="blue"/>
    <s v="b"/>
    <n v="92"/>
    <n v="12"/>
    <n v="4"/>
    <s v="b"/>
    <n v="1"/>
    <n v="0.73054070002399296"/>
    <s v="None"/>
    <n v="4"/>
    <n v="12"/>
    <n v="92"/>
    <n v="9"/>
    <n v="136.552103499998"/>
    <m/>
    <m/>
    <m/>
    <m/>
    <n v="136.54193480004301"/>
    <n v="136.552103499998"/>
    <n v="137.052518500015"/>
    <n v="137.052518500015"/>
    <n v="137.052518500015"/>
    <n v="137.788951700029"/>
    <s v="b"/>
    <n v="1"/>
    <n v="0.7305407000239929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adness"/>
    <s v="I"/>
    <x v="1"/>
    <s v="emotional"/>
    <s v="yellow"/>
    <s v="y"/>
    <n v="93"/>
    <n v="13"/>
    <n v="4"/>
    <s v="y"/>
    <n v="1"/>
    <n v="1.28341649996582"/>
    <s v="None"/>
    <n v="4"/>
    <n v="13"/>
    <n v="93"/>
    <n v="7"/>
    <n v="137.80088080000101"/>
    <m/>
    <m/>
    <m/>
    <m/>
    <n v="137.792140400037"/>
    <n v="137.80088080000101"/>
    <n v="138.30244600004499"/>
    <n v="138.30244600004499"/>
    <n v="138.30244600004499"/>
    <n v="139.589429600047"/>
    <s v="y"/>
    <n v="1"/>
    <n v="1.2834164999658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per"/>
    <s v="I"/>
    <x v="0"/>
    <s v="neutral"/>
    <s v="yellow"/>
    <s v="y"/>
    <n v="94"/>
    <n v="14"/>
    <n v="4"/>
    <s v="y"/>
    <n v="1"/>
    <n v="0.46275730000343102"/>
    <s v="None"/>
    <n v="4"/>
    <n v="14"/>
    <n v="94"/>
    <n v="15"/>
    <n v="139.60276800003999"/>
    <m/>
    <m/>
    <m/>
    <m/>
    <n v="139.59217750001699"/>
    <n v="139.60276800003999"/>
    <n v="140.102235800004"/>
    <n v="140.102235800004"/>
    <n v="140.102235800004"/>
    <n v="140.572663000028"/>
    <s v="y"/>
    <n v="1"/>
    <n v="0.4627573000034310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ok"/>
    <s v="I"/>
    <x v="0"/>
    <s v="neutral"/>
    <s v="blue"/>
    <s v="b"/>
    <n v="95"/>
    <n v="15"/>
    <n v="4"/>
    <s v="g"/>
    <n v="0"/>
    <n v="0.75049080001190305"/>
    <s v="None"/>
    <n v="4"/>
    <n v="15"/>
    <n v="95"/>
    <n v="17"/>
    <n v="140.58554820000401"/>
    <m/>
    <m/>
    <m/>
    <m/>
    <n v="140.575110100035"/>
    <n v="140.58554820000401"/>
    <n v="141.08573420002301"/>
    <n v="141.08573420002301"/>
    <n v="141.08573420002301"/>
    <n v="141.83853420003999"/>
    <s v="g"/>
    <n v="0"/>
    <n v="0.7504908000119030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nic"/>
    <s v="I"/>
    <x v="1"/>
    <s v="emotional"/>
    <s v="yellow"/>
    <s v="y"/>
    <n v="96"/>
    <n v="16"/>
    <n v="4"/>
    <s v="r"/>
    <n v="0"/>
    <n v="1.45544639998115"/>
    <s v="None"/>
    <n v="4"/>
    <n v="16"/>
    <n v="96"/>
    <n v="3"/>
    <n v="141.85223250003699"/>
    <m/>
    <m/>
    <m/>
    <m/>
    <n v="141.84151739999601"/>
    <n v="141.85223250003699"/>
    <n v="142.352541900007"/>
    <n v="142.352541900007"/>
    <n v="142.352541900007"/>
    <n v="143.82282930001301"/>
    <s v="r"/>
    <n v="0"/>
    <n v="1.4554463999811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Garden"/>
    <s v="I"/>
    <x v="0"/>
    <s v="neutral"/>
    <s v="red"/>
    <s v="r"/>
    <n v="97"/>
    <n v="17"/>
    <n v="4"/>
    <s v="r"/>
    <n v="1"/>
    <n v="0.54670559999067303"/>
    <s v="None"/>
    <n v="4"/>
    <n v="17"/>
    <n v="97"/>
    <n v="16"/>
    <n v="143.83553919999301"/>
    <m/>
    <m/>
    <m/>
    <m/>
    <n v="143.826321700005"/>
    <n v="143.83553919999301"/>
    <n v="144.33563260000599"/>
    <n v="144.33563260000599"/>
    <n v="144.33563260000599"/>
    <n v="144.88862360000999"/>
    <s v="r"/>
    <n v="1"/>
    <n v="0.546705599990673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buse"/>
    <s v="C"/>
    <x v="2"/>
    <s v="emotional"/>
    <s v="red"/>
    <s v="r"/>
    <n v="98"/>
    <n v="18"/>
    <n v="4"/>
    <s v="r"/>
    <n v="1"/>
    <n v="0.66056140000000596"/>
    <s v="None"/>
    <n v="4"/>
    <n v="18"/>
    <n v="98"/>
    <n v="4"/>
    <n v="144.90179220004899"/>
    <m/>
    <m/>
    <m/>
    <m/>
    <n v="144.89189150003901"/>
    <n v="144.90179220004899"/>
    <n v="145.40272420004399"/>
    <n v="145.40272420004399"/>
    <n v="145.40272420004399"/>
    <n v="146.07186490000399"/>
    <s v="r"/>
    <n v="1"/>
    <n v="0.6605614000000059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able"/>
    <s v="I"/>
    <x v="0"/>
    <s v="neutral"/>
    <s v="blue"/>
    <s v="b"/>
    <n v="99"/>
    <n v="19"/>
    <n v="4"/>
    <s v="b"/>
    <n v="1"/>
    <n v="0.54249089997028899"/>
    <s v="None"/>
    <n v="4"/>
    <n v="19"/>
    <n v="99"/>
    <n v="13"/>
    <n v="146.085374300018"/>
    <m/>
    <m/>
    <m/>
    <m/>
    <n v="146.07497970003101"/>
    <n v="146.085374300018"/>
    <n v="146.58521170000299"/>
    <n v="146.58521170000299"/>
    <n v="146.58521170000299"/>
    <n v="147.14145960000999"/>
    <s v="b"/>
    <n v="1"/>
    <n v="0.542490899970288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Chair"/>
    <s v="I"/>
    <x v="0"/>
    <s v="neutral"/>
    <s v="green"/>
    <s v="g"/>
    <n v="100"/>
    <n v="0"/>
    <n v="5"/>
    <s v="g"/>
    <n v="1"/>
    <n v="0.69689520000247196"/>
    <s v="None"/>
    <n v="5"/>
    <n v="0"/>
    <n v="100"/>
    <n v="10"/>
    <n v="147.167705900035"/>
    <m/>
    <m/>
    <m/>
    <m/>
    <n v="147.14886710001099"/>
    <n v="147.167705900035"/>
    <n v="147.651680300012"/>
    <n v="147.651680300012"/>
    <n v="147.651680300012"/>
    <n v="148.356016600038"/>
    <s v="g"/>
    <n v="1"/>
    <n v="0.6968952000024719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in"/>
    <s v="I"/>
    <x v="1"/>
    <s v="emotional"/>
    <s v="blue"/>
    <s v="b"/>
    <n v="101"/>
    <n v="1"/>
    <n v="5"/>
    <s v="b"/>
    <n v="1"/>
    <n v="0.74782579997554399"/>
    <s v="None"/>
    <n v="5"/>
    <n v="1"/>
    <n v="101"/>
    <n v="1"/>
    <n v="148.36872339999499"/>
    <m/>
    <m/>
    <m/>
    <m/>
    <n v="148.358975400042"/>
    <n v="148.36872339999499"/>
    <n v="148.868304400006"/>
    <n v="148.868304400006"/>
    <n v="148.868304400006"/>
    <n v="149.62224860000401"/>
    <s v="b"/>
    <n v="1"/>
    <n v="0.747825799975543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encil"/>
    <s v="I"/>
    <x v="0"/>
    <s v="neutral"/>
    <s v="green"/>
    <s v="g"/>
    <n v="102"/>
    <n v="2"/>
    <n v="5"/>
    <s v="g"/>
    <n v="1"/>
    <n v="1.07828470005188"/>
    <s v="None"/>
    <n v="5"/>
    <n v="2"/>
    <n v="102"/>
    <n v="14"/>
    <n v="149.63509819999999"/>
    <m/>
    <m/>
    <m/>
    <m/>
    <n v="149.62531880004099"/>
    <n v="149.63509819999999"/>
    <n v="150.13516679999799"/>
    <n v="150.13516679999799"/>
    <n v="150.13516679999799"/>
    <n v="151.221825100015"/>
    <s v="g"/>
    <n v="1"/>
    <n v="1.0782847000518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ok"/>
    <s v="I"/>
    <x v="0"/>
    <s v="neutral"/>
    <s v="blue"/>
    <s v="b"/>
    <n v="103"/>
    <n v="3"/>
    <n v="5"/>
    <s v="b"/>
    <n v="1"/>
    <n v="0.67897949996404305"/>
    <s v="None"/>
    <n v="5"/>
    <n v="3"/>
    <n v="103"/>
    <n v="17"/>
    <n v="151.23495489999101"/>
    <m/>
    <m/>
    <m/>
    <m/>
    <n v="151.225646900013"/>
    <n v="151.23495489999101"/>
    <n v="151.73544410004899"/>
    <n v="151.73544410004899"/>
    <n v="151.73544410004899"/>
    <n v="152.422432299994"/>
    <s v="b"/>
    <n v="1"/>
    <n v="0.6789794999640430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Violence"/>
    <s v="I"/>
    <x v="1"/>
    <s v="emotional"/>
    <s v="blue"/>
    <s v="b"/>
    <n v="104"/>
    <n v="4"/>
    <n v="5"/>
    <s v="b"/>
    <n v="1"/>
    <n v="0.61929329996928495"/>
    <s v="None"/>
    <n v="5"/>
    <n v="4"/>
    <n v="104"/>
    <n v="9"/>
    <n v="152.435578500037"/>
    <m/>
    <m/>
    <m/>
    <m/>
    <n v="152.42594859999301"/>
    <n v="152.435578500037"/>
    <n v="152.935350000043"/>
    <n v="152.935350000043"/>
    <n v="152.935350000043"/>
    <n v="153.55572320002801"/>
    <s v="b"/>
    <n v="1"/>
    <n v="0.6192932999692849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able"/>
    <s v="I"/>
    <x v="0"/>
    <s v="neutral"/>
    <s v="blue"/>
    <s v="b"/>
    <n v="105"/>
    <n v="5"/>
    <n v="5"/>
    <s v="b"/>
    <n v="1"/>
    <n v="0.49040900002000798"/>
    <s v="None"/>
    <n v="5"/>
    <n v="5"/>
    <n v="105"/>
    <n v="13"/>
    <n v="153.567991900024"/>
    <m/>
    <m/>
    <m/>
    <m/>
    <n v="153.559165200043"/>
    <n v="153.567991900024"/>
    <n v="154.067972100048"/>
    <n v="154.067972100048"/>
    <n v="154.067972100048"/>
    <n v="154.57181220000999"/>
    <s v="b"/>
    <n v="1"/>
    <n v="0.490409000020007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Death"/>
    <s v="I"/>
    <x v="1"/>
    <s v="emotional"/>
    <s v="green"/>
    <s v="g"/>
    <n v="106"/>
    <n v="6"/>
    <n v="5"/>
    <s v="g"/>
    <n v="1"/>
    <n v="1.20928200002526"/>
    <s v="None"/>
    <n v="5"/>
    <n v="6"/>
    <n v="106"/>
    <n v="2"/>
    <n v="154.58520920004199"/>
    <m/>
    <m/>
    <m/>
    <m/>
    <n v="154.57447480002801"/>
    <n v="154.58520920004199"/>
    <n v="155.08471830002901"/>
    <n v="155.08471830002901"/>
    <n v="155.08471830002901"/>
    <n v="156.305655300035"/>
    <s v="g"/>
    <n v="1"/>
    <n v="1.2092820000252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Injury"/>
    <s v="I"/>
    <x v="1"/>
    <s v="emotional"/>
    <s v="green"/>
    <s v="g"/>
    <n v="107"/>
    <n v="7"/>
    <n v="5"/>
    <s v="g"/>
    <n v="1"/>
    <n v="0.48967300000367597"/>
    <s v="None"/>
    <n v="5"/>
    <n v="7"/>
    <n v="107"/>
    <n v="6"/>
    <n v="156.31861000001601"/>
    <m/>
    <m/>
    <m/>
    <m/>
    <n v="156.30841580004099"/>
    <n v="156.31861000001601"/>
    <n v="156.81831270002201"/>
    <n v="156.81831270002201"/>
    <n v="156.81831270002201"/>
    <n v="157.322101700003"/>
    <s v="g"/>
    <n v="1"/>
    <n v="0.4896730000036759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ttle"/>
    <s v="I"/>
    <x v="0"/>
    <s v="neutral"/>
    <s v="yellow"/>
    <s v="y"/>
    <n v="108"/>
    <n v="8"/>
    <n v="5"/>
    <s v="y"/>
    <n v="1"/>
    <n v="0.73989969998365201"/>
    <s v="None"/>
    <n v="5"/>
    <n v="8"/>
    <n v="108"/>
    <n v="11"/>
    <n v="157.33506860001901"/>
    <m/>
    <m/>
    <m/>
    <m/>
    <n v="157.32486350002"/>
    <n v="157.33506860001901"/>
    <n v="157.83432399999501"/>
    <n v="157.83432399999501"/>
    <n v="157.83432399999501"/>
    <n v="158.58906260004699"/>
    <s v="y"/>
    <n v="1"/>
    <n v="0.739899699983652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nger"/>
    <s v="C"/>
    <x v="2"/>
    <s v="emotional"/>
    <s v="red"/>
    <s v="r"/>
    <n v="109"/>
    <n v="9"/>
    <n v="5"/>
    <s v="r"/>
    <n v="1"/>
    <n v="0.56732679996639401"/>
    <s v="None"/>
    <n v="5"/>
    <n v="9"/>
    <n v="109"/>
    <n v="8"/>
    <n v="158.60146710002999"/>
    <m/>
    <m/>
    <m/>
    <m/>
    <n v="158.591720200027"/>
    <n v="158.60146710002999"/>
    <n v="159.10156440001401"/>
    <n v="159.10156440001401"/>
    <n v="159.10156440001401"/>
    <n v="159.67255060002199"/>
    <s v="r"/>
    <n v="1"/>
    <n v="0.567326799966394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nic"/>
    <s v="I"/>
    <x v="1"/>
    <s v="emotional"/>
    <s v="yellow"/>
    <s v="y"/>
    <n v="110"/>
    <n v="10"/>
    <n v="5"/>
    <s v="g"/>
    <n v="0"/>
    <n v="0.87173250003252101"/>
    <s v="None"/>
    <n v="5"/>
    <n v="10"/>
    <n v="110"/>
    <n v="3"/>
    <n v="159.684763199999"/>
    <m/>
    <m/>
    <m/>
    <m/>
    <n v="159.67585870000701"/>
    <n v="159.684763199999"/>
    <n v="160.18494000000601"/>
    <n v="160.18494000000601"/>
    <n v="160.18494000000601"/>
    <n v="161.071619299997"/>
    <s v="g"/>
    <n v="0"/>
    <n v="0.871732500032521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per"/>
    <s v="I"/>
    <x v="0"/>
    <s v="neutral"/>
    <s v="yellow"/>
    <s v="y"/>
    <n v="111"/>
    <n v="11"/>
    <n v="5"/>
    <s v="y"/>
    <n v="1"/>
    <n v="1.1206388000282399"/>
    <s v="None"/>
    <n v="5"/>
    <n v="11"/>
    <n v="111"/>
    <n v="15"/>
    <n v="161.08469940000199"/>
    <m/>
    <m/>
    <m/>
    <m/>
    <n v="161.07476370001601"/>
    <n v="161.08469940000199"/>
    <n v="161.585063100035"/>
    <n v="161.585063100035"/>
    <n v="161.585063100035"/>
    <n v="162.72171180002599"/>
    <s v="y"/>
    <n v="1"/>
    <n v="1.12063880002823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hreat"/>
    <s v="I"/>
    <x v="1"/>
    <s v="emotional"/>
    <s v="blue"/>
    <s v="b"/>
    <n v="112"/>
    <n v="12"/>
    <n v="5"/>
    <s v="b"/>
    <n v="1"/>
    <n v="1.0149754000012701"/>
    <s v="None"/>
    <n v="5"/>
    <n v="12"/>
    <n v="112"/>
    <n v="5"/>
    <n v="162.734922100033"/>
    <m/>
    <m/>
    <m/>
    <m/>
    <n v="162.72438389999999"/>
    <n v="162.734922100033"/>
    <n v="163.23510490002801"/>
    <n v="163.23510490002801"/>
    <n v="163.23510490002801"/>
    <n v="164.255432600039"/>
    <s v="b"/>
    <n v="1"/>
    <n v="1.01497540000127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Fear"/>
    <s v="C"/>
    <x v="2"/>
    <s v="emotional"/>
    <s v="red"/>
    <s v="r"/>
    <n v="113"/>
    <n v="13"/>
    <n v="5"/>
    <s v="r"/>
    <n v="1"/>
    <n v="0.52194730000337497"/>
    <s v="None"/>
    <n v="5"/>
    <n v="13"/>
    <n v="113"/>
    <n v="0"/>
    <n v="164.26783110003399"/>
    <m/>
    <m/>
    <m/>
    <m/>
    <n v="164.25867930002201"/>
    <n v="164.26783110003399"/>
    <n v="164.76778789999599"/>
    <n v="164.76778789999599"/>
    <n v="164.76778789999599"/>
    <n v="165.30479110003199"/>
    <s v="r"/>
    <n v="1"/>
    <n v="0.5219473000033749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buse"/>
    <s v="C"/>
    <x v="2"/>
    <s v="emotional"/>
    <s v="red"/>
    <s v="r"/>
    <n v="114"/>
    <n v="14"/>
    <n v="5"/>
    <s v="r"/>
    <n v="1"/>
    <n v="0.55611109995515995"/>
    <s v="None"/>
    <n v="5"/>
    <n v="14"/>
    <n v="114"/>
    <n v="4"/>
    <n v="165.31847080000401"/>
    <m/>
    <m/>
    <m/>
    <m/>
    <n v="165.307658600038"/>
    <n v="165.31847080000401"/>
    <n v="165.8177594"/>
    <n v="165.8177594"/>
    <n v="165.8177594"/>
    <n v="166.388302600011"/>
    <s v="r"/>
    <n v="1"/>
    <n v="0.5561110999551599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adness"/>
    <s v="I"/>
    <x v="1"/>
    <s v="emotional"/>
    <s v="yellow"/>
    <s v="y"/>
    <n v="115"/>
    <n v="15"/>
    <n v="5"/>
    <s v="y"/>
    <n v="1"/>
    <n v="0.80952399998204705"/>
    <s v="None"/>
    <n v="5"/>
    <n v="15"/>
    <n v="115"/>
    <n v="7"/>
    <n v="166.401678599999"/>
    <m/>
    <m/>
    <m/>
    <m/>
    <n v="166.391047400014"/>
    <n v="166.401678599999"/>
    <n v="166.90111870004301"/>
    <n v="166.90111870004301"/>
    <n v="166.90111870004301"/>
    <n v="167.721065599995"/>
    <s v="y"/>
    <n v="1"/>
    <n v="0.8095239999820470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Garden"/>
    <s v="I"/>
    <x v="0"/>
    <s v="neutral"/>
    <s v="red"/>
    <s v="r"/>
    <n v="116"/>
    <n v="16"/>
    <n v="5"/>
    <s v="r"/>
    <n v="1"/>
    <n v="0.67167849995894302"/>
    <s v="None"/>
    <n v="5"/>
    <n v="16"/>
    <n v="116"/>
    <n v="16"/>
    <n v="167.734437400009"/>
    <m/>
    <m/>
    <m/>
    <m/>
    <n v="167.72418370004701"/>
    <n v="167.734437400009"/>
    <n v="168.23434830002901"/>
    <n v="168.23434830002901"/>
    <n v="168.23434830002901"/>
    <n v="168.92117710004001"/>
    <s v="r"/>
    <n v="1"/>
    <n v="0.6716784999589430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Road"/>
    <s v="I"/>
    <x v="0"/>
    <s v="neutral"/>
    <s v="green"/>
    <s v="g"/>
    <n v="117"/>
    <n v="17"/>
    <n v="5"/>
    <s v="g"/>
    <n v="1"/>
    <n v="0.83411669998895299"/>
    <s v="None"/>
    <n v="5"/>
    <n v="17"/>
    <n v="117"/>
    <n v="18"/>
    <n v="168.93403679999699"/>
    <m/>
    <m/>
    <m/>
    <m/>
    <n v="168.92454060003999"/>
    <n v="168.93403679999699"/>
    <n v="169.43428780004601"/>
    <n v="169.43428780004601"/>
    <n v="169.43428780004601"/>
    <n v="170.27146730001499"/>
    <s v="g"/>
    <n v="1"/>
    <n v="0.834116699988952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Window"/>
    <s v="I"/>
    <x v="0"/>
    <s v="neutral"/>
    <s v="red"/>
    <s v="r"/>
    <n v="118"/>
    <n v="18"/>
    <n v="5"/>
    <s v="r"/>
    <n v="1"/>
    <n v="0.64601340005174201"/>
    <s v="None"/>
    <n v="5"/>
    <n v="18"/>
    <n v="118"/>
    <n v="12"/>
    <n v="170.28417150000999"/>
    <m/>
    <m/>
    <m/>
    <m/>
    <n v="170.27473910001501"/>
    <n v="170.28417150000999"/>
    <n v="170.78391850000401"/>
    <n v="170.78391850000401"/>
    <n v="170.78391850000401"/>
    <n v="171.44054770004001"/>
    <s v="r"/>
    <n v="1"/>
    <n v="0.646013400051742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tone"/>
    <s v="I"/>
    <x v="0"/>
    <s v="neutral"/>
    <s v="yellow"/>
    <s v="y"/>
    <n v="119"/>
    <n v="19"/>
    <n v="5"/>
    <s v="y"/>
    <n v="1"/>
    <n v="0.79142189997946799"/>
    <s v="None"/>
    <n v="5"/>
    <n v="19"/>
    <n v="119"/>
    <n v="19"/>
    <n v="171.46733790001599"/>
    <m/>
    <m/>
    <m/>
    <m/>
    <n v="171.44613870000401"/>
    <n v="171.46733790001599"/>
    <n v="171.95051059999901"/>
    <n v="171.95051059999901"/>
    <n v="171.95051059999901"/>
    <n v="172.75523860001701"/>
    <s v="y"/>
    <n v="1"/>
    <n v="0.791421899979467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ttle"/>
    <s v="I"/>
    <x v="0"/>
    <s v="neutral"/>
    <s v="yellow"/>
    <s v="y"/>
    <n v="120"/>
    <n v="0"/>
    <n v="6"/>
    <s v="y"/>
    <n v="1"/>
    <n v="0.63352019997546405"/>
    <s v="None"/>
    <n v="6"/>
    <n v="0"/>
    <n v="120"/>
    <n v="11"/>
    <n v="172.76731630001399"/>
    <m/>
    <m/>
    <m/>
    <m/>
    <n v="172.75848100002599"/>
    <n v="172.76731630001399"/>
    <n v="173.26771879999399"/>
    <n v="173.26771879999399"/>
    <n v="173.26771879999399"/>
    <n v="173.90492510003901"/>
    <s v="y"/>
    <n v="1"/>
    <n v="0.6335201999754640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Fear"/>
    <s v="C"/>
    <x v="2"/>
    <s v="emotional"/>
    <s v="red"/>
    <s v="r"/>
    <n v="121"/>
    <n v="1"/>
    <n v="6"/>
    <s v="r"/>
    <n v="1"/>
    <n v="0.98542450001696102"/>
    <s v="None"/>
    <n v="6"/>
    <n v="1"/>
    <n v="121"/>
    <n v="0"/>
    <n v="173.917603600013"/>
    <m/>
    <m/>
    <m/>
    <m/>
    <n v="173.908365500043"/>
    <n v="173.917603600013"/>
    <n v="174.417095100041"/>
    <n v="174.417095100041"/>
    <n v="174.417095100041"/>
    <n v="175.40483410004501"/>
    <s v="r"/>
    <n v="1"/>
    <n v="0.9854245000169610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tone"/>
    <s v="I"/>
    <x v="0"/>
    <s v="neutral"/>
    <s v="yellow"/>
    <s v="y"/>
    <n v="122"/>
    <n v="2"/>
    <n v="6"/>
    <s v="y"/>
    <n v="1"/>
    <n v="0.89361460000509396"/>
    <s v="None"/>
    <n v="6"/>
    <n v="2"/>
    <n v="122"/>
    <n v="19"/>
    <n v="175.418034400034"/>
    <m/>
    <m/>
    <m/>
    <m/>
    <n v="175.40758920001099"/>
    <n v="175.418034400034"/>
    <n v="175.916914700006"/>
    <n v="175.916914700006"/>
    <n v="175.916914700006"/>
    <n v="176.82099350000499"/>
    <s v="y"/>
    <n v="1"/>
    <n v="0.8936146000050939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adness"/>
    <s v="I"/>
    <x v="1"/>
    <s v="emotional"/>
    <s v="yellow"/>
    <s v="y"/>
    <n v="123"/>
    <n v="3"/>
    <n v="6"/>
    <s v="y"/>
    <n v="1"/>
    <n v="0.53272519999882195"/>
    <s v="None"/>
    <n v="6"/>
    <n v="3"/>
    <n v="123"/>
    <n v="7"/>
    <n v="176.83396479999601"/>
    <m/>
    <m/>
    <m/>
    <m/>
    <n v="176.823917100031"/>
    <n v="176.83396479999601"/>
    <n v="177.333663900033"/>
    <n v="177.333663900033"/>
    <n v="177.333663900033"/>
    <n v="177.87089429999401"/>
    <s v="y"/>
    <n v="1"/>
    <n v="0.5327251999988219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in"/>
    <s v="I"/>
    <x v="1"/>
    <s v="emotional"/>
    <s v="blue"/>
    <s v="b"/>
    <n v="124"/>
    <n v="4"/>
    <n v="6"/>
    <s v="b"/>
    <n v="1"/>
    <n v="0.80168599996250101"/>
    <s v="None"/>
    <n v="6"/>
    <n v="4"/>
    <n v="124"/>
    <n v="1"/>
    <n v="177.88416740001401"/>
    <m/>
    <m/>
    <m/>
    <m/>
    <n v="177.87404260004399"/>
    <n v="177.88416740001401"/>
    <n v="178.383925400034"/>
    <n v="178.383925400034"/>
    <n v="178.383925400034"/>
    <n v="179.187555900018"/>
    <s v="b"/>
    <n v="1"/>
    <n v="0.801685999962501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ok"/>
    <s v="I"/>
    <x v="0"/>
    <s v="neutral"/>
    <s v="blue"/>
    <s v="b"/>
    <n v="125"/>
    <n v="5"/>
    <n v="6"/>
    <s v="b"/>
    <n v="1"/>
    <n v="0.48007930000312599"/>
    <s v="None"/>
    <n v="6"/>
    <n v="5"/>
    <n v="125"/>
    <n v="17"/>
    <n v="179.20049210003299"/>
    <m/>
    <m/>
    <m/>
    <m/>
    <n v="179.18998389999601"/>
    <n v="179.20049210003299"/>
    <n v="179.70030349999399"/>
    <n v="179.70030349999399"/>
    <n v="179.70030349999399"/>
    <n v="180.18897170003001"/>
    <s v="b"/>
    <n v="1"/>
    <n v="0.480079300003125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Injury"/>
    <s v="I"/>
    <x v="1"/>
    <s v="emotional"/>
    <s v="green"/>
    <s v="g"/>
    <n v="126"/>
    <n v="6"/>
    <n v="6"/>
    <s v="r"/>
    <n v="0"/>
    <n v="0.72498229995835495"/>
    <s v="None"/>
    <n v="6"/>
    <n v="6"/>
    <n v="126"/>
    <n v="6"/>
    <n v="180.20071830000899"/>
    <m/>
    <m/>
    <m/>
    <m/>
    <n v="180.192884400021"/>
    <n v="180.20071830000899"/>
    <n v="180.70084170001701"/>
    <n v="180.70084170001701"/>
    <n v="180.70084170001701"/>
    <n v="181.437537399993"/>
    <s v="r"/>
    <n v="0"/>
    <n v="0.7249822999583549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Death"/>
    <s v="I"/>
    <x v="1"/>
    <s v="emotional"/>
    <s v="green"/>
    <s v="g"/>
    <n v="127"/>
    <n v="7"/>
    <n v="6"/>
    <s v="g"/>
    <n v="1"/>
    <n v="0.72655669995583505"/>
    <s v="None"/>
    <n v="6"/>
    <n v="7"/>
    <n v="127"/>
    <n v="2"/>
    <n v="181.45048759999901"/>
    <m/>
    <m/>
    <m/>
    <m/>
    <n v="181.44016220001501"/>
    <n v="181.45048759999901"/>
    <n v="181.950569700042"/>
    <n v="181.950569700042"/>
    <n v="181.950569700042"/>
    <n v="182.68728420004399"/>
    <s v="g"/>
    <n v="1"/>
    <n v="0.7265566999558350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nic"/>
    <s v="I"/>
    <x v="1"/>
    <s v="emotional"/>
    <s v="yellow"/>
    <s v="y"/>
    <n v="128"/>
    <n v="8"/>
    <n v="6"/>
    <s v="y"/>
    <n v="1"/>
    <n v="2.3770707999938101"/>
    <s v="None"/>
    <n v="6"/>
    <n v="8"/>
    <n v="128"/>
    <n v="3"/>
    <n v="182.70041440002299"/>
    <m/>
    <m/>
    <m/>
    <m/>
    <n v="182.69015330000499"/>
    <n v="182.70041440002299"/>
    <n v="183.20057450002"/>
    <n v="183.20057450002"/>
    <n v="183.20057450002"/>
    <n v="185.58693730004501"/>
    <s v="y"/>
    <n v="1"/>
    <n v="2.37707079999381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Window"/>
    <s v="I"/>
    <x v="0"/>
    <s v="neutral"/>
    <s v="red"/>
    <s v="r"/>
    <n v="129"/>
    <n v="9"/>
    <n v="6"/>
    <s v="r"/>
    <n v="1"/>
    <n v="3.0393885000376"/>
    <s v="None"/>
    <n v="6"/>
    <n v="9"/>
    <n v="129"/>
    <n v="12"/>
    <n v="185.60024460003399"/>
    <m/>
    <m/>
    <m/>
    <m/>
    <n v="185.589961900026"/>
    <n v="185.60024460003399"/>
    <n v="186.10042000003099"/>
    <n v="186.10042000003099"/>
    <n v="186.10042000003099"/>
    <n v="189.15415560000099"/>
    <s v="r"/>
    <n v="1"/>
    <n v="3.039388500037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hreat"/>
    <s v="I"/>
    <x v="1"/>
    <s v="emotional"/>
    <s v="blue"/>
    <s v="b"/>
    <n v="130"/>
    <n v="10"/>
    <n v="6"/>
    <s v="b"/>
    <n v="1"/>
    <n v="0.71556460001738698"/>
    <s v="None"/>
    <n v="6"/>
    <n v="10"/>
    <n v="130"/>
    <n v="5"/>
    <n v="189.16771589999499"/>
    <m/>
    <m/>
    <m/>
    <m/>
    <n v="189.157059100049"/>
    <n v="189.16771589999499"/>
    <n v="189.66694870003201"/>
    <n v="189.66694870003201"/>
    <n v="189.66694870003201"/>
    <n v="190.38781410001599"/>
    <s v="b"/>
    <n v="1"/>
    <n v="0.715564600017386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able"/>
    <s v="I"/>
    <x v="0"/>
    <s v="neutral"/>
    <s v="blue"/>
    <s v="b"/>
    <n v="131"/>
    <n v="11"/>
    <n v="6"/>
    <s v="b"/>
    <n v="1"/>
    <n v="0.727942399971652"/>
    <s v="None"/>
    <n v="6"/>
    <n v="11"/>
    <n v="131"/>
    <n v="13"/>
    <n v="190.40010420000101"/>
    <m/>
    <m/>
    <m/>
    <m/>
    <n v="190.39044700004101"/>
    <n v="190.40010420000101"/>
    <n v="190.900114800024"/>
    <n v="190.900114800024"/>
    <n v="190.900114800024"/>
    <n v="191.63676080002901"/>
    <s v="b"/>
    <n v="1"/>
    <n v="0.72794239997165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Violence"/>
    <s v="I"/>
    <x v="1"/>
    <s v="emotional"/>
    <s v="blue"/>
    <s v="b"/>
    <n v="132"/>
    <n v="12"/>
    <n v="6"/>
    <s v="b"/>
    <n v="1"/>
    <n v="0.38544420001562602"/>
    <s v="None"/>
    <n v="6"/>
    <n v="12"/>
    <n v="132"/>
    <n v="9"/>
    <n v="191.64993080002"/>
    <m/>
    <m/>
    <m/>
    <m/>
    <n v="191.63944370002699"/>
    <n v="191.64993080002"/>
    <n v="192.149879300035"/>
    <n v="192.149879300035"/>
    <n v="192.149879300035"/>
    <n v="192.536932000017"/>
    <s v="b"/>
    <n v="1"/>
    <n v="0.3854442000156260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buse"/>
    <s v="C"/>
    <x v="2"/>
    <s v="emotional"/>
    <s v="red"/>
    <s v="r"/>
    <n v="133"/>
    <n v="13"/>
    <n v="6"/>
    <s v="r"/>
    <n v="1"/>
    <n v="0.52516269998159204"/>
    <s v="None"/>
    <n v="6"/>
    <n v="13"/>
    <n v="133"/>
    <n v="4"/>
    <n v="192.550215099996"/>
    <m/>
    <m/>
    <m/>
    <m/>
    <n v="192.53971660003299"/>
    <n v="192.550215099996"/>
    <n v="193.05023960000801"/>
    <n v="193.05023960000801"/>
    <n v="193.05023960000801"/>
    <n v="193.58650610002201"/>
    <s v="r"/>
    <n v="1"/>
    <n v="0.5251626999815920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Road"/>
    <s v="I"/>
    <x v="0"/>
    <s v="neutral"/>
    <s v="green"/>
    <s v="g"/>
    <n v="134"/>
    <n v="14"/>
    <n v="6"/>
    <s v="g"/>
    <n v="1"/>
    <n v="1.69538559997454"/>
    <s v="None"/>
    <n v="6"/>
    <n v="14"/>
    <n v="134"/>
    <n v="18"/>
    <n v="193.59969980001901"/>
    <m/>
    <m/>
    <m/>
    <m/>
    <n v="193.58942400000501"/>
    <n v="193.59969980001901"/>
    <n v="194.100248700007"/>
    <n v="194.100248700007"/>
    <n v="194.100248700007"/>
    <n v="195.804339500027"/>
    <s v="g"/>
    <n v="1"/>
    <n v="1.6953855999745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Chair"/>
    <s v="I"/>
    <x v="0"/>
    <s v="neutral"/>
    <s v="green"/>
    <s v="g"/>
    <n v="135"/>
    <n v="15"/>
    <n v="6"/>
    <s v="g"/>
    <n v="1"/>
    <n v="0.54264460003469095"/>
    <s v="None"/>
    <n v="6"/>
    <n v="15"/>
    <n v="135"/>
    <n v="10"/>
    <n v="195.81852950004301"/>
    <m/>
    <m/>
    <m/>
    <m/>
    <n v="195.80730440001901"/>
    <n v="195.81852950004301"/>
    <n v="196.316880600003"/>
    <n v="196.316880600003"/>
    <n v="196.316880600003"/>
    <n v="196.870486800035"/>
    <s v="g"/>
    <n v="1"/>
    <n v="0.5426446000346909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nger"/>
    <s v="C"/>
    <x v="2"/>
    <s v="emotional"/>
    <s v="red"/>
    <s v="r"/>
    <n v="136"/>
    <n v="16"/>
    <n v="6"/>
    <s v="r"/>
    <n v="1"/>
    <n v="0.59062159998575203"/>
    <s v="None"/>
    <n v="6"/>
    <n v="16"/>
    <n v="136"/>
    <n v="8"/>
    <n v="196.884239000035"/>
    <m/>
    <m/>
    <m/>
    <m/>
    <n v="196.873411000007"/>
    <n v="196.884239000035"/>
    <n v="197.38339460000799"/>
    <n v="197.38339460000799"/>
    <n v="197.38339460000799"/>
    <n v="197.987231200037"/>
    <s v="r"/>
    <n v="1"/>
    <n v="0.590621599985752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encil"/>
    <s v="I"/>
    <x v="0"/>
    <s v="neutral"/>
    <s v="green"/>
    <s v="g"/>
    <n v="137"/>
    <n v="17"/>
    <n v="6"/>
    <s v="g"/>
    <n v="1"/>
    <n v="0.43310649995692002"/>
    <s v="None"/>
    <n v="6"/>
    <n v="17"/>
    <n v="137"/>
    <n v="14"/>
    <n v="198.00030160002601"/>
    <m/>
    <m/>
    <m/>
    <m/>
    <n v="197.990846500033"/>
    <n v="198.00030160002601"/>
    <n v="198.50038620002999"/>
    <n v="198.50038620002999"/>
    <n v="198.50038620002999"/>
    <n v="198.936597799998"/>
    <s v="g"/>
    <n v="1"/>
    <n v="0.4331064999569200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per"/>
    <s v="I"/>
    <x v="0"/>
    <s v="neutral"/>
    <s v="yellow"/>
    <s v="y"/>
    <n v="138"/>
    <n v="18"/>
    <n v="6"/>
    <s v="y"/>
    <n v="1"/>
    <n v="0.58311539998976503"/>
    <s v="None"/>
    <n v="6"/>
    <n v="18"/>
    <n v="138"/>
    <n v="15"/>
    <n v="198.949878600018"/>
    <m/>
    <m/>
    <m/>
    <m/>
    <n v="198.939554600045"/>
    <n v="198.949878600018"/>
    <n v="199.44969380000799"/>
    <n v="199.44969380000799"/>
    <n v="199.44969380000799"/>
    <n v="200.037565300008"/>
    <s v="y"/>
    <n v="1"/>
    <n v="0.583115399989765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Garden"/>
    <s v="I"/>
    <x v="0"/>
    <s v="neutral"/>
    <s v="red"/>
    <s v="r"/>
    <n v="139"/>
    <n v="19"/>
    <n v="6"/>
    <s v="r"/>
    <n v="1"/>
    <n v="0.59185959998285398"/>
    <s v="None"/>
    <n v="6"/>
    <n v="19"/>
    <n v="139"/>
    <n v="16"/>
    <n v="200.049623800034"/>
    <m/>
    <m/>
    <m/>
    <m/>
    <n v="200.04044559999599"/>
    <n v="200.049623800034"/>
    <n v="200.55004820000599"/>
    <n v="200.55004820000599"/>
    <n v="200.55004820000599"/>
    <n v="201.15373499999899"/>
    <s v="r"/>
    <n v="1"/>
    <n v="0.591859599982853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Window"/>
    <s v="I"/>
    <x v="0"/>
    <s v="neutral"/>
    <s v="red"/>
    <s v="r"/>
    <n v="140"/>
    <n v="0"/>
    <n v="7"/>
    <s v="r"/>
    <n v="1"/>
    <n v="0.459200799989048"/>
    <s v="None"/>
    <n v="7"/>
    <n v="0"/>
    <n v="140"/>
    <n v="12"/>
    <n v="201.16644970001599"/>
    <m/>
    <m/>
    <m/>
    <m/>
    <n v="201.15661980002099"/>
    <n v="201.16644970001599"/>
    <n v="201.66750929999299"/>
    <n v="201.66750929999299"/>
    <n v="201.66750929999299"/>
    <n v="202.136335999995"/>
    <s v="r"/>
    <n v="1"/>
    <n v="0.45920079998904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hreat"/>
    <s v="I"/>
    <x v="1"/>
    <s v="emotional"/>
    <s v="blue"/>
    <s v="b"/>
    <n v="141"/>
    <n v="1"/>
    <n v="7"/>
    <s v="b"/>
    <n v="1"/>
    <n v="0.71242890000576098"/>
    <s v="None"/>
    <n v="7"/>
    <n v="1"/>
    <n v="141"/>
    <n v="5"/>
    <n v="202.149913500004"/>
    <m/>
    <m/>
    <m/>
    <m/>
    <n v="202.13943080004501"/>
    <n v="202.149913500004"/>
    <n v="202.64934080000901"/>
    <n v="202.64934080000901"/>
    <n v="202.64934080000901"/>
    <n v="203.369367900013"/>
    <s v="b"/>
    <n v="1"/>
    <n v="0.712428900005760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Death"/>
    <s v="I"/>
    <x v="1"/>
    <s v="emotional"/>
    <s v="green"/>
    <s v="g"/>
    <n v="142"/>
    <n v="2"/>
    <n v="7"/>
    <s v="g"/>
    <n v="1"/>
    <n v="2.11026889999629"/>
    <s v="None"/>
    <n v="7"/>
    <n v="2"/>
    <n v="142"/>
    <n v="2"/>
    <n v="203.382956799992"/>
    <m/>
    <m/>
    <m/>
    <m/>
    <n v="203.37202900002001"/>
    <n v="203.382956799992"/>
    <n v="203.88273070001699"/>
    <n v="203.88273070001699"/>
    <n v="203.88273070001699"/>
    <n v="206.00318240001701"/>
    <s v="g"/>
    <n v="1"/>
    <n v="2.1102688999962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Injury"/>
    <s v="I"/>
    <x v="1"/>
    <s v="emotional"/>
    <s v="green"/>
    <s v="g"/>
    <n v="143"/>
    <n v="3"/>
    <n v="7"/>
    <s v="g"/>
    <n v="1"/>
    <n v="0.610032600001432"/>
    <s v="None"/>
    <n v="7"/>
    <n v="3"/>
    <n v="143"/>
    <n v="6"/>
    <n v="206.01581630000101"/>
    <m/>
    <m/>
    <m/>
    <m/>
    <n v="206.00667420000499"/>
    <n v="206.01581630000101"/>
    <n v="206.516183700005"/>
    <n v="206.516183700005"/>
    <n v="206.516183700005"/>
    <n v="207.139588700025"/>
    <s v="g"/>
    <n v="1"/>
    <n v="0.61003260000143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Chair"/>
    <s v="I"/>
    <x v="0"/>
    <s v="neutral"/>
    <s v="green"/>
    <s v="g"/>
    <n v="144"/>
    <n v="4"/>
    <n v="7"/>
    <s v="g"/>
    <n v="1"/>
    <n v="0.69778490002499804"/>
    <s v="None"/>
    <n v="7"/>
    <n v="4"/>
    <n v="144"/>
    <n v="10"/>
    <n v="207.16507410001901"/>
    <m/>
    <m/>
    <m/>
    <m/>
    <n v="207.14563480002101"/>
    <n v="207.16507410001901"/>
    <n v="207.64928180002599"/>
    <n v="207.64928180002599"/>
    <n v="207.64928180002599"/>
    <n v="208.3530456"/>
    <s v="g"/>
    <n v="1"/>
    <n v="0.6977849000249980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Fear"/>
    <s v="C"/>
    <x v="2"/>
    <s v="emotional"/>
    <s v="red"/>
    <s v="r"/>
    <n v="145"/>
    <n v="5"/>
    <n v="7"/>
    <s v="r"/>
    <n v="1"/>
    <n v="1.1003390999976499"/>
    <s v="None"/>
    <n v="7"/>
    <n v="5"/>
    <n v="145"/>
    <n v="0"/>
    <n v="208.366599300003"/>
    <m/>
    <m/>
    <m/>
    <m/>
    <n v="208.356031100032"/>
    <n v="208.366599300003"/>
    <n v="208.86620320001299"/>
    <n v="208.86620320001299"/>
    <n v="208.86620320001299"/>
    <n v="209.969806500012"/>
    <s v="r"/>
    <n v="1"/>
    <n v="1.10033909999764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able"/>
    <s v="I"/>
    <x v="0"/>
    <s v="neutral"/>
    <s v="blue"/>
    <s v="b"/>
    <n v="146"/>
    <n v="6"/>
    <n v="7"/>
    <s v="b"/>
    <n v="1"/>
    <n v="1.22914499999023"/>
    <s v="None"/>
    <n v="7"/>
    <n v="6"/>
    <n v="146"/>
    <n v="13"/>
    <n v="209.982936200045"/>
    <m/>
    <m/>
    <m/>
    <m/>
    <n v="209.97312650002999"/>
    <n v="209.982936200045"/>
    <n v="210.48309650004299"/>
    <n v="210.48309650004299"/>
    <n v="210.48309650004299"/>
    <n v="211.71963150001801"/>
    <s v="b"/>
    <n v="1"/>
    <n v="1.2291449999902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Garden"/>
    <s v="I"/>
    <x v="0"/>
    <s v="neutral"/>
    <s v="red"/>
    <s v="r"/>
    <n v="147"/>
    <n v="7"/>
    <n v="7"/>
    <s v="r"/>
    <n v="1"/>
    <n v="1.21863110002595"/>
    <s v="None"/>
    <n v="7"/>
    <n v="7"/>
    <n v="147"/>
    <n v="16"/>
    <n v="211.73227870004399"/>
    <m/>
    <m/>
    <m/>
    <m/>
    <n v="211.72303420002501"/>
    <n v="211.73227870004399"/>
    <n v="212.23289179999799"/>
    <n v="212.23289179999799"/>
    <n v="212.23289179999799"/>
    <n v="213.45317360001999"/>
    <s v="r"/>
    <n v="1"/>
    <n v="1.2186311000259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ok"/>
    <s v="I"/>
    <x v="0"/>
    <s v="neutral"/>
    <s v="blue"/>
    <s v="b"/>
    <n v="148"/>
    <n v="8"/>
    <n v="7"/>
    <s v="b"/>
    <n v="1"/>
    <n v="0.70708349999040299"/>
    <s v="None"/>
    <n v="7"/>
    <n v="8"/>
    <n v="148"/>
    <n v="17"/>
    <n v="213.46623040002299"/>
    <m/>
    <m/>
    <m/>
    <m/>
    <n v="213.455870900012"/>
    <n v="213.46623040002299"/>
    <n v="213.965381700021"/>
    <n v="213.965381700021"/>
    <n v="213.965381700021"/>
    <n v="214.685970199992"/>
    <s v="b"/>
    <n v="1"/>
    <n v="0.707083499990402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in"/>
    <s v="I"/>
    <x v="1"/>
    <s v="emotional"/>
    <s v="blue"/>
    <s v="b"/>
    <n v="149"/>
    <n v="9"/>
    <n v="7"/>
    <s v="b"/>
    <n v="1"/>
    <n v="0.44743579998612398"/>
    <s v="None"/>
    <n v="7"/>
    <n v="9"/>
    <n v="149"/>
    <n v="1"/>
    <n v="214.69914560002499"/>
    <m/>
    <m/>
    <m/>
    <m/>
    <n v="214.68871830002101"/>
    <n v="214.69914560002499"/>
    <n v="215.19873810000701"/>
    <n v="215.19873810000701"/>
    <n v="215.19873810000701"/>
    <n v="215.652910000004"/>
    <s v="b"/>
    <n v="1"/>
    <n v="0.447435799986123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nger"/>
    <s v="C"/>
    <x v="2"/>
    <s v="emotional"/>
    <s v="red"/>
    <s v="r"/>
    <n v="150"/>
    <n v="10"/>
    <n v="7"/>
    <s v="r"/>
    <n v="1"/>
    <n v="1.3419810999766899"/>
    <s v="None"/>
    <n v="7"/>
    <n v="10"/>
    <n v="150"/>
    <n v="8"/>
    <n v="215.66761430003601"/>
    <m/>
    <m/>
    <m/>
    <m/>
    <n v="215.656098700012"/>
    <n v="215.66761430003601"/>
    <n v="216.16551780002101"/>
    <n v="216.16551780002101"/>
    <n v="216.16551780002101"/>
    <n v="217.52135160000699"/>
    <s v="r"/>
    <n v="1"/>
    <n v="1.34198109997668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adness"/>
    <s v="I"/>
    <x v="1"/>
    <s v="emotional"/>
    <s v="yellow"/>
    <s v="y"/>
    <n v="151"/>
    <n v="11"/>
    <n v="7"/>
    <s v="y"/>
    <n v="1"/>
    <n v="0.90692140004830402"/>
    <s v="None"/>
    <n v="7"/>
    <n v="11"/>
    <n v="151"/>
    <n v="7"/>
    <n v="217.533228100044"/>
    <m/>
    <m/>
    <m/>
    <m/>
    <n v="217.524927699996"/>
    <n v="217.533228100044"/>
    <n v="218.03281910001499"/>
    <n v="218.03281910001499"/>
    <n v="218.03281910001499"/>
    <n v="218.952445000002"/>
    <s v="y"/>
    <n v="1"/>
    <n v="0.9069214000483040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nic"/>
    <s v="I"/>
    <x v="1"/>
    <s v="emotional"/>
    <s v="yellow"/>
    <s v="y"/>
    <n v="152"/>
    <n v="12"/>
    <n v="7"/>
    <s v="y"/>
    <n v="1"/>
    <n v="0.71991360001266003"/>
    <s v="None"/>
    <n v="7"/>
    <n v="12"/>
    <n v="152"/>
    <n v="3"/>
    <n v="218.96543370001001"/>
    <m/>
    <m/>
    <m/>
    <m/>
    <n v="218.956371300038"/>
    <n v="218.96543370001001"/>
    <n v="219.46604460000501"/>
    <n v="219.46604460000501"/>
    <n v="219.46604460000501"/>
    <n v="220.18672500003501"/>
    <s v="y"/>
    <n v="1"/>
    <n v="0.719913600012660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encil"/>
    <s v="I"/>
    <x v="0"/>
    <s v="neutral"/>
    <s v="green"/>
    <s v="g"/>
    <n v="153"/>
    <n v="13"/>
    <n v="7"/>
    <s v="g"/>
    <n v="1"/>
    <n v="1.67826129996683"/>
    <s v="None"/>
    <n v="7"/>
    <n v="13"/>
    <n v="153"/>
    <n v="14"/>
    <n v="220.19909629999799"/>
    <m/>
    <m/>
    <m/>
    <m/>
    <n v="220.18949429999299"/>
    <n v="220.19909629999799"/>
    <n v="220.6983932"/>
    <n v="220.6983932"/>
    <n v="220.6983932"/>
    <n v="222.38688180001901"/>
    <s v="g"/>
    <n v="1"/>
    <n v="1.6782612999668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Road"/>
    <s v="I"/>
    <x v="0"/>
    <s v="neutral"/>
    <s v="green"/>
    <s v="g"/>
    <n v="154"/>
    <n v="14"/>
    <n v="7"/>
    <s v="g"/>
    <n v="1"/>
    <n v="0.46395589999156001"/>
    <s v="None"/>
    <n v="7"/>
    <n v="14"/>
    <n v="154"/>
    <n v="18"/>
    <n v="222.39870610000699"/>
    <m/>
    <m/>
    <m/>
    <m/>
    <n v="222.389881000039"/>
    <n v="222.39870610000699"/>
    <n v="222.89862340001801"/>
    <n v="222.89862340001801"/>
    <n v="222.89862340001801"/>
    <n v="223.369372200046"/>
    <s v="g"/>
    <n v="1"/>
    <n v="0.463955899991560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ttle"/>
    <s v="I"/>
    <x v="0"/>
    <s v="neutral"/>
    <s v="yellow"/>
    <s v="y"/>
    <n v="155"/>
    <n v="15"/>
    <n v="7"/>
    <s v="b"/>
    <n v="0"/>
    <n v="0.77251710003474705"/>
    <s v="None"/>
    <n v="7"/>
    <n v="15"/>
    <n v="155"/>
    <n v="11"/>
    <n v="223.38295729999601"/>
    <m/>
    <m/>
    <m/>
    <m/>
    <n v="223.37214490002901"/>
    <n v="223.38295729999601"/>
    <n v="223.88272850000001"/>
    <n v="223.88272850000001"/>
    <n v="223.88272850000001"/>
    <n v="224.66887610003999"/>
    <s v="b"/>
    <n v="0"/>
    <n v="0.7725171000347470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buse"/>
    <s v="C"/>
    <x v="2"/>
    <s v="emotional"/>
    <s v="red"/>
    <s v="r"/>
    <n v="156"/>
    <n v="16"/>
    <n v="7"/>
    <s v="r"/>
    <n v="1"/>
    <n v="0.600882500002626"/>
    <s v="None"/>
    <n v="7"/>
    <n v="16"/>
    <n v="156"/>
    <n v="4"/>
    <n v="224.682016500039"/>
    <m/>
    <m/>
    <m/>
    <m/>
    <n v="224.67163550003801"/>
    <n v="224.682016500039"/>
    <n v="225.18216560000999"/>
    <n v="225.18216560000999"/>
    <n v="225.18216560000999"/>
    <n v="225.786045100016"/>
    <s v="r"/>
    <n v="1"/>
    <n v="0.60088250000262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Violence"/>
    <s v="I"/>
    <x v="1"/>
    <s v="emotional"/>
    <s v="blue"/>
    <s v="b"/>
    <n v="157"/>
    <n v="17"/>
    <n v="7"/>
    <s v="b"/>
    <n v="1"/>
    <n v="0.64116609998745799"/>
    <s v="None"/>
    <n v="7"/>
    <n v="17"/>
    <n v="157"/>
    <n v="9"/>
    <n v="225.799611800001"/>
    <m/>
    <m/>
    <m/>
    <m/>
    <n v="225.788751600019"/>
    <n v="225.799611800001"/>
    <n v="226.29872680001401"/>
    <n v="226.29872680001401"/>
    <n v="226.29872680001401"/>
    <n v="226.95229640003501"/>
    <s v="b"/>
    <n v="1"/>
    <n v="0.641166099987457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per"/>
    <s v="I"/>
    <x v="0"/>
    <s v="neutral"/>
    <s v="yellow"/>
    <s v="y"/>
    <n v="158"/>
    <n v="18"/>
    <n v="7"/>
    <s v="y"/>
    <n v="1"/>
    <n v="0.65930630004731905"/>
    <s v="None"/>
    <n v="7"/>
    <n v="18"/>
    <n v="158"/>
    <n v="15"/>
    <n v="226.965327200014"/>
    <m/>
    <m/>
    <m/>
    <m/>
    <n v="226.95506690000099"/>
    <n v="226.965327200014"/>
    <n v="227.46557540004099"/>
    <n v="227.46557540004099"/>
    <n v="227.46557540004099"/>
    <n v="228.135710400005"/>
    <s v="y"/>
    <n v="1"/>
    <n v="0.6593063000473190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tone"/>
    <s v="I"/>
    <x v="0"/>
    <s v="neutral"/>
    <s v="yellow"/>
    <s v="y"/>
    <n v="159"/>
    <n v="19"/>
    <n v="7"/>
    <s v="y"/>
    <n v="1"/>
    <n v="0.42946449998998998"/>
    <s v="None"/>
    <n v="7"/>
    <n v="19"/>
    <n v="159"/>
    <n v="19"/>
    <n v="228.14882270002201"/>
    <m/>
    <m/>
    <m/>
    <m/>
    <n v="228.138680800038"/>
    <n v="228.14882270002201"/>
    <n v="228.64882970001699"/>
    <n v="228.64882970001699"/>
    <n v="228.64882970001699"/>
    <n v="229.08596769999701"/>
    <s v="y"/>
    <n v="1"/>
    <n v="0.429464499989989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encil"/>
    <s v="I"/>
    <x v="0"/>
    <s v="neutral"/>
    <s v="green"/>
    <s v="g"/>
    <n v="160"/>
    <n v="0"/>
    <n v="8"/>
    <s v="g"/>
    <n v="1"/>
    <n v="0.93339169997489002"/>
    <s v="None"/>
    <n v="8"/>
    <n v="0"/>
    <n v="160"/>
    <n v="14"/>
    <n v="229.09886940004"/>
    <m/>
    <m/>
    <m/>
    <m/>
    <n v="229.08928200002899"/>
    <n v="229.09886940004"/>
    <n v="229.59909570001699"/>
    <n v="229.59909570001699"/>
    <n v="229.59909570001699"/>
    <n v="230.53610220004299"/>
    <s v="g"/>
    <n v="1"/>
    <n v="0.9333916999748900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nic"/>
    <s v="I"/>
    <x v="1"/>
    <s v="emotional"/>
    <s v="yellow"/>
    <s v="y"/>
    <n v="161"/>
    <n v="1"/>
    <n v="8"/>
    <s v="y"/>
    <n v="1"/>
    <n v="0.96100410004146397"/>
    <s v="None"/>
    <n v="8"/>
    <n v="1"/>
    <n v="161"/>
    <n v="3"/>
    <n v="230.549411800049"/>
    <m/>
    <m/>
    <m/>
    <m/>
    <n v="230.539397000044"/>
    <n v="230.549411800049"/>
    <n v="231.04875820001999"/>
    <n v="231.04875820001999"/>
    <n v="231.04875820001999"/>
    <n v="232.01861100003501"/>
    <s v="y"/>
    <n v="1"/>
    <n v="0.9610041000414639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ok"/>
    <s v="I"/>
    <x v="0"/>
    <s v="neutral"/>
    <s v="blue"/>
    <s v="b"/>
    <n v="162"/>
    <n v="2"/>
    <n v="8"/>
    <s v="b"/>
    <n v="1"/>
    <n v="0.66823230002773903"/>
    <s v="None"/>
    <n v="8"/>
    <n v="2"/>
    <n v="162"/>
    <n v="17"/>
    <n v="232.03156570001701"/>
    <m/>
    <m/>
    <m/>
    <m/>
    <n v="232.02130150003299"/>
    <n v="232.03156570001701"/>
    <n v="232.53172420000101"/>
    <n v="232.53172420000101"/>
    <n v="232.53172420000101"/>
    <n v="233.201883800036"/>
    <s v="b"/>
    <n v="1"/>
    <n v="0.668232300027739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Garden"/>
    <s v="I"/>
    <x v="0"/>
    <s v="neutral"/>
    <s v="red"/>
    <s v="r"/>
    <n v="163"/>
    <n v="3"/>
    <n v="8"/>
    <s v="r"/>
    <n v="1"/>
    <n v="0.65031150000868299"/>
    <s v="None"/>
    <n v="8"/>
    <n v="3"/>
    <n v="163"/>
    <n v="16"/>
    <n v="233.21494480001201"/>
    <m/>
    <m/>
    <m/>
    <m/>
    <n v="233.20463150000401"/>
    <n v="233.21494480001201"/>
    <n v="233.71486510004601"/>
    <n v="233.71486510004601"/>
    <n v="233.71486510004601"/>
    <n v="234.368210799992"/>
    <s v="r"/>
    <n v="1"/>
    <n v="0.650311500008682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Injury"/>
    <s v="I"/>
    <x v="1"/>
    <s v="emotional"/>
    <s v="green"/>
    <s v="g"/>
    <n v="164"/>
    <n v="4"/>
    <n v="8"/>
    <s v="g"/>
    <n v="1"/>
    <n v="0.81543190003139898"/>
    <s v="None"/>
    <n v="8"/>
    <n v="4"/>
    <n v="164"/>
    <n v="6"/>
    <n v="234.38174230000001"/>
    <m/>
    <m/>
    <m/>
    <m/>
    <n v="234.37096369999901"/>
    <n v="234.38174230000001"/>
    <n v="234.881642099993"/>
    <n v="234.881642099993"/>
    <n v="234.881642099993"/>
    <n v="235.702483900007"/>
    <s v="g"/>
    <n v="1"/>
    <n v="0.815431900031398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Chair"/>
    <s v="I"/>
    <x v="0"/>
    <s v="neutral"/>
    <s v="green"/>
    <s v="g"/>
    <n v="165"/>
    <n v="5"/>
    <n v="8"/>
    <s v="b"/>
    <n v="0"/>
    <n v="0.51597399997990501"/>
    <s v="None"/>
    <n v="8"/>
    <n v="5"/>
    <n v="165"/>
    <n v="10"/>
    <n v="235.71472470002399"/>
    <m/>
    <m/>
    <m/>
    <m/>
    <n v="235.705024500028"/>
    <n v="235.71472470002399"/>
    <n v="236.21644790004899"/>
    <n v="236.21644790004899"/>
    <n v="236.21644790004899"/>
    <n v="236.737551000027"/>
    <s v="b"/>
    <n v="0"/>
    <n v="0.515973999979905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per"/>
    <s v="I"/>
    <x v="0"/>
    <s v="neutral"/>
    <s v="yellow"/>
    <s v="y"/>
    <n v="166"/>
    <n v="6"/>
    <n v="8"/>
    <s v="b"/>
    <n v="0"/>
    <n v="0.85119439999107205"/>
    <s v="None"/>
    <n v="8"/>
    <n v="6"/>
    <n v="166"/>
    <n v="15"/>
    <n v="236.74901480000699"/>
    <m/>
    <m/>
    <m/>
    <m/>
    <n v="236.74096389999599"/>
    <n v="236.74901480000699"/>
    <n v="237.24795069999499"/>
    <n v="237.24795069999499"/>
    <n v="237.24795069999499"/>
    <n v="238.10316430003101"/>
    <s v="b"/>
    <n v="0"/>
    <n v="0.8511943999910720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nger"/>
    <s v="C"/>
    <x v="2"/>
    <s v="emotional"/>
    <s v="red"/>
    <s v="r"/>
    <n v="167"/>
    <n v="7"/>
    <n v="8"/>
    <s v="r"/>
    <n v="1"/>
    <n v="0.64004919998114895"/>
    <s v="None"/>
    <n v="8"/>
    <n v="7"/>
    <n v="167"/>
    <n v="8"/>
    <n v="238.114875900035"/>
    <m/>
    <m/>
    <m/>
    <m/>
    <n v="238.10591919999499"/>
    <n v="238.114875900035"/>
    <n v="238.614999800047"/>
    <n v="238.614999800047"/>
    <n v="238.614999800047"/>
    <n v="239.268703200039"/>
    <s v="r"/>
    <n v="1"/>
    <n v="0.6400491999811489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hreat"/>
    <s v="I"/>
    <x v="1"/>
    <s v="emotional"/>
    <s v="blue"/>
    <s v="b"/>
    <n v="168"/>
    <n v="8"/>
    <n v="8"/>
    <s v="b"/>
    <n v="1"/>
    <n v="0.88392140000359998"/>
    <s v="None"/>
    <n v="8"/>
    <n v="8"/>
    <n v="168"/>
    <n v="5"/>
    <n v="239.28162670001601"/>
    <m/>
    <m/>
    <m/>
    <m/>
    <n v="239.27167040004801"/>
    <n v="239.28162670001601"/>
    <n v="239.78114440000999"/>
    <n v="239.78114440000999"/>
    <n v="239.78114440000999"/>
    <n v="240.66865810000999"/>
    <s v="b"/>
    <n v="1"/>
    <n v="0.883921400003599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Road"/>
    <s v="I"/>
    <x v="0"/>
    <s v="neutral"/>
    <s v="green"/>
    <s v="g"/>
    <n v="169"/>
    <n v="9"/>
    <n v="8"/>
    <s v="g"/>
    <n v="1"/>
    <n v="1.5417675999924501"/>
    <s v="None"/>
    <n v="8"/>
    <n v="9"/>
    <n v="169"/>
    <n v="18"/>
    <n v="240.68146560003501"/>
    <m/>
    <m/>
    <m/>
    <m/>
    <n v="240.67130780004601"/>
    <n v="240.68146560003501"/>
    <n v="241.18149700004099"/>
    <n v="241.18149700004099"/>
    <n v="241.18149700004099"/>
    <n v="242.73546910000701"/>
    <s v="g"/>
    <n v="1"/>
    <n v="1.54176759999245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Death"/>
    <s v="I"/>
    <x v="1"/>
    <s v="emotional"/>
    <s v="green"/>
    <s v="g"/>
    <n v="170"/>
    <n v="10"/>
    <n v="8"/>
    <s v="g"/>
    <n v="1"/>
    <n v="0.45857939997222202"/>
    <s v="None"/>
    <n v="8"/>
    <n v="10"/>
    <n v="170"/>
    <n v="2"/>
    <n v="242.74802020000001"/>
    <m/>
    <m/>
    <m/>
    <m/>
    <n v="242.73815910000101"/>
    <n v="242.74802020000001"/>
    <n v="243.248109900043"/>
    <n v="243.248109900043"/>
    <n v="243.248109900043"/>
    <n v="243.71834590000799"/>
    <s v="g"/>
    <n v="1"/>
    <n v="0.4585793999722220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Window"/>
    <s v="I"/>
    <x v="0"/>
    <s v="neutral"/>
    <s v="red"/>
    <s v="r"/>
    <n v="171"/>
    <n v="11"/>
    <n v="8"/>
    <s v="r"/>
    <n v="1"/>
    <n v="0.76737910002702803"/>
    <s v="None"/>
    <n v="8"/>
    <n v="11"/>
    <n v="171"/>
    <n v="12"/>
    <n v="243.73158990003799"/>
    <m/>
    <m/>
    <m/>
    <m/>
    <n v="243.7208905"/>
    <n v="243.73158990003799"/>
    <n v="244.23079430003401"/>
    <n v="244.23079430003401"/>
    <n v="244.23079430003401"/>
    <n v="245.00124070001701"/>
    <s v="r"/>
    <n v="1"/>
    <n v="0.767379100027028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ttle"/>
    <s v="I"/>
    <x v="0"/>
    <s v="neutral"/>
    <s v="yellow"/>
    <s v="y"/>
    <n v="172"/>
    <n v="12"/>
    <n v="8"/>
    <s v="y"/>
    <n v="1"/>
    <n v="1.15858360001584"/>
    <s v="None"/>
    <n v="8"/>
    <n v="12"/>
    <n v="172"/>
    <n v="11"/>
    <n v="245.01458330004201"/>
    <m/>
    <m/>
    <m/>
    <m/>
    <n v="245.00476830004399"/>
    <n v="245.01458330004201"/>
    <n v="245.51467020000501"/>
    <n v="245.51467020000501"/>
    <n v="245.51467020000501"/>
    <n v="246.68473450001301"/>
    <s v="y"/>
    <n v="1"/>
    <n v="1.1585836000158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adness"/>
    <s v="I"/>
    <x v="1"/>
    <s v="emotional"/>
    <s v="yellow"/>
    <s v="y"/>
    <n v="173"/>
    <n v="13"/>
    <n v="8"/>
    <s v="y"/>
    <n v="1"/>
    <n v="0.49559509998653001"/>
    <s v="None"/>
    <n v="8"/>
    <n v="13"/>
    <n v="173"/>
    <n v="7"/>
    <n v="246.697763700038"/>
    <m/>
    <m/>
    <m/>
    <m/>
    <n v="246.68792570004001"/>
    <n v="246.697763700038"/>
    <n v="247.19766580004901"/>
    <n v="247.19766580004901"/>
    <n v="247.19766580004901"/>
    <n v="247.701337800011"/>
    <s v="y"/>
    <n v="1"/>
    <n v="0.495595099986530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in"/>
    <s v="I"/>
    <x v="1"/>
    <s v="emotional"/>
    <s v="blue"/>
    <s v="b"/>
    <n v="174"/>
    <n v="14"/>
    <n v="8"/>
    <s v="b"/>
    <n v="1"/>
    <n v="0.73553860001266003"/>
    <s v="None"/>
    <n v="8"/>
    <n v="14"/>
    <n v="174"/>
    <n v="1"/>
    <n v="247.714796400046"/>
    <m/>
    <m/>
    <m/>
    <m/>
    <n v="247.70385290001201"/>
    <n v="247.714796400046"/>
    <n v="248.21434860001301"/>
    <n v="248.21434860001301"/>
    <n v="248.21434860001301"/>
    <n v="248.95370340003799"/>
    <s v="b"/>
    <n v="1"/>
    <n v="0.735538600012660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Fear"/>
    <s v="C"/>
    <x v="2"/>
    <s v="emotional"/>
    <s v="red"/>
    <s v="r"/>
    <n v="175"/>
    <n v="15"/>
    <n v="8"/>
    <s v="r"/>
    <n v="1"/>
    <n v="0.92181259999051601"/>
    <s v="None"/>
    <n v="8"/>
    <n v="15"/>
    <n v="175"/>
    <n v="0"/>
    <n v="248.96500240004301"/>
    <m/>
    <m/>
    <m/>
    <m/>
    <n v="248.95739350002199"/>
    <n v="248.96500240004301"/>
    <n v="249.46435220004"/>
    <n v="249.46435220004"/>
    <n v="249.46435220004"/>
    <n v="250.40165840002001"/>
    <s v="r"/>
    <n v="1"/>
    <n v="0.921812599990516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Violence"/>
    <s v="I"/>
    <x v="1"/>
    <s v="emotional"/>
    <s v="blue"/>
    <s v="b"/>
    <n v="176"/>
    <n v="16"/>
    <n v="8"/>
    <s v="b"/>
    <n v="1"/>
    <n v="1.8997065000003199"/>
    <s v="None"/>
    <n v="8"/>
    <n v="16"/>
    <n v="176"/>
    <n v="9"/>
    <n v="250.41460860002499"/>
    <m/>
    <m/>
    <m/>
    <m/>
    <n v="250.404773500049"/>
    <n v="250.41460860002499"/>
    <n v="250.914708000025"/>
    <n v="250.914708000025"/>
    <n v="250.914708000025"/>
    <n v="252.81844040000499"/>
    <s v="b"/>
    <n v="1"/>
    <n v="1.89970650000031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buse"/>
    <s v="C"/>
    <x v="2"/>
    <s v="emotional"/>
    <s v="red"/>
    <s v="r"/>
    <n v="177"/>
    <n v="17"/>
    <n v="8"/>
    <s v="r"/>
    <n v="1"/>
    <n v="0.63319629995385096"/>
    <s v="None"/>
    <n v="8"/>
    <n v="17"/>
    <n v="177"/>
    <n v="4"/>
    <n v="252.83087300002799"/>
    <m/>
    <m/>
    <m/>
    <m/>
    <n v="252.82116130000199"/>
    <n v="252.83087300002799"/>
    <n v="253.33123549999399"/>
    <n v="253.33123549999399"/>
    <n v="253.33123549999399"/>
    <n v="253.96832710003901"/>
    <s v="r"/>
    <n v="1"/>
    <n v="0.6331962999538509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able"/>
    <s v="I"/>
    <x v="0"/>
    <s v="neutral"/>
    <s v="blue"/>
    <s v="b"/>
    <n v="178"/>
    <n v="18"/>
    <n v="8"/>
    <s v="b"/>
    <n v="1"/>
    <n v="0.92135630000848301"/>
    <s v="None"/>
    <n v="8"/>
    <n v="18"/>
    <n v="178"/>
    <n v="13"/>
    <n v="253.98101300001099"/>
    <m/>
    <m/>
    <m/>
    <m/>
    <n v="253.97095350001399"/>
    <n v="253.98101300001099"/>
    <n v="254.480599900009"/>
    <n v="254.480599900009"/>
    <n v="254.480599900009"/>
    <n v="255.41798040002999"/>
    <s v="b"/>
    <n v="1"/>
    <n v="0.921356300008483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tone"/>
    <s v="I"/>
    <x v="0"/>
    <s v="neutral"/>
    <s v="yellow"/>
    <s v="y"/>
    <n v="179"/>
    <n v="19"/>
    <n v="8"/>
    <s v="y"/>
    <n v="1"/>
    <n v="0.95064960001036503"/>
    <s v="None"/>
    <n v="8"/>
    <n v="19"/>
    <n v="179"/>
    <n v="19"/>
    <n v="255.43062669999199"/>
    <m/>
    <m/>
    <m/>
    <m/>
    <n v="255.42123170004899"/>
    <n v="255.43062669999199"/>
    <n v="255.93045440001799"/>
    <n v="255.93045440001799"/>
    <n v="255.93045440001799"/>
    <n v="256.88458110002102"/>
    <s v="y"/>
    <n v="1"/>
    <n v="0.950649600010365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nic"/>
    <s v="I"/>
    <x v="1"/>
    <s v="emotional"/>
    <s v="yellow"/>
    <s v="y"/>
    <n v="180"/>
    <n v="0"/>
    <n v="9"/>
    <s v="y"/>
    <n v="1"/>
    <n v="0.51419239997630894"/>
    <s v="None"/>
    <n v="9"/>
    <n v="0"/>
    <n v="180"/>
    <n v="3"/>
    <n v="256.89753630000598"/>
    <m/>
    <m/>
    <m/>
    <m/>
    <n v="256.88862060004601"/>
    <n v="256.89753630000598"/>
    <n v="257.39773430000002"/>
    <n v="257.39773430000002"/>
    <n v="257.39773430000002"/>
    <n v="257.91774320002799"/>
    <s v="y"/>
    <n v="1"/>
    <n v="0.5141923999763089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per"/>
    <s v="I"/>
    <x v="0"/>
    <s v="neutral"/>
    <s v="yellow"/>
    <s v="y"/>
    <n v="181"/>
    <n v="1"/>
    <n v="9"/>
    <s v="y"/>
    <n v="1"/>
    <n v="0.42722730000969"/>
    <s v="None"/>
    <n v="9"/>
    <n v="1"/>
    <n v="181"/>
    <n v="15"/>
    <n v="257.93106020003302"/>
    <m/>
    <m/>
    <m/>
    <m/>
    <n v="257.92054230003799"/>
    <n v="257.93106020003302"/>
    <n v="258.43076050002099"/>
    <n v="258.43076050002099"/>
    <n v="258.43076050002099"/>
    <n v="258.86787680000998"/>
    <s v="y"/>
    <n v="1"/>
    <n v="0.4272273000096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Window"/>
    <s v="I"/>
    <x v="0"/>
    <s v="neutral"/>
    <s v="red"/>
    <s v="r"/>
    <n v="182"/>
    <n v="2"/>
    <n v="9"/>
    <s v="r"/>
    <n v="1"/>
    <n v="0.52126080001471498"/>
    <s v="None"/>
    <n v="9"/>
    <n v="2"/>
    <n v="182"/>
    <n v="12"/>
    <n v="258.88043620000798"/>
    <m/>
    <m/>
    <m/>
    <m/>
    <n v="258.87100189999899"/>
    <n v="258.88043620000798"/>
    <n v="259.38051819999203"/>
    <n v="259.38051819999203"/>
    <n v="259.38051819999203"/>
    <n v="259.91793140000601"/>
    <s v="r"/>
    <n v="1"/>
    <n v="0.521260800014714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able"/>
    <s v="I"/>
    <x v="0"/>
    <s v="neutral"/>
    <s v="blue"/>
    <s v="b"/>
    <n v="183"/>
    <n v="3"/>
    <n v="9"/>
    <s v="b"/>
    <n v="1"/>
    <n v="0.58994480001274496"/>
    <s v="None"/>
    <n v="9"/>
    <n v="3"/>
    <n v="183"/>
    <n v="13"/>
    <n v="259.93070300004899"/>
    <m/>
    <m/>
    <m/>
    <m/>
    <n v="259.92090800002899"/>
    <n v="259.93070300004899"/>
    <n v="260.43093160004298"/>
    <n v="260.43093160004298"/>
    <n v="260.43093160004298"/>
    <n v="261.034968800027"/>
    <s v="b"/>
    <n v="1"/>
    <n v="0.58994480001274496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tone"/>
    <s v="I"/>
    <x v="0"/>
    <s v="neutral"/>
    <s v="yellow"/>
    <s v="y"/>
    <n v="184"/>
    <n v="4"/>
    <n v="9"/>
    <s v="y"/>
    <n v="1"/>
    <n v="0.80058010003995095"/>
    <s v="None"/>
    <n v="9"/>
    <n v="4"/>
    <n v="184"/>
    <n v="19"/>
    <n v="261.04668440000302"/>
    <m/>
    <m/>
    <m/>
    <m/>
    <n v="261.03806849999802"/>
    <n v="261.04668440000302"/>
    <n v="261.54731960000902"/>
    <n v="261.54731960000902"/>
    <n v="261.54731960000902"/>
    <n v="262.35068220004899"/>
    <s v="y"/>
    <n v="1"/>
    <n v="0.8005801000399509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Death"/>
    <s v="I"/>
    <x v="1"/>
    <s v="emotional"/>
    <s v="green"/>
    <s v="g"/>
    <n v="185"/>
    <n v="5"/>
    <n v="9"/>
    <s v="g"/>
    <n v="1"/>
    <n v="0.94141730002593205"/>
    <s v="None"/>
    <n v="9"/>
    <n v="5"/>
    <n v="185"/>
    <n v="2"/>
    <n v="262.36420539999301"/>
    <m/>
    <m/>
    <m/>
    <m/>
    <n v="262.35355749999798"/>
    <n v="262.36420539999301"/>
    <n v="262.863928600039"/>
    <n v="262.863928600039"/>
    <n v="262.863928600039"/>
    <n v="263.81797040003499"/>
    <s v="g"/>
    <n v="1"/>
    <n v="0.9414173000259320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Violence"/>
    <s v="I"/>
    <x v="1"/>
    <s v="emotional"/>
    <s v="blue"/>
    <s v="b"/>
    <n v="186"/>
    <n v="6"/>
    <n v="9"/>
    <s v="b"/>
    <n v="1"/>
    <n v="0.67127170000458103"/>
    <s v="None"/>
    <n v="9"/>
    <n v="6"/>
    <n v="186"/>
    <n v="9"/>
    <n v="263.83154199999899"/>
    <m/>
    <m/>
    <m/>
    <m/>
    <n v="263.82135400001403"/>
    <n v="263.83154199999899"/>
    <n v="264.33096490002902"/>
    <n v="264.33096490002902"/>
    <n v="264.33096490002902"/>
    <n v="265.01728690002301"/>
    <s v="b"/>
    <n v="1"/>
    <n v="0.671271700004581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Threat"/>
    <s v="I"/>
    <x v="1"/>
    <s v="emotional"/>
    <s v="blue"/>
    <s v="b"/>
    <n v="187"/>
    <n v="7"/>
    <n v="9"/>
    <s v="b"/>
    <n v="1"/>
    <n v="0.42452920001232902"/>
    <s v="None"/>
    <n v="9"/>
    <n v="7"/>
    <n v="187"/>
    <n v="5"/>
    <n v="265.030492299993"/>
    <m/>
    <m/>
    <m/>
    <m/>
    <n v="265.019926600041"/>
    <n v="265.030492299993"/>
    <n v="265.531030300015"/>
    <n v="265.531030300015"/>
    <n v="265.531030300015"/>
    <n v="265.96869980002498"/>
    <s v="b"/>
    <n v="1"/>
    <n v="0.4245292000123290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ttle"/>
    <s v="I"/>
    <x v="0"/>
    <s v="neutral"/>
    <s v="yellow"/>
    <s v="y"/>
    <n v="188"/>
    <n v="8"/>
    <n v="9"/>
    <s v="y"/>
    <n v="1"/>
    <n v="0.96849729999667"/>
    <s v="None"/>
    <n v="9"/>
    <n v="8"/>
    <n v="188"/>
    <n v="11"/>
    <n v="265.98056840000203"/>
    <m/>
    <m/>
    <m/>
    <m/>
    <n v="265.972821400035"/>
    <n v="265.98056840000203"/>
    <n v="266.48001220001601"/>
    <n v="266.48001220001601"/>
    <n v="266.48001220001601"/>
    <n v="267.45137970003998"/>
    <s v="y"/>
    <n v="1"/>
    <n v="0.9684972999966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ain"/>
    <s v="I"/>
    <x v="1"/>
    <s v="emotional"/>
    <s v="blue"/>
    <s v="b"/>
    <n v="189"/>
    <n v="9"/>
    <n v="9"/>
    <s v="b"/>
    <n v="1"/>
    <n v="0.775515400047879"/>
    <s v="None"/>
    <n v="9"/>
    <n v="9"/>
    <n v="189"/>
    <n v="1"/>
    <n v="267.46371189999599"/>
    <m/>
    <m/>
    <m/>
    <m/>
    <n v="267.453832600032"/>
    <n v="267.46371189999599"/>
    <n v="267.96342869999302"/>
    <n v="267.96342869999302"/>
    <n v="267.96342869999302"/>
    <n v="268.75038179999598"/>
    <s v="b"/>
    <n v="1"/>
    <n v="0.77551540004787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Book"/>
    <s v="I"/>
    <x v="0"/>
    <s v="neutral"/>
    <s v="blue"/>
    <s v="b"/>
    <n v="190"/>
    <n v="10"/>
    <n v="9"/>
    <s v="b"/>
    <n v="1"/>
    <n v="1.1729950999724601"/>
    <s v="None"/>
    <n v="9"/>
    <n v="10"/>
    <n v="190"/>
    <n v="17"/>
    <n v="268.76345210004303"/>
    <m/>
    <m/>
    <m/>
    <m/>
    <n v="268.753201800049"/>
    <n v="268.76345210004303"/>
    <n v="269.26326870004402"/>
    <n v="269.26326870004402"/>
    <n v="269.26326870004402"/>
    <n v="270.45017339999299"/>
    <s v="b"/>
    <n v="1"/>
    <n v="1.1729950999724601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Injury"/>
    <s v="I"/>
    <x v="1"/>
    <s v="emotional"/>
    <s v="green"/>
    <s v="g"/>
    <n v="191"/>
    <n v="11"/>
    <n v="9"/>
    <s v="g"/>
    <n v="1"/>
    <n v="0.75237409997498605"/>
    <s v="None"/>
    <n v="9"/>
    <n v="11"/>
    <n v="191"/>
    <n v="6"/>
    <n v="270.46361790003698"/>
    <m/>
    <m/>
    <m/>
    <m/>
    <n v="270.45363840000903"/>
    <n v="270.46361790003698"/>
    <n v="270.963392000005"/>
    <n v="270.963392000005"/>
    <n v="270.963392000005"/>
    <n v="271.717855199996"/>
    <s v="g"/>
    <n v="1"/>
    <n v="0.7523740999749860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buse"/>
    <s v="C"/>
    <x v="2"/>
    <s v="emotional"/>
    <s v="red"/>
    <s v="r"/>
    <n v="192"/>
    <n v="12"/>
    <n v="9"/>
    <s v="r"/>
    <n v="1"/>
    <n v="0.55930109997279898"/>
    <s v="None"/>
    <n v="9"/>
    <n v="12"/>
    <n v="192"/>
    <n v="4"/>
    <n v="271.730534700036"/>
    <m/>
    <m/>
    <m/>
    <m/>
    <n v="271.72084770002402"/>
    <n v="271.730534700036"/>
    <n v="272.23057770001401"/>
    <n v="272.23057770001401"/>
    <n v="272.23057770001401"/>
    <n v="272.798360400018"/>
    <s v="r"/>
    <n v="1"/>
    <n v="0.55930109997279898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Chair"/>
    <s v="I"/>
    <x v="0"/>
    <s v="neutral"/>
    <s v="green"/>
    <s v="g"/>
    <n v="193"/>
    <n v="13"/>
    <n v="9"/>
    <s v="g"/>
    <n v="1"/>
    <n v="0.85134450002806195"/>
    <s v="None"/>
    <n v="9"/>
    <n v="13"/>
    <n v="193"/>
    <n v="10"/>
    <n v="272.81245560001099"/>
    <m/>
    <m/>
    <m/>
    <m/>
    <n v="272.80116600001901"/>
    <n v="272.81245560001099"/>
    <n v="273.312266500026"/>
    <n v="273.312266500026"/>
    <n v="273.312266500026"/>
    <n v="274.167176100017"/>
    <s v="g"/>
    <n v="1"/>
    <n v="0.8513445000280619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Pencil"/>
    <s v="I"/>
    <x v="0"/>
    <s v="neutral"/>
    <s v="green"/>
    <s v="g"/>
    <n v="194"/>
    <n v="14"/>
    <n v="9"/>
    <s v="g"/>
    <n v="1"/>
    <n v="0.56718900002306305"/>
    <s v="None"/>
    <n v="9"/>
    <n v="14"/>
    <n v="194"/>
    <n v="14"/>
    <n v="274.18012710002898"/>
    <m/>
    <m/>
    <m/>
    <m/>
    <n v="274.17006200004801"/>
    <n v="274.18012710002898"/>
    <n v="274.68020530004202"/>
    <n v="274.68020530004202"/>
    <n v="274.68020530004202"/>
    <n v="275.24997180001799"/>
    <s v="g"/>
    <n v="1"/>
    <n v="0.56718900002306305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Anger"/>
    <s v="C"/>
    <x v="2"/>
    <s v="emotional"/>
    <s v="red"/>
    <s v="r"/>
    <n v="195"/>
    <n v="15"/>
    <n v="9"/>
    <s v="r"/>
    <n v="1"/>
    <n v="1.46754839998902"/>
    <s v="None"/>
    <n v="9"/>
    <n v="15"/>
    <n v="195"/>
    <n v="8"/>
    <n v="275.26344400004001"/>
    <m/>
    <m/>
    <m/>
    <m/>
    <n v="275.25272610003498"/>
    <n v="275.26344400004001"/>
    <n v="275.76335600000999"/>
    <n v="275.76335600000999"/>
    <n v="275.76335600000999"/>
    <n v="277.23422460001802"/>
    <s v="r"/>
    <n v="1"/>
    <n v="1.46754839998902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Sadness"/>
    <s v="I"/>
    <x v="1"/>
    <s v="emotional"/>
    <s v="yellow"/>
    <s v="y"/>
    <n v="196"/>
    <n v="16"/>
    <n v="9"/>
    <s v="y"/>
    <n v="1"/>
    <n v="0.91120009997393903"/>
    <s v="None"/>
    <n v="9"/>
    <n v="16"/>
    <n v="196"/>
    <n v="7"/>
    <n v="277.24654850002798"/>
    <m/>
    <m/>
    <m/>
    <m/>
    <n v="277.23738659999799"/>
    <n v="277.24654850002798"/>
    <n v="277.74673660000502"/>
    <n v="277.74673660000502"/>
    <n v="277.74673660000502"/>
    <n v="278.66794170002601"/>
    <s v="y"/>
    <n v="1"/>
    <n v="0.91120009997393903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Garden"/>
    <s v="I"/>
    <x v="0"/>
    <s v="neutral"/>
    <s v="red"/>
    <s v="r"/>
    <n v="197"/>
    <n v="17"/>
    <n v="9"/>
    <s v="g"/>
    <n v="0"/>
    <n v="0.87046750000445094"/>
    <s v="None"/>
    <n v="9"/>
    <n v="17"/>
    <n v="197"/>
    <n v="16"/>
    <n v="278.67954959999702"/>
    <m/>
    <m/>
    <m/>
    <m/>
    <n v="278.67210130003502"/>
    <n v="278.67954959999702"/>
    <n v="279.17978010000598"/>
    <n v="279.17978010000598"/>
    <n v="279.17978010000598"/>
    <n v="280.05067319999199"/>
    <s v="g"/>
    <n v="0"/>
    <n v="0.87046750000445094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Road"/>
    <s v="I"/>
    <x v="0"/>
    <s v="neutral"/>
    <s v="green"/>
    <s v="g"/>
    <n v="198"/>
    <n v="18"/>
    <n v="9"/>
    <s v="g"/>
    <n v="1"/>
    <n v="1.4712291000177999"/>
    <s v="None"/>
    <n v="9"/>
    <n v="18"/>
    <n v="198"/>
    <n v="18"/>
    <n v="280.063513700035"/>
    <m/>
    <m/>
    <m/>
    <m/>
    <n v="280.05388660001302"/>
    <n v="280.063513700035"/>
    <n v="280.56353560002702"/>
    <n v="280.56353560002702"/>
    <n v="280.56353560002702"/>
    <n v="282.05010029999499"/>
    <s v="g"/>
    <n v="1"/>
    <n v="1.4712291000177999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s v="Fear"/>
    <s v="C"/>
    <x v="2"/>
    <s v="emotional"/>
    <s v="red"/>
    <s v="r"/>
    <n v="199"/>
    <n v="19"/>
    <n v="9"/>
    <s v="r"/>
    <n v="1"/>
    <n v="0.95767589996103197"/>
    <s v="None"/>
    <n v="9"/>
    <n v="19"/>
    <n v="199"/>
    <n v="0"/>
    <n v="282.06307510001301"/>
    <m/>
    <m/>
    <m/>
    <m/>
    <n v="282.05255860002899"/>
    <n v="282.06307510001301"/>
    <n v="282.56325750000502"/>
    <n v="282.56325750000502"/>
    <n v="282.56325750000502"/>
    <n v="283.534257000021"/>
    <s v="r"/>
    <n v="1"/>
    <n v="0.95767589996103197"/>
    <s v="None"/>
    <m/>
    <m/>
    <m/>
    <x v="0"/>
    <n v="1"/>
    <s v="2025-11-18_20h03.11.027"/>
    <s v="emotional stroop_untitled"/>
    <m/>
    <s v="2025.1.1"/>
    <n v="59.778723070926397"/>
    <s v="2025-11-18 20h03.45.044066 +0530"/>
    <m/>
    <m/>
  </r>
  <r>
    <m/>
    <m/>
    <x v="3"/>
    <m/>
    <m/>
    <m/>
    <m/>
    <m/>
    <m/>
    <m/>
    <m/>
    <m/>
    <m/>
    <m/>
    <m/>
    <m/>
    <m/>
    <m/>
    <m/>
    <n v="1.3884300016797999E-2"/>
    <n v="2.7891600038856199E-2"/>
    <n v="2.01525200001196"/>
    <m/>
    <m/>
    <m/>
    <m/>
    <m/>
    <m/>
    <m/>
    <m/>
    <m/>
    <m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buse"/>
    <s v="C"/>
    <x v="2"/>
    <s v="emotional"/>
    <s v="red"/>
    <s v="r"/>
    <n v="0"/>
    <n v="0"/>
    <n v="0"/>
    <s v="r"/>
    <n v="1"/>
    <n v="1.52023399999598"/>
    <s v="None"/>
    <n v="0"/>
    <n v="0"/>
    <n v="0"/>
    <n v="4"/>
    <n v="2.0614875000319399"/>
    <m/>
    <m/>
    <m/>
    <m/>
    <n v="2.0403570000198599"/>
    <n v="2.0614875000319399"/>
    <n v="2.51141800003824"/>
    <n v="2.51141800003824"/>
    <n v="2.51141800003824"/>
    <n v="4.0522725000046096"/>
    <s v="r"/>
    <n v="1"/>
    <n v="1.520233999995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per"/>
    <s v="I"/>
    <x v="0"/>
    <s v="neutral"/>
    <s v="yellow"/>
    <s v="y"/>
    <n v="1"/>
    <n v="1"/>
    <n v="0"/>
    <s v="y"/>
    <n v="1"/>
    <n v="1.04994160000933"/>
    <s v="None"/>
    <n v="0"/>
    <n v="1"/>
    <n v="1"/>
    <n v="15"/>
    <n v="4.0599509000312501"/>
    <m/>
    <m/>
    <m/>
    <m/>
    <n v="4.0553823000518596"/>
    <n v="4.0599509000312501"/>
    <n v="4.5602193000377103"/>
    <n v="4.5602193000377103"/>
    <n v="4.5602193000377103"/>
    <n v="5.6133909000200202"/>
    <s v="y"/>
    <n v="1"/>
    <n v="1.0499416000093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able"/>
    <s v="I"/>
    <x v="0"/>
    <s v="neutral"/>
    <s v="blue"/>
    <s v="b"/>
    <n v="2"/>
    <n v="2"/>
    <n v="0"/>
    <s v="b"/>
    <n v="1"/>
    <n v="0.86224550002953004"/>
    <s v="None"/>
    <n v="0"/>
    <n v="2"/>
    <n v="2"/>
    <n v="13"/>
    <n v="5.6271630000555799"/>
    <m/>
    <m/>
    <m/>
    <m/>
    <n v="5.6165101000224196"/>
    <n v="5.6271630000555799"/>
    <n v="6.1279073000187001"/>
    <n v="6.1279073000187001"/>
    <n v="6.1279073000187001"/>
    <n v="6.99623410002095"/>
    <s v="b"/>
    <n v="1"/>
    <n v="0.86224550002953004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Chair"/>
    <s v="I"/>
    <x v="0"/>
    <s v="neutral"/>
    <s v="green"/>
    <s v="g"/>
    <n v="3"/>
    <n v="3"/>
    <n v="0"/>
    <s v="g"/>
    <n v="1"/>
    <n v="1.0147866999613999"/>
    <s v="None"/>
    <n v="0"/>
    <n v="3"/>
    <n v="3"/>
    <n v="10"/>
    <n v="7.0106706000515198"/>
    <m/>
    <m/>
    <m/>
    <m/>
    <n v="6.9986750000389204"/>
    <n v="7.0106706000515198"/>
    <n v="7.51139550004154"/>
    <n v="7.51139550004154"/>
    <n v="7.51139550004154"/>
    <n v="8.5320335000287706"/>
    <s v="g"/>
    <n v="1"/>
    <n v="1.01478669996139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in"/>
    <s v="I"/>
    <x v="1"/>
    <s v="emotional"/>
    <s v="blue"/>
    <s v="b"/>
    <n v="4"/>
    <n v="4"/>
    <n v="0"/>
    <s v="b"/>
    <n v="1"/>
    <n v="0.93821589997969501"/>
    <s v="None"/>
    <n v="0"/>
    <n v="4"/>
    <n v="4"/>
    <n v="1"/>
    <n v="8.7271230000187607"/>
    <m/>
    <m/>
    <m/>
    <m/>
    <n v="8.6743723000399697"/>
    <n v="8.7271230000187607"/>
    <n v="9.0446330000413493"/>
    <n v="9.0446330000413493"/>
    <n v="9.0446330000413493"/>
    <n v="9.9976291000493802"/>
    <s v="b"/>
    <n v="1"/>
    <n v="0.938215899979695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ok"/>
    <s v="I"/>
    <x v="0"/>
    <s v="neutral"/>
    <s v="blue"/>
    <s v="b"/>
    <n v="5"/>
    <n v="5"/>
    <n v="0"/>
    <s v="b"/>
    <n v="1"/>
    <n v="0.59772989997873005"/>
    <s v="None"/>
    <n v="0"/>
    <n v="5"/>
    <n v="5"/>
    <n v="17"/>
    <n v="10.0107136000297"/>
    <m/>
    <m/>
    <m/>
    <m/>
    <n v="10.000264800037201"/>
    <n v="10.0107136000297"/>
    <n v="10.511186200019401"/>
    <n v="10.511186200019401"/>
    <n v="10.511186200019401"/>
    <n v="11.1145506000029"/>
    <s v="b"/>
    <n v="1"/>
    <n v="0.5977298999787300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Road"/>
    <s v="I"/>
    <x v="0"/>
    <s v="neutral"/>
    <s v="green"/>
    <s v="g"/>
    <n v="6"/>
    <n v="6"/>
    <n v="0"/>
    <s v="g"/>
    <n v="1"/>
    <n v="1.00578910001786"/>
    <s v="None"/>
    <n v="0"/>
    <n v="6"/>
    <n v="6"/>
    <n v="18"/>
    <n v="11.127967000007599"/>
    <m/>
    <m/>
    <m/>
    <m/>
    <n v="11.1177896000444"/>
    <n v="11.127967000007599"/>
    <n v="11.6273202000302"/>
    <n v="11.6273202000302"/>
    <n v="11.6273202000302"/>
    <n v="12.647662000032099"/>
    <s v="g"/>
    <n v="1"/>
    <n v="1.0057891000178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encil"/>
    <s v="I"/>
    <x v="0"/>
    <s v="neutral"/>
    <s v="green"/>
    <s v="g"/>
    <n v="7"/>
    <n v="7"/>
    <n v="0"/>
    <s v="g"/>
    <n v="1"/>
    <n v="0.56235209997976199"/>
    <s v="None"/>
    <n v="0"/>
    <n v="7"/>
    <n v="7"/>
    <n v="14"/>
    <n v="12.6608962000464"/>
    <m/>
    <m/>
    <m/>
    <m/>
    <n v="12.650372500007499"/>
    <n v="12.6608962000464"/>
    <n v="13.1605571000254"/>
    <n v="13.1605571000254"/>
    <n v="13.1605571000254"/>
    <n v="13.7312783000525"/>
    <s v="g"/>
    <n v="1"/>
    <n v="0.562352099979761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Fear"/>
    <s v="C"/>
    <x v="2"/>
    <s v="emotional"/>
    <s v="red"/>
    <s v="r"/>
    <n v="8"/>
    <n v="8"/>
    <n v="0"/>
    <s v="r"/>
    <n v="1"/>
    <n v="1.04465400002663"/>
    <s v="None"/>
    <n v="0"/>
    <n v="8"/>
    <n v="8"/>
    <n v="0"/>
    <n v="13.743663700006399"/>
    <m/>
    <m/>
    <m/>
    <m/>
    <n v="13.735909500042901"/>
    <n v="13.743663700006399"/>
    <n v="14.247088600008199"/>
    <n v="14.247088600008199"/>
    <n v="14.247088600008199"/>
    <n v="15.297571700008101"/>
    <s v="r"/>
    <n v="1"/>
    <n v="1.0446540000266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adness"/>
    <s v="I"/>
    <x v="1"/>
    <s v="emotional"/>
    <s v="yellow"/>
    <s v="y"/>
    <n v="9"/>
    <n v="9"/>
    <n v="0"/>
    <s v="y"/>
    <n v="1"/>
    <n v="1.0163888999959401"/>
    <s v="None"/>
    <n v="0"/>
    <n v="9"/>
    <n v="9"/>
    <n v="7"/>
    <n v="15.3108926000422"/>
    <m/>
    <m/>
    <m/>
    <m/>
    <n v="15.3006748000043"/>
    <n v="15.3108926000422"/>
    <n v="15.810509100032499"/>
    <n v="15.810509100032499"/>
    <n v="15.810509100032499"/>
    <n v="16.8331005000509"/>
    <s v="y"/>
    <n v="1"/>
    <n v="1.01638889999594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tone"/>
    <s v="I"/>
    <x v="0"/>
    <s v="neutral"/>
    <s v="yellow"/>
    <s v="y"/>
    <n v="10"/>
    <n v="10"/>
    <n v="0"/>
    <s v="y"/>
    <n v="1"/>
    <n v="1.2473353999666801"/>
    <s v="None"/>
    <n v="0"/>
    <n v="10"/>
    <n v="10"/>
    <n v="19"/>
    <n v="16.8447542000212"/>
    <m/>
    <m/>
    <m/>
    <m/>
    <n v="16.836529400025"/>
    <n v="16.8447542000212"/>
    <n v="17.344289100030402"/>
    <n v="17.344289100030402"/>
    <n v="17.344289100030402"/>
    <n v="18.597731200046798"/>
    <s v="y"/>
    <n v="1"/>
    <n v="1.24733539996668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Garden"/>
    <s v="I"/>
    <x v="0"/>
    <s v="neutral"/>
    <s v="red"/>
    <s v="r"/>
    <n v="11"/>
    <n v="11"/>
    <n v="0"/>
    <s v="r"/>
    <n v="1"/>
    <n v="0.99014399998122804"/>
    <s v="None"/>
    <n v="0"/>
    <n v="11"/>
    <n v="11"/>
    <n v="16"/>
    <n v="18.610666500055199"/>
    <m/>
    <m/>
    <m/>
    <m/>
    <n v="18.6017448000493"/>
    <n v="18.610666500055199"/>
    <n v="19.110628800000899"/>
    <n v="19.110628800000899"/>
    <n v="19.110628800000899"/>
    <n v="20.114691700029599"/>
    <s v="r"/>
    <n v="1"/>
    <n v="0.99014399998122804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Injury"/>
    <s v="I"/>
    <x v="1"/>
    <s v="emotional"/>
    <s v="green"/>
    <s v="g"/>
    <n v="12"/>
    <n v="12"/>
    <n v="0"/>
    <s v="g"/>
    <n v="1"/>
    <n v="0.94732859998475705"/>
    <s v="None"/>
    <n v="0"/>
    <n v="12"/>
    <n v="12"/>
    <n v="6"/>
    <n v="20.1267374000162"/>
    <m/>
    <m/>
    <m/>
    <m/>
    <n v="20.120072100020401"/>
    <n v="20.1267374000162"/>
    <n v="20.627382600039699"/>
    <n v="20.627382600039699"/>
    <n v="20.627382600039699"/>
    <n v="21.5806638000067"/>
    <s v="g"/>
    <n v="1"/>
    <n v="0.9473285999847570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Violence"/>
    <s v="I"/>
    <x v="1"/>
    <s v="emotional"/>
    <s v="blue"/>
    <s v="b"/>
    <n v="13"/>
    <n v="13"/>
    <n v="0"/>
    <s v="b"/>
    <n v="1"/>
    <n v="0.89374670002143797"/>
    <s v="None"/>
    <n v="0"/>
    <n v="13"/>
    <n v="13"/>
    <n v="9"/>
    <n v="21.5942325000069"/>
    <m/>
    <m/>
    <m/>
    <m/>
    <n v="21.5857918000547"/>
    <n v="21.5942325000069"/>
    <n v="22.094270600005899"/>
    <n v="22.094270600005899"/>
    <n v="22.094270600005899"/>
    <n v="22.997366200026502"/>
    <s v="b"/>
    <n v="1"/>
    <n v="0.893746700021437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Window"/>
    <s v="I"/>
    <x v="0"/>
    <s v="neutral"/>
    <s v="red"/>
    <s v="r"/>
    <n v="14"/>
    <n v="14"/>
    <n v="0"/>
    <s v="r"/>
    <n v="1"/>
    <n v="2.19592510000802"/>
    <s v="None"/>
    <n v="0"/>
    <n v="14"/>
    <n v="14"/>
    <n v="12"/>
    <n v="23.010587100056"/>
    <m/>
    <m/>
    <m/>
    <m/>
    <n v="23.0001000000047"/>
    <n v="23.010587100056"/>
    <n v="23.510729000030501"/>
    <n v="23.510729000030501"/>
    <n v="23.510729000030501"/>
    <n v="25.7141285000252"/>
    <s v="r"/>
    <n v="1"/>
    <n v="2.19592510000802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hreat"/>
    <s v="I"/>
    <x v="1"/>
    <s v="emotional"/>
    <s v="blue"/>
    <s v="b"/>
    <n v="15"/>
    <n v="15"/>
    <n v="0"/>
    <s v="b"/>
    <n v="1"/>
    <n v="0.78310719999717504"/>
    <s v="None"/>
    <n v="0"/>
    <n v="15"/>
    <n v="15"/>
    <n v="5"/>
    <n v="25.7267527000512"/>
    <m/>
    <m/>
    <m/>
    <m/>
    <n v="25.717268600012101"/>
    <n v="25.7267527000512"/>
    <n v="26.226948800031"/>
    <n v="26.226948800031"/>
    <n v="26.226948800031"/>
    <n v="27.014507100044199"/>
    <s v="b"/>
    <n v="1"/>
    <n v="0.78310719999717504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Death"/>
    <s v="I"/>
    <x v="1"/>
    <s v="emotional"/>
    <s v="green"/>
    <s v="g"/>
    <n v="16"/>
    <n v="16"/>
    <n v="0"/>
    <s v="g"/>
    <n v="1"/>
    <n v="0.95126390003133499"/>
    <s v="None"/>
    <n v="0"/>
    <n v="16"/>
    <n v="16"/>
    <n v="2"/>
    <n v="27.026851800037502"/>
    <m/>
    <m/>
    <m/>
    <m/>
    <n v="27.019450800027698"/>
    <n v="27.026851800037502"/>
    <n v="27.527169900014901"/>
    <n v="27.527169900014901"/>
    <n v="27.527169900014901"/>
    <n v="28.482517900003501"/>
    <s v="g"/>
    <n v="1"/>
    <n v="0.951263900031334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nic"/>
    <s v="I"/>
    <x v="1"/>
    <s v="emotional"/>
    <s v="yellow"/>
    <s v="y"/>
    <n v="17"/>
    <n v="17"/>
    <n v="0"/>
    <s v="y"/>
    <n v="1"/>
    <n v="0.588742099993396"/>
    <s v="None"/>
    <n v="0"/>
    <n v="17"/>
    <n v="17"/>
    <n v="3"/>
    <n v="28.50946260005"/>
    <m/>
    <m/>
    <m/>
    <m/>
    <n v="28.487113600014698"/>
    <n v="28.50946260005"/>
    <n v="28.993321400019301"/>
    <n v="28.993321400019301"/>
    <n v="28.993321400019301"/>
    <n v="29.5980120000313"/>
    <s v="y"/>
    <n v="1"/>
    <n v="0.58874209999339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nger"/>
    <s v="C"/>
    <x v="2"/>
    <s v="emotional"/>
    <s v="red"/>
    <s v="r"/>
    <n v="18"/>
    <n v="18"/>
    <n v="0"/>
    <s v="r"/>
    <n v="1"/>
    <n v="0.48373849998460999"/>
    <s v="None"/>
    <n v="0"/>
    <n v="18"/>
    <n v="18"/>
    <n v="8"/>
    <n v="29.610084300045798"/>
    <m/>
    <m/>
    <m/>
    <m/>
    <n v="29.601827300037201"/>
    <n v="29.610084300045798"/>
    <n v="30.110335500037699"/>
    <n v="30.110335500037699"/>
    <n v="30.110335500037699"/>
    <n v="30.5970626000198"/>
    <s v="r"/>
    <n v="1"/>
    <n v="0.483738499984609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ttle"/>
    <s v="I"/>
    <x v="0"/>
    <s v="neutral"/>
    <s v="yellow"/>
    <s v="y"/>
    <n v="19"/>
    <n v="19"/>
    <n v="0"/>
    <s v="g"/>
    <n v="0"/>
    <n v="0.793372499989345"/>
    <s v="None"/>
    <n v="0"/>
    <n v="19"/>
    <n v="19"/>
    <n v="11"/>
    <n v="30.6102783000096"/>
    <m/>
    <m/>
    <m/>
    <m/>
    <n v="30.600107600039301"/>
    <n v="30.6102783000096"/>
    <n v="31.110107000044"/>
    <n v="31.110107000044"/>
    <n v="31.110107000044"/>
    <n v="31.914552800008"/>
    <s v="g"/>
    <n v="0"/>
    <n v="0.79337249998934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buse"/>
    <s v="C"/>
    <x v="2"/>
    <s v="emotional"/>
    <s v="red"/>
    <s v="r"/>
    <n v="20"/>
    <n v="0"/>
    <n v="1"/>
    <s v="r"/>
    <n v="1"/>
    <n v="0.67767150001600296"/>
    <s v="None"/>
    <n v="1"/>
    <n v="0"/>
    <n v="20"/>
    <n v="4"/>
    <n v="31.928782800037801"/>
    <m/>
    <m/>
    <m/>
    <m/>
    <n v="31.9176708000013"/>
    <n v="31.928782800037801"/>
    <n v="32.426828700001302"/>
    <n v="32.426828700001302"/>
    <n v="32.426828700001302"/>
    <n v="33.113411700003702"/>
    <s v="r"/>
    <n v="1"/>
    <n v="0.6776715000160029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Injury"/>
    <s v="I"/>
    <x v="1"/>
    <s v="emotional"/>
    <s v="green"/>
    <s v="g"/>
    <n v="21"/>
    <n v="1"/>
    <n v="1"/>
    <s v="g"/>
    <n v="1"/>
    <n v="1.5570615999749799"/>
    <s v="None"/>
    <n v="1"/>
    <n v="1"/>
    <n v="21"/>
    <n v="6"/>
    <n v="33.126802800048601"/>
    <m/>
    <m/>
    <m/>
    <m/>
    <n v="33.116351400036301"/>
    <n v="33.126802800048601"/>
    <n v="33.626770900038501"/>
    <n v="33.626770900038501"/>
    <n v="33.626770900038501"/>
    <n v="35.197130800050203"/>
    <s v="g"/>
    <n v="1"/>
    <n v="1.55706159997497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Garden"/>
    <s v="I"/>
    <x v="0"/>
    <s v="neutral"/>
    <s v="red"/>
    <s v="r"/>
    <n v="22"/>
    <n v="2"/>
    <n v="1"/>
    <s v="r"/>
    <n v="1"/>
    <n v="0.70579580002231501"/>
    <s v="None"/>
    <n v="1"/>
    <n v="2"/>
    <n v="22"/>
    <n v="16"/>
    <n v="35.2099572000443"/>
    <m/>
    <m/>
    <m/>
    <m/>
    <n v="35.199899800005298"/>
    <n v="35.2099572000443"/>
    <n v="35.710009900038102"/>
    <n v="35.710009900038102"/>
    <n v="35.710009900038102"/>
    <n v="36.429744200024203"/>
    <s v="r"/>
    <n v="1"/>
    <n v="0.705795800022315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Chair"/>
    <s v="I"/>
    <x v="0"/>
    <s v="neutral"/>
    <s v="green"/>
    <s v="g"/>
    <n v="23"/>
    <n v="3"/>
    <n v="1"/>
    <s v="g"/>
    <n v="1"/>
    <n v="0.71464289998402797"/>
    <s v="None"/>
    <n v="1"/>
    <n v="3"/>
    <n v="23"/>
    <n v="10"/>
    <n v="36.444001000025303"/>
    <m/>
    <m/>
    <m/>
    <m/>
    <n v="36.432922800013301"/>
    <n v="36.444001000025303"/>
    <n v="36.943240500055197"/>
    <n v="36.943240500055197"/>
    <n v="36.943240500055197"/>
    <n v="37.663344100001197"/>
    <s v="g"/>
    <n v="1"/>
    <n v="0.714642899984027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nger"/>
    <s v="C"/>
    <x v="2"/>
    <s v="emotional"/>
    <s v="red"/>
    <s v="r"/>
    <n v="24"/>
    <n v="4"/>
    <n v="1"/>
    <s v="r"/>
    <n v="1"/>
    <n v="0.69279780000215396"/>
    <s v="None"/>
    <n v="1"/>
    <n v="4"/>
    <n v="24"/>
    <n v="8"/>
    <n v="37.6762253000051"/>
    <m/>
    <m/>
    <m/>
    <m/>
    <n v="37.666087400051701"/>
    <n v="37.6762253000051"/>
    <n v="38.176138700044199"/>
    <n v="38.176138700044199"/>
    <n v="38.176138700044199"/>
    <n v="38.8798706000088"/>
    <s v="r"/>
    <n v="1"/>
    <n v="0.6927978000021539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Fear"/>
    <s v="C"/>
    <x v="2"/>
    <s v="emotional"/>
    <s v="red"/>
    <s v="r"/>
    <n v="25"/>
    <n v="5"/>
    <n v="1"/>
    <s v="r"/>
    <n v="1"/>
    <n v="0.80635529995197397"/>
    <s v="None"/>
    <n v="1"/>
    <n v="5"/>
    <n v="25"/>
    <n v="0"/>
    <n v="38.893218100012703"/>
    <m/>
    <m/>
    <m/>
    <m/>
    <n v="38.882511200034003"/>
    <n v="38.893218100012703"/>
    <n v="39.393343700037804"/>
    <n v="39.393343700037804"/>
    <n v="39.393343700037804"/>
    <n v="40.212428900005698"/>
    <s v="r"/>
    <n v="1"/>
    <n v="0.806355299951973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tone"/>
    <s v="I"/>
    <x v="0"/>
    <s v="neutral"/>
    <s v="yellow"/>
    <s v="y"/>
    <n v="26"/>
    <n v="6"/>
    <n v="1"/>
    <s v="y"/>
    <n v="1"/>
    <n v="0.75092860002769102"/>
    <s v="None"/>
    <n v="1"/>
    <n v="6"/>
    <n v="26"/>
    <n v="19"/>
    <n v="40.225194200000203"/>
    <m/>
    <m/>
    <m/>
    <m/>
    <n v="40.215402800007702"/>
    <n v="40.225194200000203"/>
    <n v="40.725238300045"/>
    <n v="40.725238300045"/>
    <n v="40.725238300045"/>
    <n v="41.4795886000501"/>
    <s v="y"/>
    <n v="1"/>
    <n v="0.75092860002769102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adness"/>
    <s v="I"/>
    <x v="1"/>
    <s v="emotional"/>
    <s v="yellow"/>
    <s v="y"/>
    <n v="27"/>
    <n v="7"/>
    <n v="1"/>
    <s v="y"/>
    <n v="1"/>
    <n v="0.46373760001733899"/>
    <s v="None"/>
    <n v="1"/>
    <n v="7"/>
    <n v="27"/>
    <n v="7"/>
    <n v="41.4922041000099"/>
    <m/>
    <m/>
    <m/>
    <m/>
    <n v="41.482209900044801"/>
    <n v="41.4922041000099"/>
    <n v="41.992067900020601"/>
    <n v="41.992067900020601"/>
    <n v="41.992067900020601"/>
    <n v="42.462071500020102"/>
    <s v="y"/>
    <n v="1"/>
    <n v="0.463737600017338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hreat"/>
    <s v="I"/>
    <x v="1"/>
    <s v="emotional"/>
    <s v="blue"/>
    <s v="b"/>
    <n v="28"/>
    <n v="8"/>
    <n v="1"/>
    <s v="b"/>
    <n v="1"/>
    <n v="0.88411829998949498"/>
    <s v="None"/>
    <n v="1"/>
    <n v="8"/>
    <n v="28"/>
    <n v="5"/>
    <n v="42.475778200023299"/>
    <m/>
    <m/>
    <m/>
    <m/>
    <n v="42.4643374000443"/>
    <n v="42.475778200023299"/>
    <n v="42.975110200000898"/>
    <n v="42.975110200000898"/>
    <n v="42.975110200000898"/>
    <n v="43.862054200027998"/>
    <s v="b"/>
    <n v="1"/>
    <n v="0.884118299989494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Road"/>
    <s v="I"/>
    <x v="0"/>
    <s v="neutral"/>
    <s v="green"/>
    <s v="g"/>
    <n v="29"/>
    <n v="9"/>
    <n v="1"/>
    <s v="g"/>
    <n v="1"/>
    <n v="0.93313379999017299"/>
    <s v="None"/>
    <n v="1"/>
    <n v="9"/>
    <n v="29"/>
    <n v="18"/>
    <n v="43.8753550000255"/>
    <m/>
    <m/>
    <m/>
    <m/>
    <n v="43.864200200012398"/>
    <n v="43.8753550000255"/>
    <n v="44.379097800003301"/>
    <n v="44.379097800003301"/>
    <n v="44.379097800003301"/>
    <n v="45.313621100038198"/>
    <s v="g"/>
    <n v="1"/>
    <n v="0.933133799990172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Violence"/>
    <s v="I"/>
    <x v="1"/>
    <s v="emotional"/>
    <s v="blue"/>
    <s v="b"/>
    <n v="30"/>
    <n v="10"/>
    <n v="1"/>
    <s v="b"/>
    <n v="1"/>
    <n v="2.88680079998448"/>
    <s v="None"/>
    <n v="1"/>
    <n v="10"/>
    <n v="30"/>
    <n v="9"/>
    <n v="45.326297500054302"/>
    <m/>
    <m/>
    <m/>
    <m/>
    <n v="45.316720900009301"/>
    <n v="45.326297500054302"/>
    <n v="45.826229300000698"/>
    <n v="45.826229300000698"/>
    <n v="45.826229300000698"/>
    <n v="48.714078300050403"/>
    <s v="b"/>
    <n v="1"/>
    <n v="2.8868007999844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able"/>
    <s v="I"/>
    <x v="0"/>
    <s v="neutral"/>
    <s v="blue"/>
    <s v="b"/>
    <n v="31"/>
    <n v="11"/>
    <n v="1"/>
    <s v="b"/>
    <n v="1"/>
    <n v="0.54884249996393897"/>
    <s v="None"/>
    <n v="1"/>
    <n v="11"/>
    <n v="31"/>
    <n v="13"/>
    <n v="48.725702100025899"/>
    <m/>
    <m/>
    <m/>
    <m/>
    <n v="48.718157700030098"/>
    <n v="48.725702100025899"/>
    <n v="49.226105300011099"/>
    <n v="49.226105300011099"/>
    <n v="49.226105300011099"/>
    <n v="49.781308700039503"/>
    <s v="b"/>
    <n v="1"/>
    <n v="0.548842499963938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per"/>
    <s v="I"/>
    <x v="0"/>
    <s v="neutral"/>
    <s v="yellow"/>
    <s v="y"/>
    <n v="32"/>
    <n v="12"/>
    <n v="1"/>
    <s v="y"/>
    <n v="1"/>
    <n v="0.78422440000576898"/>
    <s v="None"/>
    <n v="1"/>
    <n v="12"/>
    <n v="32"/>
    <n v="15"/>
    <n v="49.7925991000374"/>
    <m/>
    <m/>
    <m/>
    <m/>
    <n v="49.784878300037199"/>
    <n v="49.7925991000374"/>
    <n v="50.293122400005799"/>
    <n v="50.293122400005799"/>
    <n v="50.293122400005799"/>
    <n v="51.079903700039701"/>
    <s v="y"/>
    <n v="1"/>
    <n v="0.784224400005768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in"/>
    <s v="I"/>
    <x v="1"/>
    <s v="emotional"/>
    <s v="blue"/>
    <s v="b"/>
    <n v="33"/>
    <n v="13"/>
    <n v="1"/>
    <s v="b"/>
    <n v="1"/>
    <n v="0.65526449994649705"/>
    <s v="None"/>
    <n v="1"/>
    <n v="13"/>
    <n v="33"/>
    <n v="1"/>
    <n v="51.092534900002597"/>
    <m/>
    <m/>
    <m/>
    <m/>
    <n v="51.082667700015001"/>
    <n v="51.092534900002597"/>
    <n v="51.593330600007903"/>
    <n v="51.593330600007903"/>
    <n v="51.593330600007903"/>
    <n v="52.2632946000085"/>
    <s v="b"/>
    <n v="1"/>
    <n v="0.6552644999464970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ok"/>
    <s v="I"/>
    <x v="0"/>
    <s v="neutral"/>
    <s v="blue"/>
    <s v="b"/>
    <n v="34"/>
    <n v="14"/>
    <n v="1"/>
    <s v="b"/>
    <n v="1"/>
    <n v="0.41086429997812901"/>
    <s v="None"/>
    <n v="1"/>
    <n v="14"/>
    <n v="34"/>
    <n v="17"/>
    <n v="52.276023100013802"/>
    <m/>
    <m/>
    <m/>
    <m/>
    <n v="52.265790900040798"/>
    <n v="52.276023100013802"/>
    <n v="52.776466700015497"/>
    <n v="52.776466700015497"/>
    <n v="52.776466700015497"/>
    <n v="53.196427800052298"/>
    <s v="b"/>
    <n v="1"/>
    <n v="0.410864299978129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nic"/>
    <s v="I"/>
    <x v="1"/>
    <s v="emotional"/>
    <s v="yellow"/>
    <s v="y"/>
    <n v="35"/>
    <n v="15"/>
    <n v="1"/>
    <s v="r"/>
    <n v="0"/>
    <n v="0.86282089998712697"/>
    <s v="None"/>
    <n v="1"/>
    <n v="15"/>
    <n v="35"/>
    <n v="3"/>
    <n v="53.209617700020303"/>
    <m/>
    <m/>
    <m/>
    <m/>
    <n v="53.199246100033598"/>
    <n v="53.209617700020303"/>
    <n v="53.7111345000448"/>
    <n v="53.7111345000448"/>
    <n v="53.7111345000448"/>
    <n v="54.580383300024501"/>
    <s v="r"/>
    <n v="0"/>
    <n v="0.862820899987126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Death"/>
    <s v="I"/>
    <x v="1"/>
    <s v="emotional"/>
    <s v="green"/>
    <s v="g"/>
    <n v="36"/>
    <n v="16"/>
    <n v="1"/>
    <s v="g"/>
    <n v="1"/>
    <n v="1.48842359997797"/>
    <s v="None"/>
    <n v="1"/>
    <n v="16"/>
    <n v="36"/>
    <n v="2"/>
    <n v="54.592150100041103"/>
    <m/>
    <m/>
    <m/>
    <m/>
    <n v="54.583684700017301"/>
    <n v="54.592150100041103"/>
    <n v="55.092310900043202"/>
    <n v="55.092310900043202"/>
    <n v="55.092310900043202"/>
    <n v="56.596305100014398"/>
    <s v="g"/>
    <n v="1"/>
    <n v="1.488423599977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ttle"/>
    <s v="I"/>
    <x v="0"/>
    <s v="neutral"/>
    <s v="yellow"/>
    <s v="y"/>
    <n v="37"/>
    <n v="17"/>
    <n v="1"/>
    <s v="y"/>
    <n v="1"/>
    <n v="1.16131789999781"/>
    <s v="None"/>
    <n v="1"/>
    <n v="17"/>
    <n v="37"/>
    <n v="11"/>
    <n v="56.6090135000413"/>
    <m/>
    <m/>
    <m/>
    <m/>
    <n v="56.599300100002402"/>
    <n v="56.6090135000413"/>
    <n v="57.108592900040001"/>
    <n v="57.108592900040001"/>
    <n v="57.108592900040001"/>
    <n v="58.278959200019003"/>
    <s v="y"/>
    <n v="1"/>
    <n v="1.1613178999978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Window"/>
    <s v="I"/>
    <x v="0"/>
    <s v="neutral"/>
    <s v="red"/>
    <s v="r"/>
    <n v="38"/>
    <n v="18"/>
    <n v="1"/>
    <s v="r"/>
    <n v="1"/>
    <n v="0.56004549999488495"/>
    <s v="None"/>
    <n v="1"/>
    <n v="18"/>
    <n v="38"/>
    <n v="12"/>
    <n v="58.292607400042399"/>
    <m/>
    <m/>
    <m/>
    <m/>
    <n v="58.281672800017901"/>
    <n v="58.292607400042399"/>
    <n v="58.792602900008198"/>
    <n v="58.792602900008198"/>
    <n v="58.792602900008198"/>
    <n v="59.362421500030898"/>
    <s v="r"/>
    <n v="1"/>
    <n v="0.560045499994884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encil"/>
    <s v="I"/>
    <x v="0"/>
    <s v="neutral"/>
    <s v="green"/>
    <s v="g"/>
    <n v="39"/>
    <n v="19"/>
    <n v="1"/>
    <s v="g"/>
    <n v="1"/>
    <n v="1.5275830000173301"/>
    <s v="None"/>
    <n v="1"/>
    <n v="19"/>
    <n v="39"/>
    <n v="14"/>
    <n v="59.375708400039002"/>
    <m/>
    <m/>
    <m/>
    <m/>
    <n v="59.365485900023401"/>
    <n v="59.375708400039002"/>
    <n v="59.875484100019001"/>
    <n v="59.875484100019001"/>
    <n v="59.875484100019001"/>
    <n v="61.412167000002199"/>
    <s v="g"/>
    <n v="1"/>
    <n v="1.52758300001733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nger"/>
    <s v="C"/>
    <x v="2"/>
    <s v="emotional"/>
    <s v="red"/>
    <s v="r"/>
    <n v="40"/>
    <n v="0"/>
    <n v="2"/>
    <s v="r"/>
    <n v="1"/>
    <n v="2.116837700014"/>
    <s v="None"/>
    <n v="2"/>
    <n v="0"/>
    <n v="40"/>
    <n v="8"/>
    <n v="61.425751900009303"/>
    <m/>
    <m/>
    <m/>
    <m/>
    <n v="61.415596000035201"/>
    <n v="61.425751900009303"/>
    <n v="61.925725600041901"/>
    <n v="61.925725600041901"/>
    <n v="61.925725600041901"/>
    <n v="64.049016500008193"/>
    <s v="r"/>
    <n v="1"/>
    <n v="2.116837700014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encil"/>
    <s v="I"/>
    <x v="0"/>
    <s v="neutral"/>
    <s v="green"/>
    <s v="g"/>
    <n v="41"/>
    <n v="1"/>
    <n v="2"/>
    <s v="g"/>
    <n v="1"/>
    <n v="1.2697122999816199"/>
    <s v="None"/>
    <n v="2"/>
    <n v="1"/>
    <n v="41"/>
    <n v="14"/>
    <n v="64.074650400027096"/>
    <m/>
    <m/>
    <m/>
    <m/>
    <n v="64.052800400007897"/>
    <n v="64.074650400027096"/>
    <n v="64.558626600017305"/>
    <n v="64.558626600017305"/>
    <n v="64.558626600017305"/>
    <n v="65.8293965000193"/>
    <s v="g"/>
    <n v="1"/>
    <n v="1.26971229998161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Window"/>
    <s v="I"/>
    <x v="0"/>
    <s v="neutral"/>
    <s v="red"/>
    <s v="r"/>
    <n v="42"/>
    <n v="2"/>
    <n v="2"/>
    <s v="r"/>
    <n v="1"/>
    <n v="0.89389459998346799"/>
    <s v="None"/>
    <n v="2"/>
    <n v="2"/>
    <n v="42"/>
    <n v="12"/>
    <n v="65.841706400038603"/>
    <m/>
    <m/>
    <m/>
    <m/>
    <n v="65.833340400015004"/>
    <n v="65.841706400038603"/>
    <n v="66.3421944000292"/>
    <n v="66.3421944000292"/>
    <n v="66.3421944000292"/>
    <n v="67.245291800005305"/>
    <s v="r"/>
    <n v="1"/>
    <n v="0.893894599983467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Road"/>
    <s v="I"/>
    <x v="0"/>
    <s v="neutral"/>
    <s v="green"/>
    <s v="g"/>
    <n v="43"/>
    <n v="3"/>
    <n v="2"/>
    <s v="g"/>
    <n v="1"/>
    <n v="1.0273432999965699"/>
    <s v="None"/>
    <n v="2"/>
    <n v="3"/>
    <n v="43"/>
    <n v="18"/>
    <n v="67.258589100034399"/>
    <m/>
    <m/>
    <m/>
    <m/>
    <n v="67.248557800019597"/>
    <n v="67.258589100034399"/>
    <n v="67.758600100001701"/>
    <n v="67.758600100001701"/>
    <n v="67.758600100001701"/>
    <n v="68.795659600000306"/>
    <s v="g"/>
    <n v="1"/>
    <n v="1.02734329999656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per"/>
    <s v="I"/>
    <x v="0"/>
    <s v="neutral"/>
    <s v="yellow"/>
    <s v="y"/>
    <n v="44"/>
    <n v="4"/>
    <n v="2"/>
    <s v="g"/>
    <n v="0"/>
    <n v="0.556476700003258"/>
    <s v="None"/>
    <n v="2"/>
    <n v="4"/>
    <n v="44"/>
    <n v="15"/>
    <n v="68.808712000027299"/>
    <m/>
    <m/>
    <m/>
    <m/>
    <n v="68.798932800011201"/>
    <n v="68.808712000027299"/>
    <n v="69.308498600032095"/>
    <n v="69.308498600032095"/>
    <n v="69.308498600032095"/>
    <n v="69.879547000047694"/>
    <s v="g"/>
    <n v="0"/>
    <n v="0.55647670000325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buse"/>
    <s v="C"/>
    <x v="2"/>
    <s v="emotional"/>
    <s v="red"/>
    <s v="r"/>
    <n v="45"/>
    <n v="5"/>
    <n v="2"/>
    <s v="r"/>
    <n v="1"/>
    <n v="0.58433879999211003"/>
    <s v="None"/>
    <n v="2"/>
    <n v="5"/>
    <n v="45"/>
    <n v="4"/>
    <n v="69.891662000038195"/>
    <m/>
    <m/>
    <m/>
    <m/>
    <n v="69.882170000055297"/>
    <n v="69.891662000038195"/>
    <n v="70.391589100006897"/>
    <n v="70.391589100006897"/>
    <n v="70.391589100006897"/>
    <n v="70.979362800018805"/>
    <s v="r"/>
    <n v="1"/>
    <n v="0.5843387999921100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Violence"/>
    <s v="I"/>
    <x v="1"/>
    <s v="emotional"/>
    <s v="blue"/>
    <s v="b"/>
    <n v="46"/>
    <n v="6"/>
    <n v="2"/>
    <s v="b"/>
    <n v="1"/>
    <n v="0.80016509996494201"/>
    <s v="None"/>
    <n v="2"/>
    <n v="6"/>
    <n v="46"/>
    <n v="9"/>
    <n v="70.992410300008402"/>
    <m/>
    <m/>
    <m/>
    <m/>
    <n v="70.982270000036806"/>
    <n v="70.992410300008402"/>
    <n v="71.491848000034196"/>
    <n v="71.491848000034196"/>
    <n v="71.491848000034196"/>
    <n v="72.296466200030395"/>
    <s v="b"/>
    <n v="1"/>
    <n v="0.800165099964942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able"/>
    <s v="I"/>
    <x v="0"/>
    <s v="neutral"/>
    <s v="blue"/>
    <s v="b"/>
    <n v="47"/>
    <n v="7"/>
    <n v="2"/>
    <s v="b"/>
    <n v="1"/>
    <n v="0.457069299998693"/>
    <s v="None"/>
    <n v="2"/>
    <n v="7"/>
    <n v="47"/>
    <n v="13"/>
    <n v="72.309550900012198"/>
    <m/>
    <m/>
    <m/>
    <m/>
    <n v="72.300539500021799"/>
    <n v="72.309550900012198"/>
    <n v="72.808271700050597"/>
    <n v="72.808271700050597"/>
    <n v="72.808271700050597"/>
    <n v="73.278703400050205"/>
    <s v="b"/>
    <n v="1"/>
    <n v="0.45706929999869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Injury"/>
    <s v="I"/>
    <x v="1"/>
    <s v="emotional"/>
    <s v="green"/>
    <s v="g"/>
    <n v="48"/>
    <n v="8"/>
    <n v="2"/>
    <s v="g"/>
    <n v="1"/>
    <n v="1.00892609998118"/>
    <s v="None"/>
    <n v="2"/>
    <n v="8"/>
    <n v="48"/>
    <n v="6"/>
    <n v="73.292003100039395"/>
    <m/>
    <m/>
    <m/>
    <m/>
    <n v="73.2817349000251"/>
    <n v="73.292003100039395"/>
    <n v="73.791341900010593"/>
    <n v="73.791341900010593"/>
    <n v="73.791341900010593"/>
    <n v="74.811957300000302"/>
    <s v="g"/>
    <n v="1"/>
    <n v="1.0089260999811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in"/>
    <s v="I"/>
    <x v="1"/>
    <s v="emotional"/>
    <s v="blue"/>
    <s v="b"/>
    <n v="49"/>
    <n v="9"/>
    <n v="2"/>
    <s v="b"/>
    <n v="1"/>
    <n v="0.79196740000042998"/>
    <s v="None"/>
    <n v="2"/>
    <n v="9"/>
    <n v="49"/>
    <n v="1"/>
    <n v="74.825507400033501"/>
    <m/>
    <m/>
    <m/>
    <m/>
    <n v="74.814288600056898"/>
    <n v="74.825507400033501"/>
    <n v="75.324905600049505"/>
    <n v="75.324905600049505"/>
    <n v="75.324905600049505"/>
    <n v="76.128515700052901"/>
    <s v="b"/>
    <n v="1"/>
    <n v="0.791967400000429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ttle"/>
    <s v="I"/>
    <x v="0"/>
    <s v="neutral"/>
    <s v="yellow"/>
    <s v="y"/>
    <n v="50"/>
    <n v="10"/>
    <n v="2"/>
    <s v="y"/>
    <n v="1"/>
    <n v="0.80747390002943498"/>
    <s v="None"/>
    <n v="2"/>
    <n v="10"/>
    <n v="50"/>
    <n v="11"/>
    <n v="76.1416292000212"/>
    <m/>
    <m/>
    <m/>
    <m/>
    <n v="76.1311941000167"/>
    <n v="76.1416292000212"/>
    <n v="76.641482700011693"/>
    <n v="76.641482700011693"/>
    <n v="76.641482700011693"/>
    <n v="77.461935300030703"/>
    <s v="y"/>
    <n v="1"/>
    <n v="0.807473900029434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Death"/>
    <s v="I"/>
    <x v="1"/>
    <s v="emotional"/>
    <s v="green"/>
    <s v="g"/>
    <n v="51"/>
    <n v="11"/>
    <n v="2"/>
    <s v="g"/>
    <n v="1"/>
    <n v="0.66517570003634297"/>
    <s v="None"/>
    <n v="2"/>
    <n v="11"/>
    <n v="51"/>
    <n v="2"/>
    <n v="77.474790500011295"/>
    <m/>
    <m/>
    <m/>
    <m/>
    <n v="77.4645864000194"/>
    <n v="77.474790500011295"/>
    <n v="77.974244900047694"/>
    <n v="77.974244900047694"/>
    <n v="77.974244900047694"/>
    <n v="78.644612900039604"/>
    <s v="g"/>
    <n v="1"/>
    <n v="0.665175700036342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Chair"/>
    <s v="I"/>
    <x v="0"/>
    <s v="neutral"/>
    <s v="green"/>
    <s v="g"/>
    <n v="52"/>
    <n v="12"/>
    <n v="2"/>
    <s v="g"/>
    <n v="1"/>
    <n v="0.46160089998738801"/>
    <s v="None"/>
    <n v="2"/>
    <n v="12"/>
    <n v="52"/>
    <n v="10"/>
    <n v="78.658139800012506"/>
    <m/>
    <m/>
    <m/>
    <m/>
    <n v="78.647309200023301"/>
    <n v="78.658139800012506"/>
    <n v="79.157647200045105"/>
    <n v="79.157647200045105"/>
    <n v="79.157647200045105"/>
    <n v="79.627894900040701"/>
    <s v="g"/>
    <n v="1"/>
    <n v="0.461600899987388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Garden"/>
    <s v="I"/>
    <x v="0"/>
    <s v="neutral"/>
    <s v="red"/>
    <s v="r"/>
    <n v="53"/>
    <n v="13"/>
    <n v="2"/>
    <s v="r"/>
    <n v="1"/>
    <n v="0.55240360001334898"/>
    <s v="None"/>
    <n v="2"/>
    <n v="13"/>
    <n v="53"/>
    <n v="16"/>
    <n v="79.641024500015106"/>
    <m/>
    <m/>
    <m/>
    <m/>
    <n v="79.6304713000427"/>
    <n v="79.641024500015106"/>
    <n v="80.140913000039205"/>
    <n v="80.140913000039205"/>
    <n v="80.140913000039205"/>
    <n v="80.695359600009397"/>
    <s v="r"/>
    <n v="1"/>
    <n v="0.552403600013348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ok"/>
    <s v="I"/>
    <x v="0"/>
    <s v="neutral"/>
    <s v="blue"/>
    <s v="b"/>
    <n v="54"/>
    <n v="14"/>
    <n v="2"/>
    <s v="b"/>
    <n v="1"/>
    <n v="0.52570719999493998"/>
    <s v="None"/>
    <n v="2"/>
    <n v="14"/>
    <n v="54"/>
    <n v="17"/>
    <n v="80.708038000040602"/>
    <m/>
    <m/>
    <m/>
    <m/>
    <n v="80.698538700002203"/>
    <n v="80.708038000040602"/>
    <n v="81.208102700009405"/>
    <n v="81.208102700009405"/>
    <n v="81.208102700009405"/>
    <n v="81.7453490000334"/>
    <s v="b"/>
    <n v="1"/>
    <n v="0.525707199994939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tone"/>
    <s v="I"/>
    <x v="0"/>
    <s v="neutral"/>
    <s v="yellow"/>
    <s v="y"/>
    <n v="55"/>
    <n v="15"/>
    <n v="2"/>
    <s v="y"/>
    <n v="1"/>
    <n v="0.72204620001139097"/>
    <s v="None"/>
    <n v="2"/>
    <n v="15"/>
    <n v="55"/>
    <n v="19"/>
    <n v="81.758105900022201"/>
    <m/>
    <m/>
    <m/>
    <m/>
    <n v="81.748130800027795"/>
    <n v="81.758105900022201"/>
    <n v="82.258016100036897"/>
    <n v="82.258016100036897"/>
    <n v="82.258016100036897"/>
    <n v="82.996709600032702"/>
    <s v="y"/>
    <n v="1"/>
    <n v="0.722046200011390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Fear"/>
    <s v="C"/>
    <x v="2"/>
    <s v="emotional"/>
    <s v="red"/>
    <s v="r"/>
    <n v="56"/>
    <n v="16"/>
    <n v="2"/>
    <s v="r"/>
    <n v="1"/>
    <n v="0.55074899998726301"/>
    <s v="None"/>
    <n v="2"/>
    <n v="16"/>
    <n v="56"/>
    <n v="0"/>
    <n v="83.008036700019105"/>
    <m/>
    <m/>
    <m/>
    <m/>
    <n v="83.000412200053603"/>
    <n v="83.008036700019105"/>
    <n v="83.508545200049397"/>
    <n v="83.508545200049397"/>
    <n v="83.508545200049397"/>
    <n v="84.061694700038004"/>
    <s v="r"/>
    <n v="1"/>
    <n v="0.550748999987263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hreat"/>
    <s v="I"/>
    <x v="1"/>
    <s v="emotional"/>
    <s v="blue"/>
    <s v="b"/>
    <n v="57"/>
    <n v="17"/>
    <n v="2"/>
    <s v="b"/>
    <n v="1"/>
    <n v="0.77268989995354698"/>
    <s v="None"/>
    <n v="2"/>
    <n v="17"/>
    <n v="57"/>
    <n v="5"/>
    <n v="84.074005500005995"/>
    <m/>
    <m/>
    <m/>
    <m/>
    <n v="84.064790800039106"/>
    <n v="84.074005500005995"/>
    <n v="84.574468600039793"/>
    <n v="84.574468600039793"/>
    <n v="84.574468600039793"/>
    <n v="85.361913800006704"/>
    <s v="b"/>
    <n v="1"/>
    <n v="0.772689899953546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nic"/>
    <s v="I"/>
    <x v="1"/>
    <s v="emotional"/>
    <s v="yellow"/>
    <s v="y"/>
    <n v="58"/>
    <n v="18"/>
    <n v="2"/>
    <s v="y"/>
    <n v="1"/>
    <n v="1.2532569000031799"/>
    <s v="None"/>
    <n v="2"/>
    <n v="18"/>
    <n v="58"/>
    <n v="3"/>
    <n v="85.374620000016805"/>
    <m/>
    <m/>
    <m/>
    <m/>
    <n v="85.364569800032697"/>
    <n v="85.374620000016805"/>
    <n v="85.874765500018796"/>
    <n v="85.874765500018796"/>
    <n v="85.874765500018796"/>
    <n v="87.144783900002906"/>
    <s v="y"/>
    <n v="1"/>
    <n v="1.25325690000317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adness"/>
    <s v="I"/>
    <x v="1"/>
    <s v="emotional"/>
    <s v="yellow"/>
    <s v="y"/>
    <n v="59"/>
    <n v="19"/>
    <n v="2"/>
    <s v="y"/>
    <n v="1"/>
    <n v="0.48359810002148101"/>
    <s v="None"/>
    <n v="2"/>
    <n v="19"/>
    <n v="59"/>
    <n v="7"/>
    <n v="87.157429800019599"/>
    <m/>
    <m/>
    <m/>
    <m/>
    <n v="87.147488300048195"/>
    <n v="87.157429800019599"/>
    <n v="87.657866000023205"/>
    <n v="87.657866000023205"/>
    <n v="87.657866000023205"/>
    <n v="88.145008400024295"/>
    <s v="y"/>
    <n v="1"/>
    <n v="0.483598100021481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ok"/>
    <s v="I"/>
    <x v="0"/>
    <s v="neutral"/>
    <s v="blue"/>
    <s v="b"/>
    <n v="60"/>
    <n v="0"/>
    <n v="3"/>
    <s v="b"/>
    <n v="1"/>
    <n v="0.86322549998294495"/>
    <s v="None"/>
    <n v="3"/>
    <n v="0"/>
    <n v="60"/>
    <n v="17"/>
    <n v="88.157857900019707"/>
    <m/>
    <m/>
    <m/>
    <m/>
    <n v="88.148088900023097"/>
    <n v="88.157857900019707"/>
    <n v="88.657862700056199"/>
    <n v="88.657862700056199"/>
    <n v="88.657862700056199"/>
    <n v="89.527871199999893"/>
    <s v="b"/>
    <n v="1"/>
    <n v="0.863225499982944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Road"/>
    <s v="I"/>
    <x v="0"/>
    <s v="neutral"/>
    <s v="green"/>
    <s v="g"/>
    <n v="61"/>
    <n v="1"/>
    <n v="3"/>
    <s v="r"/>
    <n v="0"/>
    <n v="0.60449090000474803"/>
    <s v="None"/>
    <n v="3"/>
    <n v="1"/>
    <n v="61"/>
    <n v="18"/>
    <n v="89.540728300053104"/>
    <m/>
    <m/>
    <m/>
    <m/>
    <n v="89.530756700027197"/>
    <n v="89.540728300053104"/>
    <n v="90.041312600020305"/>
    <n v="90.041312600020305"/>
    <n v="90.041312600020305"/>
    <n v="90.647578000032794"/>
    <s v="r"/>
    <n v="0"/>
    <n v="0.6044909000047480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nger"/>
    <s v="C"/>
    <x v="2"/>
    <s v="emotional"/>
    <s v="red"/>
    <s v="r"/>
    <n v="62"/>
    <n v="2"/>
    <n v="3"/>
    <s v="r"/>
    <n v="1"/>
    <n v="0.95112959999823898"/>
    <s v="None"/>
    <n v="3"/>
    <n v="2"/>
    <n v="62"/>
    <n v="8"/>
    <n v="90.674591500020995"/>
    <m/>
    <m/>
    <m/>
    <m/>
    <n v="90.651814500044495"/>
    <n v="90.674591500020995"/>
    <n v="91.157562400039694"/>
    <n v="91.157562400039694"/>
    <n v="91.157562400039694"/>
    <n v="92.111419400025596"/>
    <s v="r"/>
    <n v="1"/>
    <n v="0.951129599998238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per"/>
    <s v="I"/>
    <x v="0"/>
    <s v="neutral"/>
    <s v="yellow"/>
    <s v="y"/>
    <n v="63"/>
    <n v="3"/>
    <n v="3"/>
    <s v="y"/>
    <n v="1"/>
    <n v="0.825581799959763"/>
    <s v="None"/>
    <n v="3"/>
    <n v="3"/>
    <n v="63"/>
    <n v="15"/>
    <n v="92.124472100054803"/>
    <m/>
    <m/>
    <m/>
    <m/>
    <n v="92.115622200013604"/>
    <n v="92.124472100054803"/>
    <n v="92.624428300012298"/>
    <n v="92.624428300012298"/>
    <n v="92.624428300012298"/>
    <n v="93.461043100047306"/>
    <s v="y"/>
    <n v="1"/>
    <n v="0.82558179995976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adness"/>
    <s v="I"/>
    <x v="1"/>
    <s v="emotional"/>
    <s v="yellow"/>
    <s v="y"/>
    <n v="64"/>
    <n v="4"/>
    <n v="3"/>
    <s v="y"/>
    <n v="1"/>
    <n v="0.64167769998311996"/>
    <s v="None"/>
    <n v="3"/>
    <n v="4"/>
    <n v="64"/>
    <n v="7"/>
    <n v="93.474059300031499"/>
    <m/>
    <m/>
    <m/>
    <m/>
    <n v="93.464020700019304"/>
    <n v="93.474059300031499"/>
    <n v="93.974329200049397"/>
    <n v="93.974329200049397"/>
    <n v="93.974329200049397"/>
    <n v="94.630336700007305"/>
    <s v="y"/>
    <n v="1"/>
    <n v="0.6416776999831199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Garden"/>
    <s v="I"/>
    <x v="0"/>
    <s v="neutral"/>
    <s v="red"/>
    <s v="r"/>
    <n v="65"/>
    <n v="5"/>
    <n v="3"/>
    <s v="r"/>
    <n v="1"/>
    <n v="0.97379260003799495"/>
    <s v="None"/>
    <n v="3"/>
    <n v="5"/>
    <n v="65"/>
    <n v="16"/>
    <n v="94.640677000046693"/>
    <m/>
    <m/>
    <m/>
    <m/>
    <n v="94.633908900024807"/>
    <n v="94.640677000046693"/>
    <n v="95.141322500014198"/>
    <n v="95.141322500014198"/>
    <n v="95.141322500014198"/>
    <n v="96.1262858000118"/>
    <s v="r"/>
    <n v="1"/>
    <n v="0.973792600037994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buse"/>
    <s v="C"/>
    <x v="2"/>
    <s v="emotional"/>
    <s v="red"/>
    <s v="r"/>
    <n v="66"/>
    <n v="6"/>
    <n v="3"/>
    <s v="r"/>
    <n v="1"/>
    <n v="0.43732650001766099"/>
    <s v="None"/>
    <n v="3"/>
    <n v="6"/>
    <n v="66"/>
    <n v="4"/>
    <n v="96.139948600029996"/>
    <m/>
    <m/>
    <m/>
    <m/>
    <n v="96.1288408000255"/>
    <n v="96.139948600029996"/>
    <n v="96.639407000038702"/>
    <n v="96.639407000038702"/>
    <n v="96.639407000038702"/>
    <n v="97.077108600002205"/>
    <s v="r"/>
    <n v="1"/>
    <n v="0.437326500017660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Window"/>
    <s v="I"/>
    <x v="0"/>
    <s v="neutral"/>
    <s v="red"/>
    <s v="r"/>
    <n v="67"/>
    <n v="7"/>
    <n v="3"/>
    <s v="r"/>
    <n v="1"/>
    <n v="0.48822259996086298"/>
    <s v="None"/>
    <n v="3"/>
    <n v="7"/>
    <n v="67"/>
    <n v="12"/>
    <n v="97.090515100047895"/>
    <m/>
    <m/>
    <m/>
    <m/>
    <n v="97.079971700033596"/>
    <n v="97.090515100047895"/>
    <n v="97.589380500023196"/>
    <n v="97.589380500023196"/>
    <n v="97.589380500023196"/>
    <n v="98.094298900046795"/>
    <s v="r"/>
    <n v="1"/>
    <n v="0.488222599960862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nic"/>
    <s v="I"/>
    <x v="1"/>
    <s v="emotional"/>
    <s v="yellow"/>
    <s v="y"/>
    <n v="68"/>
    <n v="8"/>
    <n v="3"/>
    <s v="y"/>
    <n v="1"/>
    <n v="0.90782289998605803"/>
    <s v="None"/>
    <n v="3"/>
    <n v="8"/>
    <n v="68"/>
    <n v="3"/>
    <n v="98.107438200036995"/>
    <m/>
    <m/>
    <m/>
    <m/>
    <n v="98.0985862000379"/>
    <n v="98.107438200036995"/>
    <n v="98.607287700055096"/>
    <n v="98.607287700055096"/>
    <n v="98.607287700055096"/>
    <n v="99.526040700031402"/>
    <s v="y"/>
    <n v="1"/>
    <n v="0.9078228999860580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in"/>
    <s v="I"/>
    <x v="1"/>
    <s v="emotional"/>
    <s v="blue"/>
    <s v="b"/>
    <n v="69"/>
    <n v="9"/>
    <n v="3"/>
    <s v="b"/>
    <n v="1"/>
    <n v="0.57385469996370297"/>
    <s v="None"/>
    <n v="3"/>
    <n v="9"/>
    <n v="69"/>
    <n v="1"/>
    <n v="99.539469300012499"/>
    <m/>
    <m/>
    <m/>
    <m/>
    <n v="99.528577500022905"/>
    <n v="99.539469300012499"/>
    <n v="100.040983600018"/>
    <n v="100.040983600018"/>
    <n v="100.040983600018"/>
    <n v="100.62766140000799"/>
    <s v="b"/>
    <n v="1"/>
    <n v="0.573854699963702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tone"/>
    <s v="I"/>
    <x v="0"/>
    <s v="neutral"/>
    <s v="yellow"/>
    <s v="y"/>
    <n v="70"/>
    <n v="10"/>
    <n v="3"/>
    <s v="y"/>
    <n v="1"/>
    <n v="0.83155800000531599"/>
    <s v="None"/>
    <n v="3"/>
    <n v="10"/>
    <n v="70"/>
    <n v="19"/>
    <n v="100.640241900051"/>
    <m/>
    <m/>
    <m/>
    <m/>
    <n v="100.630938400048"/>
    <n v="100.640241900051"/>
    <n v="101.140194200037"/>
    <n v="101.140194200037"/>
    <n v="101.140194200037"/>
    <n v="101.978452400013"/>
    <s v="y"/>
    <n v="1"/>
    <n v="0.831558000005315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Chair"/>
    <s v="I"/>
    <x v="0"/>
    <s v="neutral"/>
    <s v="green"/>
    <s v="g"/>
    <n v="71"/>
    <n v="11"/>
    <n v="3"/>
    <s v="g"/>
    <n v="1"/>
    <n v="0.56933359999675304"/>
    <s v="None"/>
    <n v="3"/>
    <n v="11"/>
    <n v="71"/>
    <n v="10"/>
    <n v="101.99101770005601"/>
    <m/>
    <m/>
    <m/>
    <m/>
    <n v="101.982164500048"/>
    <n v="101.99101770005601"/>
    <n v="102.491562200011"/>
    <n v="102.491562200011"/>
    <n v="102.491562200011"/>
    <n v="103.07760850002499"/>
    <s v="g"/>
    <n v="1"/>
    <n v="0.56933359999675304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able"/>
    <s v="I"/>
    <x v="0"/>
    <s v="neutral"/>
    <s v="blue"/>
    <s v="b"/>
    <n v="72"/>
    <n v="12"/>
    <n v="3"/>
    <s v="b"/>
    <n v="1"/>
    <n v="2.4507550999987799"/>
    <s v="None"/>
    <n v="3"/>
    <n v="12"/>
    <n v="72"/>
    <n v="13"/>
    <n v="103.090367200027"/>
    <m/>
    <m/>
    <m/>
    <m/>
    <n v="103.08070590003599"/>
    <n v="103.090367200027"/>
    <n v="103.590353900042"/>
    <n v="103.590353900042"/>
    <n v="103.590353900042"/>
    <n v="106.04476290004"/>
    <s v="b"/>
    <n v="1"/>
    <n v="2.45075509999877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Injury"/>
    <s v="I"/>
    <x v="1"/>
    <s v="emotional"/>
    <s v="green"/>
    <s v="g"/>
    <n v="73"/>
    <n v="13"/>
    <n v="3"/>
    <s v="g"/>
    <n v="1"/>
    <n v="1.50234340003225"/>
    <s v="None"/>
    <n v="3"/>
    <n v="13"/>
    <n v="73"/>
    <n v="6"/>
    <n v="106.057020300009"/>
    <m/>
    <m/>
    <m/>
    <m/>
    <n v="106.047929899999"/>
    <n v="106.057020300009"/>
    <n v="106.55712740001"/>
    <n v="106.55712740001"/>
    <n v="106.55712740001"/>
    <n v="108.060883000027"/>
    <s v="g"/>
    <n v="1"/>
    <n v="1.5023434000322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hreat"/>
    <s v="I"/>
    <x v="1"/>
    <s v="emotional"/>
    <s v="blue"/>
    <s v="b"/>
    <n v="74"/>
    <n v="14"/>
    <n v="3"/>
    <s v="b"/>
    <n v="1"/>
    <n v="0.69701890001306299"/>
    <s v="None"/>
    <n v="3"/>
    <n v="14"/>
    <n v="74"/>
    <n v="5"/>
    <n v="108.073965000046"/>
    <m/>
    <m/>
    <m/>
    <m/>
    <n v="108.064086300029"/>
    <n v="108.073965000046"/>
    <n v="108.574090800015"/>
    <n v="108.574090800015"/>
    <n v="108.574090800015"/>
    <n v="109.276897200034"/>
    <s v="b"/>
    <n v="1"/>
    <n v="0.697018900013062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Death"/>
    <s v="I"/>
    <x v="1"/>
    <s v="emotional"/>
    <s v="green"/>
    <s v="g"/>
    <n v="75"/>
    <n v="15"/>
    <n v="3"/>
    <s v="g"/>
    <n v="1"/>
    <n v="0.75163169996812895"/>
    <s v="None"/>
    <n v="3"/>
    <n v="15"/>
    <n v="75"/>
    <n v="2"/>
    <n v="109.290666000044"/>
    <m/>
    <m/>
    <m/>
    <m/>
    <n v="109.279442200029"/>
    <n v="109.290666000044"/>
    <n v="109.790030500036"/>
    <n v="109.790030500036"/>
    <n v="109.790030500036"/>
    <n v="110.544533000036"/>
    <s v="g"/>
    <n v="1"/>
    <n v="0.751631699968128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ttle"/>
    <s v="I"/>
    <x v="0"/>
    <s v="neutral"/>
    <s v="yellow"/>
    <s v="y"/>
    <n v="76"/>
    <n v="16"/>
    <n v="3"/>
    <s v="y"/>
    <n v="1"/>
    <n v="0.73600010003428895"/>
    <s v="None"/>
    <n v="3"/>
    <n v="16"/>
    <n v="76"/>
    <n v="11"/>
    <n v="110.55794300005"/>
    <m/>
    <m/>
    <m/>
    <m/>
    <n v="110.548715900047"/>
    <n v="110.55794300005"/>
    <n v="111.057038200029"/>
    <n v="111.057038200029"/>
    <n v="111.057038200029"/>
    <n v="111.794718100049"/>
    <s v="y"/>
    <n v="1"/>
    <n v="0.736000100034288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Violence"/>
    <s v="I"/>
    <x v="1"/>
    <s v="emotional"/>
    <s v="blue"/>
    <s v="b"/>
    <n v="77"/>
    <n v="17"/>
    <n v="3"/>
    <s v="b"/>
    <n v="1"/>
    <n v="0.77165509999031201"/>
    <s v="None"/>
    <n v="3"/>
    <n v="17"/>
    <n v="77"/>
    <n v="9"/>
    <n v="111.807204500015"/>
    <m/>
    <m/>
    <m/>
    <m/>
    <n v="111.797493600053"/>
    <n v="111.807204500015"/>
    <n v="112.307225800002"/>
    <n v="112.307225800002"/>
    <n v="112.307225800002"/>
    <n v="113.09428710001499"/>
    <s v="b"/>
    <n v="1"/>
    <n v="0.771655099990312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Fear"/>
    <s v="C"/>
    <x v="2"/>
    <s v="emotional"/>
    <s v="red"/>
    <s v="r"/>
    <n v="78"/>
    <n v="18"/>
    <n v="3"/>
    <s v="r"/>
    <n v="1"/>
    <n v="1.300340900023"/>
    <s v="None"/>
    <n v="3"/>
    <n v="18"/>
    <n v="78"/>
    <n v="0"/>
    <n v="113.10668680001901"/>
    <m/>
    <m/>
    <m/>
    <m/>
    <n v="113.097329300013"/>
    <n v="113.10668680001901"/>
    <n v="113.606488400022"/>
    <n v="113.606488400022"/>
    <n v="113.606488400022"/>
    <n v="114.910807300009"/>
    <s v="r"/>
    <n v="1"/>
    <n v="1.30034090002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encil"/>
    <s v="I"/>
    <x v="0"/>
    <s v="neutral"/>
    <s v="green"/>
    <s v="g"/>
    <n v="79"/>
    <n v="19"/>
    <n v="3"/>
    <s v="y"/>
    <n v="0"/>
    <n v="0.80442830000538301"/>
    <s v="None"/>
    <n v="3"/>
    <n v="19"/>
    <n v="79"/>
    <n v="14"/>
    <n v="114.92305140005099"/>
    <m/>
    <m/>
    <m/>
    <m/>
    <n v="114.913675900024"/>
    <n v="114.92305140005099"/>
    <n v="115.422958100039"/>
    <n v="115.422958100039"/>
    <n v="115.422958100039"/>
    <n v="116.244312900002"/>
    <s v="y"/>
    <n v="0"/>
    <n v="0.804428300005383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Death"/>
    <s v="I"/>
    <x v="1"/>
    <s v="emotional"/>
    <s v="green"/>
    <s v="g"/>
    <n v="80"/>
    <n v="0"/>
    <n v="4"/>
    <s v="g"/>
    <n v="1"/>
    <n v="0.49648589995922499"/>
    <s v="None"/>
    <n v="4"/>
    <n v="0"/>
    <n v="80"/>
    <n v="2"/>
    <n v="116.256359900056"/>
    <m/>
    <m/>
    <m/>
    <m/>
    <n v="116.247784100007"/>
    <n v="116.256359900056"/>
    <n v="116.756459300057"/>
    <n v="116.756459300057"/>
    <n v="116.756459300057"/>
    <n v="117.260729800036"/>
    <s v="g"/>
    <n v="1"/>
    <n v="0.496485899959224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Fear"/>
    <s v="C"/>
    <x v="2"/>
    <s v="emotional"/>
    <s v="red"/>
    <s v="r"/>
    <n v="81"/>
    <n v="1"/>
    <n v="4"/>
    <s v="r"/>
    <n v="1"/>
    <n v="0.86749229999259103"/>
    <s v="None"/>
    <n v="4"/>
    <n v="1"/>
    <n v="81"/>
    <n v="0"/>
    <n v="117.27301660005401"/>
    <m/>
    <m/>
    <m/>
    <m/>
    <n v="117.263521400047"/>
    <n v="117.27301660005401"/>
    <n v="117.773467600054"/>
    <n v="117.773467600054"/>
    <n v="117.773467600054"/>
    <n v="118.644548400014"/>
    <s v="r"/>
    <n v="1"/>
    <n v="0.8674922999925910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Window"/>
    <s v="I"/>
    <x v="0"/>
    <s v="neutral"/>
    <s v="red"/>
    <s v="r"/>
    <n v="82"/>
    <n v="2"/>
    <n v="4"/>
    <s v="r"/>
    <n v="1"/>
    <n v="0.50864880002336499"/>
    <s v="None"/>
    <n v="4"/>
    <n v="2"/>
    <n v="82"/>
    <n v="12"/>
    <n v="118.656369900039"/>
    <m/>
    <m/>
    <m/>
    <m/>
    <n v="118.648218600021"/>
    <n v="118.656369900039"/>
    <n v="119.15624590002599"/>
    <n v="119.15624590002599"/>
    <n v="119.15624590002599"/>
    <n v="119.67650710005501"/>
    <s v="r"/>
    <n v="1"/>
    <n v="0.508648800023364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hreat"/>
    <s v="I"/>
    <x v="1"/>
    <s v="emotional"/>
    <s v="blue"/>
    <s v="b"/>
    <n v="83"/>
    <n v="3"/>
    <n v="4"/>
    <s v="b"/>
    <n v="1"/>
    <n v="0.90305409999564201"/>
    <s v="None"/>
    <n v="4"/>
    <n v="3"/>
    <n v="83"/>
    <n v="5"/>
    <n v="119.68972090003"/>
    <m/>
    <m/>
    <m/>
    <m/>
    <n v="119.679263200028"/>
    <n v="119.68972090003"/>
    <n v="120.189894600014"/>
    <n v="120.189894600014"/>
    <n v="120.189894600014"/>
    <n v="121.11086160002699"/>
    <s v="b"/>
    <n v="1"/>
    <n v="0.903054099995642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adness"/>
    <s v="I"/>
    <x v="1"/>
    <s v="emotional"/>
    <s v="yellow"/>
    <s v="y"/>
    <n v="84"/>
    <n v="4"/>
    <n v="4"/>
    <s v="y"/>
    <n v="1"/>
    <n v="0.81091459997696802"/>
    <s v="None"/>
    <n v="4"/>
    <n v="4"/>
    <n v="84"/>
    <n v="7"/>
    <n v="121.12266060005599"/>
    <m/>
    <m/>
    <m/>
    <m/>
    <n v="121.114720200013"/>
    <n v="121.12266060005599"/>
    <n v="121.623113300011"/>
    <n v="121.623113300011"/>
    <n v="121.623113300011"/>
    <n v="122.443285400047"/>
    <s v="y"/>
    <n v="1"/>
    <n v="0.81091459997696802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Chair"/>
    <s v="I"/>
    <x v="0"/>
    <s v="neutral"/>
    <s v="green"/>
    <s v="g"/>
    <n v="85"/>
    <n v="5"/>
    <n v="4"/>
    <s v="g"/>
    <n v="1"/>
    <n v="1.21671840001363"/>
    <s v="None"/>
    <n v="4"/>
    <n v="5"/>
    <n v="85"/>
    <n v="10"/>
    <n v="122.456576200027"/>
    <m/>
    <m/>
    <m/>
    <m/>
    <n v="122.44619300001"/>
    <n v="122.456576200027"/>
    <n v="122.956308200024"/>
    <n v="122.956308200024"/>
    <n v="122.956308200024"/>
    <n v="124.17651460005401"/>
    <s v="g"/>
    <n v="1"/>
    <n v="1.2167184000136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buse"/>
    <s v="C"/>
    <x v="2"/>
    <s v="emotional"/>
    <s v="red"/>
    <s v="r"/>
    <n v="86"/>
    <n v="6"/>
    <n v="4"/>
    <s v="r"/>
    <n v="1"/>
    <n v="0.58055340003920697"/>
    <s v="None"/>
    <n v="4"/>
    <n v="6"/>
    <n v="86"/>
    <n v="4"/>
    <n v="124.18981260003"/>
    <m/>
    <m/>
    <m/>
    <m/>
    <n v="124.179380500048"/>
    <n v="124.18981260003"/>
    <n v="124.68973840004701"/>
    <n v="124.68973840004701"/>
    <n v="124.68973840004701"/>
    <n v="125.276417700049"/>
    <s v="r"/>
    <n v="1"/>
    <n v="0.580553400039206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Road"/>
    <s v="I"/>
    <x v="0"/>
    <s v="neutral"/>
    <s v="green"/>
    <s v="g"/>
    <n v="87"/>
    <n v="7"/>
    <n v="4"/>
    <s v="g"/>
    <n v="1"/>
    <n v="0.76223300001583905"/>
    <s v="None"/>
    <n v="4"/>
    <n v="7"/>
    <n v="87"/>
    <n v="18"/>
    <n v="125.289239000005"/>
    <m/>
    <m/>
    <m/>
    <m/>
    <n v="125.279030600038"/>
    <n v="125.289239000005"/>
    <n v="125.790055400051"/>
    <n v="125.790055400051"/>
    <n v="125.790055400051"/>
    <n v="126.55973950005099"/>
    <s v="g"/>
    <n v="1"/>
    <n v="0.7622330000158390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ok"/>
    <s v="I"/>
    <x v="0"/>
    <s v="neutral"/>
    <s v="blue"/>
    <s v="b"/>
    <n v="88"/>
    <n v="8"/>
    <n v="4"/>
    <s v="b"/>
    <n v="1"/>
    <n v="0.65434110001660795"/>
    <s v="None"/>
    <n v="4"/>
    <n v="8"/>
    <n v="88"/>
    <n v="17"/>
    <n v="126.572864400048"/>
    <m/>
    <m/>
    <m/>
    <m/>
    <n v="126.562631000007"/>
    <n v="126.572864400048"/>
    <n v="127.072403100028"/>
    <n v="127.072403100028"/>
    <n v="127.072403100028"/>
    <n v="127.74456620001"/>
    <s v="b"/>
    <n v="1"/>
    <n v="0.654341100016607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in"/>
    <s v="I"/>
    <x v="1"/>
    <s v="emotional"/>
    <s v="blue"/>
    <s v="b"/>
    <n v="89"/>
    <n v="9"/>
    <n v="4"/>
    <s v="b"/>
    <n v="1"/>
    <n v="0.48499070003162997"/>
    <s v="None"/>
    <n v="4"/>
    <n v="9"/>
    <n v="89"/>
    <n v="1"/>
    <n v="127.756018400017"/>
    <m/>
    <m/>
    <m/>
    <m/>
    <n v="127.74882830004201"/>
    <n v="127.756018400017"/>
    <n v="128.25560120004201"/>
    <n v="128.25560120004201"/>
    <n v="128.25560120004201"/>
    <n v="128.74393320002099"/>
    <s v="b"/>
    <n v="1"/>
    <n v="0.484990700031629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Injury"/>
    <s v="I"/>
    <x v="1"/>
    <s v="emotional"/>
    <s v="green"/>
    <s v="g"/>
    <n v="90"/>
    <n v="10"/>
    <n v="4"/>
    <s v="g"/>
    <n v="1"/>
    <n v="0.75169119995553002"/>
    <s v="None"/>
    <n v="4"/>
    <n v="10"/>
    <n v="90"/>
    <n v="6"/>
    <n v="128.75620880001199"/>
    <m/>
    <m/>
    <m/>
    <m/>
    <n v="128.74704560002999"/>
    <n v="128.75620880001199"/>
    <n v="129.25634270004201"/>
    <n v="129.25634270004201"/>
    <n v="129.25634270004201"/>
    <n v="130.009922900004"/>
    <s v="g"/>
    <n v="1"/>
    <n v="0.75169119995553002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Violence"/>
    <s v="I"/>
    <x v="1"/>
    <s v="emotional"/>
    <s v="blue"/>
    <s v="b"/>
    <n v="91"/>
    <n v="11"/>
    <n v="4"/>
    <s v="b"/>
    <n v="1"/>
    <n v="0.78777059999993004"/>
    <s v="None"/>
    <n v="4"/>
    <n v="11"/>
    <n v="91"/>
    <n v="9"/>
    <n v="130.02297790005099"/>
    <m/>
    <m/>
    <m/>
    <m/>
    <n v="130.01278660003999"/>
    <n v="130.02297790005099"/>
    <n v="130.522669100028"/>
    <n v="130.522669100028"/>
    <n v="130.522669100028"/>
    <n v="131.32723850000099"/>
    <s v="b"/>
    <n v="1"/>
    <n v="0.78777059999993004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ttle"/>
    <s v="I"/>
    <x v="0"/>
    <s v="neutral"/>
    <s v="yellow"/>
    <s v="y"/>
    <n v="92"/>
    <n v="12"/>
    <n v="4"/>
    <s v="y"/>
    <n v="1"/>
    <n v="0.87392350001027796"/>
    <s v="None"/>
    <n v="4"/>
    <n v="12"/>
    <n v="92"/>
    <n v="11"/>
    <n v="131.33947760000501"/>
    <m/>
    <m/>
    <m/>
    <m/>
    <n v="131.33053190005"/>
    <n v="131.33947760000501"/>
    <n v="131.83862560003701"/>
    <n v="131.83862560003701"/>
    <n v="131.83862560003701"/>
    <n v="132.72655580000699"/>
    <s v="y"/>
    <n v="1"/>
    <n v="0.8739235000102779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Garden"/>
    <s v="I"/>
    <x v="0"/>
    <s v="neutral"/>
    <s v="red"/>
    <s v="r"/>
    <n v="93"/>
    <n v="13"/>
    <n v="4"/>
    <s v="r"/>
    <n v="1"/>
    <n v="0.66903950000414603"/>
    <s v="None"/>
    <n v="4"/>
    <n v="13"/>
    <n v="93"/>
    <n v="16"/>
    <n v="132.73900100000901"/>
    <m/>
    <m/>
    <m/>
    <m/>
    <n v="132.729339000012"/>
    <n v="132.73900100000901"/>
    <n v="133.23881480004599"/>
    <n v="133.23881480004599"/>
    <n v="133.23881480004599"/>
    <n v="133.91084630001501"/>
    <s v="r"/>
    <n v="1"/>
    <n v="0.6690395000041460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nger"/>
    <s v="C"/>
    <x v="2"/>
    <s v="emotional"/>
    <s v="red"/>
    <s v="r"/>
    <n v="94"/>
    <n v="14"/>
    <n v="4"/>
    <s v="r"/>
    <n v="1"/>
    <n v="0.89887959999032296"/>
    <s v="None"/>
    <n v="4"/>
    <n v="14"/>
    <n v="94"/>
    <n v="8"/>
    <n v="133.92305760004001"/>
    <m/>
    <m/>
    <m/>
    <m/>
    <n v="133.914361900009"/>
    <n v="133.92305760004001"/>
    <n v="134.42294860002499"/>
    <n v="134.42294860002499"/>
    <n v="134.42294860002499"/>
    <n v="135.32728690002099"/>
    <s v="r"/>
    <n v="1"/>
    <n v="0.8988795999903229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nic"/>
    <s v="I"/>
    <x v="1"/>
    <s v="emotional"/>
    <s v="yellow"/>
    <s v="y"/>
    <n v="95"/>
    <n v="15"/>
    <n v="4"/>
    <s v="y"/>
    <n v="1"/>
    <n v="1.2281358999898599"/>
    <s v="None"/>
    <n v="4"/>
    <n v="15"/>
    <n v="95"/>
    <n v="3"/>
    <n v="135.33882370003201"/>
    <m/>
    <m/>
    <m/>
    <m/>
    <n v="135.33038180001299"/>
    <n v="135.33882370003201"/>
    <n v="135.83905880001799"/>
    <n v="135.83905880001799"/>
    <n v="135.83905880001799"/>
    <n v="137.075802100007"/>
    <s v="y"/>
    <n v="1"/>
    <n v="1.22813589998985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per"/>
    <s v="I"/>
    <x v="0"/>
    <s v="neutral"/>
    <s v="yellow"/>
    <s v="y"/>
    <n v="96"/>
    <n v="16"/>
    <n v="4"/>
    <s v="y"/>
    <n v="1"/>
    <n v="0.48114250000799003"/>
    <s v="None"/>
    <n v="4"/>
    <n v="16"/>
    <n v="96"/>
    <n v="15"/>
    <n v="137.088552200002"/>
    <m/>
    <m/>
    <m/>
    <m/>
    <n v="137.07883900002301"/>
    <n v="137.088552200002"/>
    <n v="137.58941490005199"/>
    <n v="137.58941490005199"/>
    <n v="137.58941490005199"/>
    <n v="138.07636690000001"/>
    <s v="y"/>
    <n v="1"/>
    <n v="0.4811425000079900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able"/>
    <s v="I"/>
    <x v="0"/>
    <s v="neutral"/>
    <s v="blue"/>
    <s v="b"/>
    <n v="97"/>
    <n v="17"/>
    <n v="4"/>
    <s v="b"/>
    <n v="1"/>
    <n v="0.78444579994538799"/>
    <s v="None"/>
    <n v="4"/>
    <n v="17"/>
    <n v="97"/>
    <n v="13"/>
    <n v="138.08886900002801"/>
    <m/>
    <m/>
    <m/>
    <m/>
    <n v="138.079455099999"/>
    <n v="138.08886900002801"/>
    <n v="138.58864390000201"/>
    <n v="138.58864390000201"/>
    <n v="138.58864390000201"/>
    <n v="139.37578590004699"/>
    <s v="b"/>
    <n v="1"/>
    <n v="0.784445799945387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encil"/>
    <s v="I"/>
    <x v="0"/>
    <s v="neutral"/>
    <s v="green"/>
    <s v="g"/>
    <n v="98"/>
    <n v="18"/>
    <n v="4"/>
    <s v="g"/>
    <n v="1"/>
    <n v="0.79380789998685897"/>
    <s v="None"/>
    <n v="4"/>
    <n v="18"/>
    <n v="98"/>
    <n v="14"/>
    <n v="139.388921400008"/>
    <m/>
    <m/>
    <m/>
    <m/>
    <n v="139.379070000024"/>
    <n v="139.388921400008"/>
    <n v="139.89167660003201"/>
    <n v="139.89167660003201"/>
    <n v="139.89167660003201"/>
    <n v="140.69231050001599"/>
    <s v="g"/>
    <n v="1"/>
    <n v="0.793807899986858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tone"/>
    <s v="I"/>
    <x v="0"/>
    <s v="neutral"/>
    <s v="yellow"/>
    <s v="y"/>
    <n v="99"/>
    <n v="19"/>
    <n v="4"/>
    <s v="y"/>
    <n v="1"/>
    <n v="0.94320430001243905"/>
    <s v="None"/>
    <n v="4"/>
    <n v="19"/>
    <n v="99"/>
    <n v="19"/>
    <n v="140.705200900032"/>
    <m/>
    <m/>
    <m/>
    <m/>
    <n v="140.695047200017"/>
    <n v="140.705200900032"/>
    <n v="141.205282500013"/>
    <n v="141.205282500013"/>
    <n v="141.205282500013"/>
    <n v="142.15899830002999"/>
    <s v="y"/>
    <n v="1"/>
    <n v="0.9432043000124390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encil"/>
    <s v="I"/>
    <x v="0"/>
    <s v="neutral"/>
    <s v="green"/>
    <s v="g"/>
    <n v="100"/>
    <n v="0"/>
    <n v="5"/>
    <s v="g"/>
    <n v="1"/>
    <n v="0.88969849998829797"/>
    <s v="None"/>
    <n v="5"/>
    <n v="0"/>
    <n v="100"/>
    <n v="14"/>
    <n v="142.17197080003001"/>
    <m/>
    <m/>
    <m/>
    <m/>
    <n v="142.16296070005001"/>
    <n v="142.17197080003001"/>
    <n v="142.67221680004101"/>
    <n v="142.67221680004101"/>
    <n v="142.67221680004101"/>
    <n v="143.57560540002299"/>
    <s v="g"/>
    <n v="1"/>
    <n v="0.889698499988297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Road"/>
    <s v="I"/>
    <x v="0"/>
    <s v="neutral"/>
    <s v="green"/>
    <s v="g"/>
    <n v="101"/>
    <n v="1"/>
    <n v="5"/>
    <s v="g"/>
    <n v="1"/>
    <n v="0.50705780001589995"/>
    <s v="None"/>
    <n v="5"/>
    <n v="1"/>
    <n v="101"/>
    <n v="18"/>
    <n v="143.58880670001901"/>
    <m/>
    <m/>
    <m/>
    <m/>
    <n v="143.57865080004501"/>
    <n v="143.58880670001901"/>
    <n v="144.08876640000301"/>
    <n v="144.08876640000301"/>
    <n v="144.08876640000301"/>
    <n v="144.60998740000599"/>
    <s v="g"/>
    <n v="1"/>
    <n v="0.507057800015899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hreat"/>
    <s v="I"/>
    <x v="1"/>
    <s v="emotional"/>
    <s v="blue"/>
    <s v="b"/>
    <n v="102"/>
    <n v="2"/>
    <n v="5"/>
    <s v="b"/>
    <n v="1"/>
    <n v="0.67520800000056602"/>
    <s v="None"/>
    <n v="5"/>
    <n v="2"/>
    <n v="102"/>
    <n v="5"/>
    <n v="144.62199180002699"/>
    <m/>
    <m/>
    <m/>
    <m/>
    <n v="144.61363790003799"/>
    <n v="144.62199180002699"/>
    <n v="145.12230540002901"/>
    <n v="145.12230540002901"/>
    <n v="145.12230540002901"/>
    <n v="145.80960460001299"/>
    <s v="b"/>
    <n v="1"/>
    <n v="0.67520800000056602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Garden"/>
    <s v="I"/>
    <x v="0"/>
    <s v="neutral"/>
    <s v="red"/>
    <s v="r"/>
    <n v="103"/>
    <n v="3"/>
    <n v="5"/>
    <s v="r"/>
    <n v="1"/>
    <n v="0.71770509995985698"/>
    <s v="None"/>
    <n v="5"/>
    <n v="3"/>
    <n v="103"/>
    <n v="16"/>
    <n v="145.82197980000601"/>
    <m/>
    <m/>
    <m/>
    <m/>
    <n v="145.81267370004201"/>
    <n v="145.82197980000601"/>
    <n v="146.322674400056"/>
    <n v="146.322674400056"/>
    <n v="146.322674400056"/>
    <n v="147.04325540002901"/>
    <s v="r"/>
    <n v="1"/>
    <n v="0.717705099959856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ttle"/>
    <s v="I"/>
    <x v="0"/>
    <s v="neutral"/>
    <s v="yellow"/>
    <s v="y"/>
    <n v="104"/>
    <n v="4"/>
    <n v="5"/>
    <s v="y"/>
    <n v="1"/>
    <n v="0.92051480000372898"/>
    <s v="None"/>
    <n v="5"/>
    <n v="4"/>
    <n v="104"/>
    <n v="11"/>
    <n v="147.05539810005499"/>
    <m/>
    <m/>
    <m/>
    <m/>
    <n v="147.04602450004299"/>
    <n v="147.05539810005499"/>
    <n v="147.55497120000601"/>
    <n v="147.55497120000601"/>
    <n v="147.55497120000601"/>
    <n v="148.47652650001601"/>
    <s v="y"/>
    <n v="1"/>
    <n v="0.920514800003728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in"/>
    <s v="I"/>
    <x v="1"/>
    <s v="emotional"/>
    <s v="blue"/>
    <s v="b"/>
    <n v="105"/>
    <n v="5"/>
    <n v="5"/>
    <s v="b"/>
    <n v="1"/>
    <n v="1.1085071999695999"/>
    <s v="None"/>
    <n v="5"/>
    <n v="5"/>
    <n v="105"/>
    <n v="1"/>
    <n v="148.488755400001"/>
    <m/>
    <m/>
    <m/>
    <m/>
    <n v="148.47911730001201"/>
    <n v="148.488755400001"/>
    <n v="148.98837590002199"/>
    <n v="148.98837590002199"/>
    <n v="148.98837590002199"/>
    <n v="150.108746400044"/>
    <s v="b"/>
    <n v="1"/>
    <n v="1.10850719996959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per"/>
    <s v="I"/>
    <x v="0"/>
    <s v="neutral"/>
    <s v="yellow"/>
    <s v="y"/>
    <n v="106"/>
    <n v="6"/>
    <n v="5"/>
    <s v="y"/>
    <n v="1"/>
    <n v="1.08399229997303"/>
    <s v="None"/>
    <n v="5"/>
    <n v="6"/>
    <n v="106"/>
    <n v="15"/>
    <n v="150.121896399999"/>
    <m/>
    <m/>
    <m/>
    <m/>
    <n v="150.111442300025"/>
    <n v="150.121896399999"/>
    <n v="150.62190850003299"/>
    <n v="150.62190850003299"/>
    <n v="150.62190850003299"/>
    <n v="151.70971510000501"/>
    <s v="y"/>
    <n v="1"/>
    <n v="1.0839922999730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buse"/>
    <s v="C"/>
    <x v="2"/>
    <s v="emotional"/>
    <s v="red"/>
    <s v="r"/>
    <n v="107"/>
    <n v="7"/>
    <n v="5"/>
    <s v="r"/>
    <n v="1"/>
    <n v="0.70006210001883995"/>
    <s v="None"/>
    <n v="5"/>
    <n v="7"/>
    <n v="107"/>
    <n v="4"/>
    <n v="151.72146600001699"/>
    <m/>
    <m/>
    <m/>
    <m/>
    <n v="151.713228800043"/>
    <n v="151.72146600001699"/>
    <n v="152.22216370003201"/>
    <n v="152.22216370003201"/>
    <n v="152.22216370003201"/>
    <n v="152.92547760001599"/>
    <s v="r"/>
    <n v="1"/>
    <n v="0.700062100018839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nic"/>
    <s v="I"/>
    <x v="1"/>
    <s v="emotional"/>
    <s v="yellow"/>
    <s v="y"/>
    <n v="108"/>
    <n v="8"/>
    <n v="5"/>
    <s v="y"/>
    <n v="1"/>
    <n v="0.87709189997985904"/>
    <s v="None"/>
    <n v="5"/>
    <n v="8"/>
    <n v="108"/>
    <n v="3"/>
    <n v="152.938180600001"/>
    <m/>
    <m/>
    <m/>
    <m/>
    <n v="152.92814320005701"/>
    <n v="152.938180600001"/>
    <n v="153.43859300005701"/>
    <n v="153.43859300005701"/>
    <n v="153.43859300005701"/>
    <n v="154.325360200018"/>
    <s v="y"/>
    <n v="1"/>
    <n v="0.87709189997985904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Violence"/>
    <s v="I"/>
    <x v="1"/>
    <s v="emotional"/>
    <s v="blue"/>
    <s v="b"/>
    <n v="109"/>
    <n v="9"/>
    <n v="5"/>
    <s v="b"/>
    <n v="1"/>
    <n v="0.84245870000449896"/>
    <s v="None"/>
    <n v="5"/>
    <n v="9"/>
    <n v="109"/>
    <n v="9"/>
    <n v="154.33817290002401"/>
    <m/>
    <m/>
    <m/>
    <m/>
    <n v="154.32909260003299"/>
    <n v="154.33817290002401"/>
    <n v="154.8383455"/>
    <n v="154.8383455"/>
    <n v="154.8383455"/>
    <n v="155.691526400041"/>
    <s v="b"/>
    <n v="1"/>
    <n v="0.8424587000044989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Chair"/>
    <s v="I"/>
    <x v="0"/>
    <s v="neutral"/>
    <s v="green"/>
    <s v="g"/>
    <n v="110"/>
    <n v="10"/>
    <n v="5"/>
    <s v="g"/>
    <n v="1"/>
    <n v="0.72768060001544599"/>
    <s v="None"/>
    <n v="5"/>
    <n v="10"/>
    <n v="110"/>
    <n v="10"/>
    <n v="155.704882900055"/>
    <m/>
    <m/>
    <m/>
    <m/>
    <n v="155.694339700043"/>
    <n v="155.704882900055"/>
    <n v="156.20490190002599"/>
    <n v="156.20490190002599"/>
    <n v="156.20490190002599"/>
    <n v="156.94148670003"/>
    <s v="g"/>
    <n v="1"/>
    <n v="0.727680600015445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ok"/>
    <s v="I"/>
    <x v="0"/>
    <s v="neutral"/>
    <s v="blue"/>
    <s v="b"/>
    <n v="111"/>
    <n v="11"/>
    <n v="5"/>
    <s v="b"/>
    <n v="1"/>
    <n v="0.76039930002298195"/>
    <s v="None"/>
    <n v="5"/>
    <n v="11"/>
    <n v="111"/>
    <n v="17"/>
    <n v="156.95473330002201"/>
    <m/>
    <m/>
    <m/>
    <m/>
    <n v="156.945009000017"/>
    <n v="156.95473330002201"/>
    <n v="157.45489400002401"/>
    <n v="157.45489400002401"/>
    <n v="157.45489400002401"/>
    <n v="158.225017700053"/>
    <s v="b"/>
    <n v="1"/>
    <n v="0.760399300022981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adness"/>
    <s v="I"/>
    <x v="1"/>
    <s v="emotional"/>
    <s v="yellow"/>
    <s v="y"/>
    <n v="112"/>
    <n v="12"/>
    <n v="5"/>
    <s v="y"/>
    <n v="1"/>
    <n v="0.75049600005149797"/>
    <s v="None"/>
    <n v="5"/>
    <n v="12"/>
    <n v="112"/>
    <n v="7"/>
    <n v="158.238417000044"/>
    <m/>
    <m/>
    <m/>
    <m/>
    <n v="158.22785140003501"/>
    <n v="158.238417000044"/>
    <n v="158.73814660002199"/>
    <n v="158.73814660002199"/>
    <n v="158.73814660002199"/>
    <n v="159.49285780003899"/>
    <s v="y"/>
    <n v="1"/>
    <n v="0.750496000051497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tone"/>
    <s v="I"/>
    <x v="0"/>
    <s v="neutral"/>
    <s v="yellow"/>
    <s v="y"/>
    <n v="113"/>
    <n v="13"/>
    <n v="5"/>
    <s v="y"/>
    <n v="1"/>
    <n v="0.64106980001088198"/>
    <s v="None"/>
    <n v="5"/>
    <n v="13"/>
    <n v="113"/>
    <n v="19"/>
    <n v="159.5047472"/>
    <m/>
    <m/>
    <m/>
    <m/>
    <n v="159.495972600008"/>
    <n v="159.5047472"/>
    <n v="160.004677500051"/>
    <n v="160.004677500051"/>
    <n v="160.004677500051"/>
    <n v="160.65867460000999"/>
    <s v="y"/>
    <n v="1"/>
    <n v="0.641069800010881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Injury"/>
    <s v="I"/>
    <x v="1"/>
    <s v="emotional"/>
    <s v="green"/>
    <s v="g"/>
    <n v="114"/>
    <n v="14"/>
    <n v="5"/>
    <s v="g"/>
    <n v="1"/>
    <n v="0.78075699997134496"/>
    <s v="None"/>
    <n v="5"/>
    <n v="14"/>
    <n v="114"/>
    <n v="6"/>
    <n v="160.67120120004901"/>
    <m/>
    <m/>
    <m/>
    <m/>
    <n v="160.66231070004801"/>
    <n v="160.67120120004901"/>
    <n v="161.171216300048"/>
    <n v="161.171216300048"/>
    <n v="161.171216300048"/>
    <n v="161.95898960001"/>
    <s v="g"/>
    <n v="1"/>
    <n v="0.7807569999713449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able"/>
    <s v="I"/>
    <x v="0"/>
    <s v="neutral"/>
    <s v="blue"/>
    <s v="b"/>
    <n v="115"/>
    <n v="15"/>
    <n v="5"/>
    <s v="b"/>
    <n v="1"/>
    <n v="0.61075839999830295"/>
    <s v="None"/>
    <n v="5"/>
    <n v="15"/>
    <n v="115"/>
    <n v="13"/>
    <n v="161.971753400051"/>
    <m/>
    <m/>
    <m/>
    <m/>
    <n v="161.96254070004201"/>
    <n v="161.971753400051"/>
    <n v="162.47133860003601"/>
    <n v="162.47133860003601"/>
    <n v="162.47133860003601"/>
    <n v="163.09117580001401"/>
    <s v="b"/>
    <n v="1"/>
    <n v="0.610758399998302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nger"/>
    <s v="C"/>
    <x v="2"/>
    <s v="emotional"/>
    <s v="red"/>
    <s v="r"/>
    <n v="116"/>
    <n v="16"/>
    <n v="5"/>
    <s v="r"/>
    <n v="1"/>
    <n v="0.66439470002660495"/>
    <s v="None"/>
    <n v="5"/>
    <n v="16"/>
    <n v="116"/>
    <n v="8"/>
    <n v="163.10441780003001"/>
    <m/>
    <m/>
    <m/>
    <m/>
    <n v="163.094386400014"/>
    <n v="163.10441780003001"/>
    <n v="163.60450960003001"/>
    <n v="163.60450960003001"/>
    <n v="163.60450960003001"/>
    <n v="164.27467390004301"/>
    <s v="r"/>
    <n v="1"/>
    <n v="0.664394700026604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Fear"/>
    <s v="C"/>
    <x v="2"/>
    <s v="emotional"/>
    <s v="red"/>
    <s v="r"/>
    <n v="117"/>
    <n v="17"/>
    <n v="5"/>
    <s v="r"/>
    <n v="1"/>
    <n v="0.50935070001287297"/>
    <s v="None"/>
    <n v="5"/>
    <n v="17"/>
    <n v="117"/>
    <n v="0"/>
    <n v="164.28775310004099"/>
    <m/>
    <m/>
    <m/>
    <m/>
    <n v="164.27719780005199"/>
    <n v="164.28775310004099"/>
    <n v="164.78829510003499"/>
    <n v="164.78829510003499"/>
    <n v="164.78829510003499"/>
    <n v="165.30830020003401"/>
    <s v="r"/>
    <n v="1"/>
    <n v="0.509350700012872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Death"/>
    <s v="I"/>
    <x v="1"/>
    <s v="emotional"/>
    <s v="green"/>
    <s v="g"/>
    <n v="118"/>
    <n v="18"/>
    <n v="5"/>
    <s v="g"/>
    <n v="1"/>
    <n v="0.69650630000978697"/>
    <s v="None"/>
    <n v="5"/>
    <n v="18"/>
    <n v="118"/>
    <n v="2"/>
    <n v="165.32170170004201"/>
    <m/>
    <m/>
    <m/>
    <m/>
    <n v="165.31116450001699"/>
    <n v="165.32170170004201"/>
    <n v="165.822688600048"/>
    <n v="165.822688600048"/>
    <n v="165.822688600048"/>
    <n v="166.52584970003201"/>
    <s v="g"/>
    <n v="1"/>
    <n v="0.696506300009786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Window"/>
    <s v="I"/>
    <x v="0"/>
    <s v="neutral"/>
    <s v="red"/>
    <s v="r"/>
    <n v="119"/>
    <n v="19"/>
    <n v="5"/>
    <s v="r"/>
    <n v="1"/>
    <n v="0.76956739998422496"/>
    <s v="None"/>
    <n v="5"/>
    <n v="19"/>
    <n v="119"/>
    <n v="12"/>
    <n v="166.537917400011"/>
    <m/>
    <m/>
    <m/>
    <m/>
    <n v="166.52873950003399"/>
    <n v="166.537917400011"/>
    <n v="167.038161100004"/>
    <n v="167.038161100004"/>
    <n v="167.038161100004"/>
    <n v="167.808416200045"/>
    <s v="r"/>
    <n v="1"/>
    <n v="0.7695673999842249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Garden"/>
    <s v="I"/>
    <x v="0"/>
    <s v="neutral"/>
    <s v="red"/>
    <s v="r"/>
    <n v="120"/>
    <n v="0"/>
    <n v="6"/>
    <s v="r"/>
    <n v="1"/>
    <n v="0.46329659997718398"/>
    <s v="None"/>
    <n v="6"/>
    <n v="0"/>
    <n v="120"/>
    <n v="16"/>
    <n v="167.82132940000099"/>
    <m/>
    <m/>
    <m/>
    <m/>
    <n v="167.811090100032"/>
    <n v="167.82132940000099"/>
    <n v="168.32126290001901"/>
    <n v="168.32126290001901"/>
    <n v="168.32126290001901"/>
    <n v="168.79106300004"/>
    <s v="r"/>
    <n v="1"/>
    <n v="0.463296599977183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Injury"/>
    <s v="I"/>
    <x v="1"/>
    <s v="emotional"/>
    <s v="green"/>
    <s v="g"/>
    <n v="121"/>
    <n v="1"/>
    <n v="6"/>
    <s v="y"/>
    <n v="0"/>
    <n v="0.60239409998757698"/>
    <s v="None"/>
    <n v="6"/>
    <n v="1"/>
    <n v="121"/>
    <n v="6"/>
    <n v="168.80455740005701"/>
    <m/>
    <m/>
    <m/>
    <m/>
    <n v="168.793713600025"/>
    <n v="168.80455740005701"/>
    <n v="169.30411910003701"/>
    <n v="169.30411910003701"/>
    <n v="169.30411910003701"/>
    <n v="169.90789170004399"/>
    <s v="y"/>
    <n v="0"/>
    <n v="0.602394099987576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Death"/>
    <s v="I"/>
    <x v="1"/>
    <s v="emotional"/>
    <s v="green"/>
    <s v="g"/>
    <n v="122"/>
    <n v="2"/>
    <n v="6"/>
    <s v="y"/>
    <n v="0"/>
    <n v="0.50514439999824301"/>
    <s v="None"/>
    <n v="6"/>
    <n v="2"/>
    <n v="122"/>
    <n v="2"/>
    <n v="169.92130860005199"/>
    <m/>
    <m/>
    <m/>
    <m/>
    <n v="169.91049269999999"/>
    <n v="169.92130860005199"/>
    <n v="170.42089440004199"/>
    <n v="170.42089440004199"/>
    <n v="170.42089440004199"/>
    <n v="170.94243829999999"/>
    <s v="y"/>
    <n v="0"/>
    <n v="0.505144399998243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adness"/>
    <s v="I"/>
    <x v="1"/>
    <s v="emotional"/>
    <s v="yellow"/>
    <s v="y"/>
    <n v="123"/>
    <n v="3"/>
    <n v="6"/>
    <s v="y"/>
    <n v="1"/>
    <n v="1.0788416999857799"/>
    <s v="None"/>
    <n v="6"/>
    <n v="3"/>
    <n v="123"/>
    <n v="7"/>
    <n v="170.95418900000999"/>
    <m/>
    <m/>
    <m/>
    <m/>
    <n v="170.946355400024"/>
    <n v="170.95418900000999"/>
    <n v="171.45473890000699"/>
    <n v="171.45473890000699"/>
    <n v="171.45473890000699"/>
    <n v="172.54106640000799"/>
    <s v="y"/>
    <n v="1"/>
    <n v="1.07884169998577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buse"/>
    <s v="C"/>
    <x v="2"/>
    <s v="emotional"/>
    <s v="red"/>
    <s v="r"/>
    <n v="124"/>
    <n v="4"/>
    <n v="6"/>
    <s v="r"/>
    <n v="1"/>
    <n v="0.68130360002396595"/>
    <s v="None"/>
    <n v="6"/>
    <n v="4"/>
    <n v="124"/>
    <n v="4"/>
    <n v="172.553980000026"/>
    <m/>
    <m/>
    <m/>
    <m/>
    <n v="172.543705100019"/>
    <n v="172.553980000026"/>
    <n v="173.05412560002799"/>
    <n v="173.05412560002799"/>
    <n v="173.05412560002799"/>
    <n v="173.74084290000599"/>
    <s v="r"/>
    <n v="1"/>
    <n v="0.681303600023965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Fear"/>
    <s v="C"/>
    <x v="2"/>
    <s v="emotional"/>
    <s v="red"/>
    <s v="r"/>
    <n v="125"/>
    <n v="5"/>
    <n v="6"/>
    <s v="r"/>
    <n v="1"/>
    <n v="0.82972819998394698"/>
    <s v="None"/>
    <n v="6"/>
    <n v="5"/>
    <n v="125"/>
    <n v="0"/>
    <n v="173.754229600017"/>
    <m/>
    <m/>
    <m/>
    <m/>
    <n v="173.74324440001499"/>
    <n v="173.754229600017"/>
    <n v="174.254403600003"/>
    <n v="174.254403600003"/>
    <n v="174.254403600003"/>
    <n v="175.091267500014"/>
    <s v="r"/>
    <n v="1"/>
    <n v="0.829728199983946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tone"/>
    <s v="I"/>
    <x v="0"/>
    <s v="neutral"/>
    <s v="yellow"/>
    <s v="y"/>
    <n v="126"/>
    <n v="6"/>
    <n v="6"/>
    <s v="y"/>
    <n v="1"/>
    <n v="0.54726089996984195"/>
    <s v="None"/>
    <n v="6"/>
    <n v="6"/>
    <n v="126"/>
    <n v="19"/>
    <n v="175.10402670002"/>
    <m/>
    <m/>
    <m/>
    <m/>
    <n v="175.09391310001899"/>
    <n v="175.10402670002"/>
    <n v="175.603946800052"/>
    <n v="175.603946800052"/>
    <n v="175.603946800052"/>
    <n v="176.15877580002399"/>
    <s v="y"/>
    <n v="1"/>
    <n v="0.547260899969841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Road"/>
    <s v="I"/>
    <x v="0"/>
    <s v="neutral"/>
    <s v="green"/>
    <s v="g"/>
    <n v="127"/>
    <n v="7"/>
    <n v="6"/>
    <s v="g"/>
    <n v="1"/>
    <n v="0.49251139996340498"/>
    <s v="None"/>
    <n v="6"/>
    <n v="7"/>
    <n v="127"/>
    <n v="18"/>
    <n v="176.17045510001401"/>
    <m/>
    <m/>
    <m/>
    <m/>
    <n v="176.16177150001701"/>
    <n v="176.17045510001401"/>
    <n v="176.67062690004201"/>
    <n v="176.67062690004201"/>
    <n v="176.67062690004201"/>
    <n v="177.17429750005201"/>
    <s v="g"/>
    <n v="1"/>
    <n v="0.492511399963404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in"/>
    <s v="I"/>
    <x v="1"/>
    <s v="emotional"/>
    <s v="blue"/>
    <s v="b"/>
    <n v="128"/>
    <n v="8"/>
    <n v="6"/>
    <s v="b"/>
    <n v="1"/>
    <n v="0.54339750000508502"/>
    <s v="None"/>
    <n v="6"/>
    <n v="8"/>
    <n v="128"/>
    <n v="1"/>
    <n v="177.187221700034"/>
    <m/>
    <m/>
    <m/>
    <m/>
    <n v="177.176731600018"/>
    <n v="177.187221700034"/>
    <n v="177.687007700034"/>
    <n v="177.687007700034"/>
    <n v="177.687007700034"/>
    <n v="178.240613800007"/>
    <s v="b"/>
    <n v="1"/>
    <n v="0.54339750000508502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nger"/>
    <s v="C"/>
    <x v="2"/>
    <s v="emotional"/>
    <s v="red"/>
    <s v="r"/>
    <n v="129"/>
    <n v="9"/>
    <n v="6"/>
    <s v="r"/>
    <n v="1"/>
    <n v="0.67262590001337197"/>
    <s v="None"/>
    <n v="6"/>
    <n v="9"/>
    <n v="129"/>
    <n v="8"/>
    <n v="178.254276900028"/>
    <m/>
    <m/>
    <m/>
    <m/>
    <n v="178.243689600029"/>
    <n v="178.254276900028"/>
    <n v="178.75358160003"/>
    <n v="178.75358160003"/>
    <n v="178.75358160003"/>
    <n v="179.442752600007"/>
    <s v="r"/>
    <n v="1"/>
    <n v="0.672625900013371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nic"/>
    <s v="I"/>
    <x v="1"/>
    <s v="emotional"/>
    <s v="yellow"/>
    <s v="y"/>
    <n v="130"/>
    <n v="10"/>
    <n v="6"/>
    <s v="y"/>
    <n v="1"/>
    <n v="0.86609859997406602"/>
    <s v="None"/>
    <n v="6"/>
    <n v="10"/>
    <n v="130"/>
    <n v="3"/>
    <n v="179.45405930001201"/>
    <m/>
    <m/>
    <m/>
    <m/>
    <n v="179.44588280003501"/>
    <n v="179.45405930001201"/>
    <n v="179.95383660000499"/>
    <n v="179.95383660000499"/>
    <n v="179.95383660000499"/>
    <n v="180.82419670000601"/>
    <s v="y"/>
    <n v="1"/>
    <n v="0.86609859997406602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ttle"/>
    <s v="I"/>
    <x v="0"/>
    <s v="neutral"/>
    <s v="yellow"/>
    <s v="y"/>
    <n v="131"/>
    <n v="11"/>
    <n v="6"/>
    <s v="y"/>
    <n v="1"/>
    <n v="0.50555480003822595"/>
    <s v="None"/>
    <n v="6"/>
    <n v="11"/>
    <n v="131"/>
    <n v="11"/>
    <n v="180.83706000004801"/>
    <m/>
    <m/>
    <m/>
    <m/>
    <n v="180.827089300029"/>
    <n v="180.83706000004801"/>
    <n v="181.33715550001901"/>
    <n v="181.33715550001901"/>
    <n v="181.33715550001901"/>
    <n v="181.85789330000901"/>
    <s v="y"/>
    <n v="1"/>
    <n v="0.505554800038225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Violence"/>
    <s v="I"/>
    <x v="1"/>
    <s v="emotional"/>
    <s v="blue"/>
    <s v="b"/>
    <n v="132"/>
    <n v="12"/>
    <n v="6"/>
    <s v="b"/>
    <n v="1"/>
    <n v="0.58312680001836203"/>
    <s v="None"/>
    <n v="6"/>
    <n v="12"/>
    <n v="132"/>
    <n v="9"/>
    <n v="181.87041350000001"/>
    <m/>
    <m/>
    <m/>
    <m/>
    <n v="181.860652900009"/>
    <n v="181.87041350000001"/>
    <n v="182.370549200044"/>
    <n v="182.370549200044"/>
    <n v="182.370549200044"/>
    <n v="182.957246900012"/>
    <s v="b"/>
    <n v="1"/>
    <n v="0.5831268000183620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hreat"/>
    <s v="I"/>
    <x v="1"/>
    <s v="emotional"/>
    <s v="blue"/>
    <s v="b"/>
    <n v="133"/>
    <n v="13"/>
    <n v="6"/>
    <s v="b"/>
    <n v="1"/>
    <n v="0.55244759999914095"/>
    <s v="None"/>
    <n v="6"/>
    <n v="13"/>
    <n v="133"/>
    <n v="5"/>
    <n v="182.97031830000901"/>
    <m/>
    <m/>
    <m/>
    <m/>
    <n v="182.96001880004701"/>
    <n v="182.97031830000901"/>
    <n v="183.47012540005301"/>
    <n v="183.47012540005301"/>
    <n v="183.47012540005301"/>
    <n v="184.024327600025"/>
    <s v="b"/>
    <n v="1"/>
    <n v="0.552447599999140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Chair"/>
    <s v="I"/>
    <x v="0"/>
    <s v="neutral"/>
    <s v="green"/>
    <s v="g"/>
    <n v="134"/>
    <n v="14"/>
    <n v="6"/>
    <s v="g"/>
    <n v="1"/>
    <n v="0.454715200001373"/>
    <s v="None"/>
    <n v="6"/>
    <n v="14"/>
    <n v="134"/>
    <n v="10"/>
    <n v="184.037433000048"/>
    <m/>
    <m/>
    <m/>
    <m/>
    <n v="184.027223500015"/>
    <n v="184.037433000048"/>
    <n v="184.53686220000901"/>
    <n v="184.53686220000901"/>
    <n v="184.53686220000901"/>
    <n v="185.008075600024"/>
    <s v="g"/>
    <n v="1"/>
    <n v="0.45471520000137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able"/>
    <s v="I"/>
    <x v="0"/>
    <s v="neutral"/>
    <s v="blue"/>
    <s v="b"/>
    <n v="135"/>
    <n v="15"/>
    <n v="6"/>
    <s v="b"/>
    <n v="1"/>
    <n v="0.52072259999113102"/>
    <s v="None"/>
    <n v="6"/>
    <n v="15"/>
    <n v="135"/>
    <n v="13"/>
    <n v="185.02036750002199"/>
    <m/>
    <m/>
    <m/>
    <m/>
    <n v="185.01209930004501"/>
    <n v="185.02036750002199"/>
    <n v="185.52085310005299"/>
    <n v="185.52085310005299"/>
    <n v="185.52085310005299"/>
    <n v="186.057818400033"/>
    <s v="b"/>
    <n v="1"/>
    <n v="0.52072259999113102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ok"/>
    <s v="I"/>
    <x v="0"/>
    <s v="neutral"/>
    <s v="blue"/>
    <s v="b"/>
    <n v="136"/>
    <n v="16"/>
    <n v="6"/>
    <s v="b"/>
    <n v="1"/>
    <n v="0.64283880003495097"/>
    <s v="None"/>
    <n v="6"/>
    <n v="16"/>
    <n v="136"/>
    <n v="17"/>
    <n v="186.070177300018"/>
    <m/>
    <m/>
    <m/>
    <m/>
    <n v="186.060688700003"/>
    <n v="186.070177300018"/>
    <n v="186.56998379999999"/>
    <n v="186.56998379999999"/>
    <n v="186.56998379999999"/>
    <n v="187.223395700042"/>
    <s v="b"/>
    <n v="1"/>
    <n v="0.642838800034950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encil"/>
    <s v="I"/>
    <x v="0"/>
    <s v="neutral"/>
    <s v="green"/>
    <s v="g"/>
    <n v="137"/>
    <n v="17"/>
    <n v="6"/>
    <s v="g"/>
    <n v="1"/>
    <n v="0.507485900016035"/>
    <s v="None"/>
    <n v="6"/>
    <n v="17"/>
    <n v="137"/>
    <n v="14"/>
    <n v="187.23685530002601"/>
    <m/>
    <m/>
    <m/>
    <m/>
    <n v="187.226492000045"/>
    <n v="187.23685530002601"/>
    <n v="187.73657720000401"/>
    <n v="187.73657720000401"/>
    <n v="187.73657720000401"/>
    <n v="188.25719250005201"/>
    <s v="g"/>
    <n v="1"/>
    <n v="0.50748590001603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Window"/>
    <s v="I"/>
    <x v="0"/>
    <s v="neutral"/>
    <s v="red"/>
    <s v="r"/>
    <n v="138"/>
    <n v="18"/>
    <n v="6"/>
    <s v="r"/>
    <n v="1"/>
    <n v="0.51432749995728899"/>
    <s v="None"/>
    <n v="6"/>
    <n v="18"/>
    <n v="138"/>
    <n v="12"/>
    <n v="188.27002850000201"/>
    <m/>
    <m/>
    <m/>
    <m/>
    <n v="188.26070010004301"/>
    <n v="188.27002850000201"/>
    <n v="188.77052030002201"/>
    <n v="188.77052030002201"/>
    <n v="188.77052030002201"/>
    <n v="189.291612600034"/>
    <s v="r"/>
    <n v="1"/>
    <n v="0.514327499957288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per"/>
    <s v="I"/>
    <x v="0"/>
    <s v="neutral"/>
    <s v="yellow"/>
    <s v="y"/>
    <n v="139"/>
    <n v="19"/>
    <n v="6"/>
    <s v="y"/>
    <n v="1"/>
    <n v="0.73429559997748495"/>
    <s v="None"/>
    <n v="6"/>
    <n v="19"/>
    <n v="139"/>
    <n v="15"/>
    <n v="189.30338610004401"/>
    <m/>
    <m/>
    <m/>
    <m/>
    <n v="189.29547940002499"/>
    <n v="189.30338610004401"/>
    <n v="189.803281300002"/>
    <n v="189.803281300002"/>
    <n v="189.803281300002"/>
    <n v="190.54045340005499"/>
    <s v="y"/>
    <n v="1"/>
    <n v="0.734295599977484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buse"/>
    <s v="C"/>
    <x v="2"/>
    <s v="emotional"/>
    <s v="red"/>
    <s v="r"/>
    <n v="140"/>
    <n v="0"/>
    <n v="7"/>
    <s v="r"/>
    <n v="1"/>
    <n v="0.54356449999613599"/>
    <s v="None"/>
    <n v="7"/>
    <n v="0"/>
    <n v="140"/>
    <n v="4"/>
    <n v="190.55361510004099"/>
    <m/>
    <m/>
    <m/>
    <m/>
    <n v="190.54356610000801"/>
    <n v="190.55361510004099"/>
    <n v="191.05347100005"/>
    <n v="191.05347100005"/>
    <n v="191.05347100005"/>
    <n v="191.60703160002501"/>
    <s v="r"/>
    <n v="1"/>
    <n v="0.543564499996135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Road"/>
    <s v="I"/>
    <x v="0"/>
    <s v="neutral"/>
    <s v="green"/>
    <s v="g"/>
    <n v="141"/>
    <n v="1"/>
    <n v="7"/>
    <s v="g"/>
    <n v="1"/>
    <n v="0.74851320002926502"/>
    <s v="None"/>
    <n v="7"/>
    <n v="1"/>
    <n v="141"/>
    <n v="18"/>
    <n v="191.62016290001301"/>
    <m/>
    <m/>
    <m/>
    <m/>
    <n v="191.61003140004999"/>
    <n v="191.62016290001301"/>
    <n v="192.12030010001001"/>
    <n v="192.12030010001001"/>
    <n v="192.12030010001001"/>
    <n v="192.87413540005201"/>
    <s v="g"/>
    <n v="1"/>
    <n v="0.74851320002926502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hreat"/>
    <s v="I"/>
    <x v="1"/>
    <s v="emotional"/>
    <s v="blue"/>
    <s v="b"/>
    <n v="142"/>
    <n v="2"/>
    <n v="7"/>
    <s v="b"/>
    <n v="1"/>
    <n v="0.71202279999852103"/>
    <s v="None"/>
    <n v="7"/>
    <n v="2"/>
    <n v="142"/>
    <n v="5"/>
    <n v="192.886449400044"/>
    <m/>
    <m/>
    <m/>
    <m/>
    <n v="192.87679560005199"/>
    <n v="192.886449400044"/>
    <n v="193.387057400017"/>
    <n v="193.387057400017"/>
    <n v="193.387057400017"/>
    <n v="194.10707720002301"/>
    <s v="b"/>
    <n v="1"/>
    <n v="0.7120227999985210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Garden"/>
    <s v="I"/>
    <x v="0"/>
    <s v="neutral"/>
    <s v="red"/>
    <s v="r"/>
    <n v="143"/>
    <n v="3"/>
    <n v="7"/>
    <s v="r"/>
    <n v="1"/>
    <n v="0.56940849998500198"/>
    <s v="None"/>
    <n v="7"/>
    <n v="3"/>
    <n v="143"/>
    <n v="16"/>
    <n v="194.12017730000599"/>
    <m/>
    <m/>
    <m/>
    <m/>
    <n v="194.11026700004001"/>
    <n v="194.12017730000599"/>
    <n v="194.619965800025"/>
    <n v="194.619965800025"/>
    <n v="194.619965800025"/>
    <n v="195.191090400039"/>
    <s v="r"/>
    <n v="1"/>
    <n v="0.569408499985001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ttle"/>
    <s v="I"/>
    <x v="0"/>
    <s v="neutral"/>
    <s v="yellow"/>
    <s v="y"/>
    <n v="144"/>
    <n v="4"/>
    <n v="7"/>
    <s v="y"/>
    <n v="1"/>
    <n v="0.80841920000966605"/>
    <s v="None"/>
    <n v="7"/>
    <n v="4"/>
    <n v="144"/>
    <n v="11"/>
    <n v="195.205326700001"/>
    <m/>
    <m/>
    <m/>
    <m/>
    <n v="195.19417570001599"/>
    <n v="195.205326700001"/>
    <n v="195.70297490002099"/>
    <n v="195.70297490002099"/>
    <n v="195.70297490002099"/>
    <n v="196.52480400004401"/>
    <s v="y"/>
    <n v="1"/>
    <n v="0.8084192000096660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in"/>
    <s v="I"/>
    <x v="1"/>
    <s v="emotional"/>
    <s v="blue"/>
    <s v="b"/>
    <n v="145"/>
    <n v="5"/>
    <n v="7"/>
    <s v="b"/>
    <n v="1"/>
    <n v="0.96795240003848404"/>
    <s v="None"/>
    <n v="7"/>
    <n v="5"/>
    <n v="145"/>
    <n v="1"/>
    <n v="196.53707590000701"/>
    <m/>
    <m/>
    <m/>
    <m/>
    <n v="196.527511200052"/>
    <n v="196.53707590000701"/>
    <n v="197.03668070002399"/>
    <n v="197.03668070002399"/>
    <n v="197.03668070002399"/>
    <n v="198.00734250003001"/>
    <s v="b"/>
    <n v="1"/>
    <n v="0.96795240003848404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Violence"/>
    <s v="I"/>
    <x v="1"/>
    <s v="emotional"/>
    <s v="blue"/>
    <s v="b"/>
    <n v="146"/>
    <n v="6"/>
    <n v="7"/>
    <s v="b"/>
    <n v="1"/>
    <n v="0.62559200002578996"/>
    <s v="None"/>
    <n v="7"/>
    <n v="6"/>
    <n v="146"/>
    <n v="9"/>
    <n v="198.019633200019"/>
    <m/>
    <m/>
    <m/>
    <m/>
    <n v="198.010696200013"/>
    <n v="198.019633200019"/>
    <n v="198.51997320004699"/>
    <n v="198.51997320004699"/>
    <n v="198.51997320004699"/>
    <n v="199.15683620003901"/>
    <s v="b"/>
    <n v="1"/>
    <n v="0.6255920000257899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tone"/>
    <s v="I"/>
    <x v="0"/>
    <s v="neutral"/>
    <s v="yellow"/>
    <s v="y"/>
    <n v="147"/>
    <n v="7"/>
    <n v="7"/>
    <s v="y"/>
    <n v="1"/>
    <n v="1.0002228000084801"/>
    <s v="None"/>
    <n v="7"/>
    <n v="7"/>
    <n v="147"/>
    <n v="19"/>
    <n v="199.16938070004099"/>
    <m/>
    <m/>
    <m/>
    <m/>
    <n v="199.16020160005399"/>
    <n v="199.16938070004099"/>
    <n v="199.66889830003399"/>
    <n v="199.66889830003399"/>
    <n v="199.66889830003399"/>
    <n v="200.674260600004"/>
    <s v="y"/>
    <n v="1"/>
    <n v="1.00022280000848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Injury"/>
    <s v="I"/>
    <x v="1"/>
    <s v="emotional"/>
    <s v="green"/>
    <s v="g"/>
    <n v="148"/>
    <n v="8"/>
    <n v="7"/>
    <s v="g"/>
    <n v="1"/>
    <n v="0.77209490002132897"/>
    <s v="None"/>
    <n v="7"/>
    <n v="8"/>
    <n v="148"/>
    <n v="6"/>
    <n v="200.686044800037"/>
    <m/>
    <m/>
    <m/>
    <m/>
    <n v="200.67760100000299"/>
    <n v="200.686044800037"/>
    <n v="201.18614890001399"/>
    <n v="201.18614890001399"/>
    <n v="201.18614890001399"/>
    <n v="201.959412000025"/>
    <s v="g"/>
    <n v="1"/>
    <n v="0.772094900021328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Chair"/>
    <s v="I"/>
    <x v="0"/>
    <s v="neutral"/>
    <s v="green"/>
    <s v="g"/>
    <n v="149"/>
    <n v="9"/>
    <n v="7"/>
    <s v="g"/>
    <n v="1"/>
    <n v="0.47586870001396098"/>
    <s v="None"/>
    <n v="7"/>
    <n v="9"/>
    <n v="149"/>
    <n v="10"/>
    <n v="201.97126270004"/>
    <m/>
    <m/>
    <m/>
    <m/>
    <n v="201.96305370004799"/>
    <n v="201.97126270004"/>
    <n v="202.46987610001801"/>
    <n v="202.46987610001801"/>
    <n v="202.46987610001801"/>
    <n v="202.95750470005399"/>
    <s v="g"/>
    <n v="1"/>
    <n v="0.475868700013960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nger"/>
    <s v="C"/>
    <x v="2"/>
    <s v="emotional"/>
    <s v="red"/>
    <s v="r"/>
    <n v="150"/>
    <n v="10"/>
    <n v="7"/>
    <s v="r"/>
    <n v="1"/>
    <n v="0.53532889997586597"/>
    <s v="None"/>
    <n v="7"/>
    <n v="10"/>
    <n v="150"/>
    <n v="8"/>
    <n v="202.969067500031"/>
    <m/>
    <m/>
    <m/>
    <m/>
    <n v="202.961794400005"/>
    <n v="202.969067500031"/>
    <n v="203.46953570004499"/>
    <n v="203.46953570004499"/>
    <n v="203.46953570004499"/>
    <n v="204.006916900048"/>
    <s v="r"/>
    <n v="1"/>
    <n v="0.535328899975865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ok"/>
    <s v="I"/>
    <x v="0"/>
    <s v="neutral"/>
    <s v="blue"/>
    <s v="b"/>
    <n v="151"/>
    <n v="11"/>
    <n v="7"/>
    <s v="b"/>
    <n v="1"/>
    <n v="0.55092220002552394"/>
    <s v="None"/>
    <n v="7"/>
    <n v="11"/>
    <n v="151"/>
    <n v="17"/>
    <n v="204.01945610000899"/>
    <m/>
    <m/>
    <m/>
    <m/>
    <n v="204.009748600015"/>
    <n v="204.01945610000899"/>
    <n v="204.51939760003"/>
    <n v="204.51939760003"/>
    <n v="204.51939760003"/>
    <n v="205.073800000012"/>
    <s v="b"/>
    <n v="1"/>
    <n v="0.55092220002552394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encil"/>
    <s v="I"/>
    <x v="0"/>
    <s v="neutral"/>
    <s v="green"/>
    <s v="g"/>
    <n v="152"/>
    <n v="12"/>
    <n v="7"/>
    <s v="g"/>
    <n v="1"/>
    <n v="1.2138418999966201"/>
    <s v="None"/>
    <n v="7"/>
    <n v="12"/>
    <n v="152"/>
    <n v="14"/>
    <n v="205.08621290000099"/>
    <m/>
    <m/>
    <m/>
    <m/>
    <n v="205.07692930003299"/>
    <n v="205.08621290000099"/>
    <n v="205.586412000004"/>
    <n v="205.586412000004"/>
    <n v="205.586412000004"/>
    <n v="206.80655630002701"/>
    <s v="g"/>
    <n v="1"/>
    <n v="1.21384189999662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nic"/>
    <s v="I"/>
    <x v="1"/>
    <s v="emotional"/>
    <s v="yellow"/>
    <s v="y"/>
    <n v="153"/>
    <n v="13"/>
    <n v="7"/>
    <s v="y"/>
    <n v="1"/>
    <n v="0.75810340000316501"/>
    <s v="None"/>
    <n v="7"/>
    <n v="13"/>
    <n v="153"/>
    <n v="3"/>
    <n v="206.81958390003999"/>
    <m/>
    <m/>
    <m/>
    <m/>
    <n v="206.80935190001"/>
    <n v="206.81958390003999"/>
    <n v="207.31981100002301"/>
    <n v="207.31981100002301"/>
    <n v="207.31981100002301"/>
    <n v="208.08921230002301"/>
    <s v="y"/>
    <n v="1"/>
    <n v="0.758103400003165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Fear"/>
    <s v="C"/>
    <x v="2"/>
    <s v="emotional"/>
    <s v="red"/>
    <s v="r"/>
    <n v="154"/>
    <n v="14"/>
    <n v="7"/>
    <s v="r"/>
    <n v="1"/>
    <n v="0.61488580005243398"/>
    <s v="None"/>
    <n v="7"/>
    <n v="14"/>
    <n v="154"/>
    <n v="0"/>
    <n v="208.10262210003501"/>
    <m/>
    <m/>
    <m/>
    <m/>
    <n v="208.09226000000399"/>
    <n v="208.10262210003501"/>
    <n v="208.602777800057"/>
    <n v="208.602777800057"/>
    <n v="208.602777800057"/>
    <n v="209.22346750000699"/>
    <s v="r"/>
    <n v="1"/>
    <n v="0.614885800052433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adness"/>
    <s v="I"/>
    <x v="1"/>
    <s v="emotional"/>
    <s v="yellow"/>
    <s v="y"/>
    <n v="155"/>
    <n v="15"/>
    <n v="7"/>
    <s v="y"/>
    <n v="1"/>
    <n v="0.93952060001902205"/>
    <s v="None"/>
    <n v="7"/>
    <n v="15"/>
    <n v="155"/>
    <n v="7"/>
    <n v="209.23693040001601"/>
    <m/>
    <m/>
    <m/>
    <m/>
    <n v="209.22612440003999"/>
    <n v="209.23693040001601"/>
    <n v="209.735900100029"/>
    <n v="209.735900100029"/>
    <n v="209.735900100029"/>
    <n v="210.689412900013"/>
    <s v="y"/>
    <n v="1"/>
    <n v="0.9395206000190220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Death"/>
    <s v="I"/>
    <x v="1"/>
    <s v="emotional"/>
    <s v="green"/>
    <s v="g"/>
    <n v="156"/>
    <n v="16"/>
    <n v="7"/>
    <s v="g"/>
    <n v="1"/>
    <n v="1.53591929998947"/>
    <s v="None"/>
    <n v="7"/>
    <n v="16"/>
    <n v="156"/>
    <n v="2"/>
    <n v="210.70248150004701"/>
    <m/>
    <m/>
    <m/>
    <m/>
    <n v="210.692204400023"/>
    <n v="210.70248150004701"/>
    <n v="211.202515300014"/>
    <n v="211.202515300014"/>
    <n v="211.202515300014"/>
    <n v="212.73980160005101"/>
    <s v="g"/>
    <n v="1"/>
    <n v="1.5359192999894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Window"/>
    <s v="I"/>
    <x v="0"/>
    <s v="neutral"/>
    <s v="red"/>
    <s v="r"/>
    <n v="157"/>
    <n v="17"/>
    <n v="7"/>
    <s v="r"/>
    <n v="1"/>
    <n v="0.59172339999349699"/>
    <s v="None"/>
    <n v="7"/>
    <n v="17"/>
    <n v="157"/>
    <n v="12"/>
    <n v="212.752432700013"/>
    <m/>
    <m/>
    <m/>
    <m/>
    <n v="212.74327150004601"/>
    <n v="212.752432700013"/>
    <n v="213.252490900049"/>
    <n v="213.252490900049"/>
    <n v="213.252490900049"/>
    <n v="213.85595780005599"/>
    <s v="r"/>
    <n v="1"/>
    <n v="0.591723399993496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able"/>
    <s v="I"/>
    <x v="0"/>
    <s v="neutral"/>
    <s v="blue"/>
    <s v="b"/>
    <n v="158"/>
    <n v="18"/>
    <n v="7"/>
    <s v="b"/>
    <n v="1"/>
    <n v="0.73651009995955896"/>
    <s v="None"/>
    <n v="7"/>
    <n v="18"/>
    <n v="158"/>
    <n v="13"/>
    <n v="213.869790900032"/>
    <m/>
    <m/>
    <m/>
    <m/>
    <n v="213.85859570000301"/>
    <n v="213.869790900032"/>
    <n v="214.36911960004301"/>
    <n v="214.36911960004301"/>
    <n v="214.36911960004301"/>
    <n v="215.10659580002499"/>
    <s v="b"/>
    <n v="1"/>
    <n v="0.7365100999595589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per"/>
    <s v="I"/>
    <x v="0"/>
    <s v="neutral"/>
    <s v="yellow"/>
    <s v="y"/>
    <n v="159"/>
    <n v="19"/>
    <n v="7"/>
    <s v="y"/>
    <n v="1"/>
    <n v="0.66750149999279496"/>
    <s v="None"/>
    <n v="7"/>
    <n v="19"/>
    <n v="159"/>
    <n v="15"/>
    <n v="215.11950080003501"/>
    <m/>
    <m/>
    <m/>
    <m/>
    <n v="215.10931630001801"/>
    <n v="215.11950080003501"/>
    <n v="215.61892700003199"/>
    <n v="215.61892700003199"/>
    <n v="215.61892700003199"/>
    <n v="216.29093210003299"/>
    <s v="y"/>
    <n v="1"/>
    <n v="0.6675014999927949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Fear"/>
    <s v="C"/>
    <x v="2"/>
    <s v="emotional"/>
    <s v="red"/>
    <s v="r"/>
    <n v="160"/>
    <n v="0"/>
    <n v="8"/>
    <s v="r"/>
    <n v="1"/>
    <n v="1.85576430003857"/>
    <s v="None"/>
    <n v="8"/>
    <n v="0"/>
    <n v="160"/>
    <n v="0"/>
    <n v="216.302980900043"/>
    <m/>
    <m/>
    <m/>
    <m/>
    <n v="216.29470250004599"/>
    <n v="216.302980900043"/>
    <n v="216.80221420002599"/>
    <n v="216.80221420002599"/>
    <n v="216.80221420002599"/>
    <n v="218.67254100000699"/>
    <s v="r"/>
    <n v="1"/>
    <n v="1.8557643000385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nger"/>
    <s v="C"/>
    <x v="2"/>
    <s v="emotional"/>
    <s v="red"/>
    <s v="r"/>
    <n v="161"/>
    <n v="1"/>
    <n v="8"/>
    <s v="r"/>
    <n v="1"/>
    <n v="0.48277900001266899"/>
    <s v="None"/>
    <n v="8"/>
    <n v="1"/>
    <n v="161"/>
    <n v="8"/>
    <n v="218.68566930002899"/>
    <m/>
    <m/>
    <m/>
    <m/>
    <n v="218.67520540003801"/>
    <n v="218.68566930002899"/>
    <n v="219.185435900057"/>
    <n v="219.185435900057"/>
    <n v="219.185435900057"/>
    <n v="219.67235280002899"/>
    <s v="r"/>
    <n v="1"/>
    <n v="0.482779000012668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tone"/>
    <s v="I"/>
    <x v="0"/>
    <s v="neutral"/>
    <s v="yellow"/>
    <s v="y"/>
    <n v="162"/>
    <n v="2"/>
    <n v="8"/>
    <s v="y"/>
    <n v="1"/>
    <n v="0.71882810001261499"/>
    <s v="None"/>
    <n v="8"/>
    <n v="2"/>
    <n v="162"/>
    <n v="19"/>
    <n v="219.68550740001899"/>
    <m/>
    <m/>
    <m/>
    <m/>
    <n v="219.675613900006"/>
    <n v="219.68550740001899"/>
    <n v="220.18542410002499"/>
    <n v="220.18542410002499"/>
    <n v="220.18542410002499"/>
    <n v="220.90658270002999"/>
    <s v="y"/>
    <n v="1"/>
    <n v="0.718828100012614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adness"/>
    <s v="I"/>
    <x v="1"/>
    <s v="emotional"/>
    <s v="yellow"/>
    <s v="y"/>
    <n v="163"/>
    <n v="3"/>
    <n v="8"/>
    <s v="y"/>
    <n v="1"/>
    <n v="0.46994149999227303"/>
    <s v="None"/>
    <n v="8"/>
    <n v="3"/>
    <n v="163"/>
    <n v="7"/>
    <n v="220.918467300012"/>
    <m/>
    <m/>
    <m/>
    <m/>
    <n v="220.90991360001499"/>
    <n v="220.918467300012"/>
    <n v="221.41935860004699"/>
    <n v="221.41935860004699"/>
    <n v="221.41935860004699"/>
    <n v="221.88994480000099"/>
    <s v="y"/>
    <n v="1"/>
    <n v="0.4699414999922730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hreat"/>
    <s v="I"/>
    <x v="1"/>
    <s v="emotional"/>
    <s v="blue"/>
    <s v="b"/>
    <n v="164"/>
    <n v="4"/>
    <n v="8"/>
    <s v="b"/>
    <n v="1"/>
    <n v="0.90960420004557796"/>
    <s v="None"/>
    <n v="8"/>
    <n v="4"/>
    <n v="164"/>
    <n v="5"/>
    <n v="221.90229600004301"/>
    <m/>
    <m/>
    <m/>
    <m/>
    <n v="221.892720700008"/>
    <n v="221.90229600004301"/>
    <n v="222.40236990002401"/>
    <n v="222.40236990002401"/>
    <n v="222.40236990002401"/>
    <n v="223.322904500004"/>
    <s v="b"/>
    <n v="1"/>
    <n v="0.9096042000455779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Violence"/>
    <s v="I"/>
    <x v="1"/>
    <s v="emotional"/>
    <s v="blue"/>
    <s v="b"/>
    <n v="165"/>
    <n v="5"/>
    <n v="8"/>
    <s v="b"/>
    <n v="1"/>
    <n v="0.45013989997096299"/>
    <s v="None"/>
    <n v="8"/>
    <n v="5"/>
    <n v="165"/>
    <n v="9"/>
    <n v="223.33562900003699"/>
    <m/>
    <m/>
    <m/>
    <m/>
    <n v="223.32675500004501"/>
    <n v="223.33562900003699"/>
    <n v="223.83591890003299"/>
    <n v="223.83591890003299"/>
    <n v="223.83591890003299"/>
    <n v="224.289370100013"/>
    <s v="b"/>
    <n v="1"/>
    <n v="0.450139899970962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Injury"/>
    <s v="I"/>
    <x v="1"/>
    <s v="emotional"/>
    <s v="green"/>
    <s v="g"/>
    <n v="166"/>
    <n v="6"/>
    <n v="8"/>
    <s v="g"/>
    <n v="1"/>
    <n v="1.08619559998624"/>
    <s v="None"/>
    <n v="8"/>
    <n v="6"/>
    <n v="166"/>
    <n v="6"/>
    <n v="224.302329700032"/>
    <m/>
    <m/>
    <m/>
    <m/>
    <n v="224.29205610003501"/>
    <n v="224.302329700032"/>
    <n v="224.80409950000401"/>
    <n v="224.80409950000401"/>
    <n v="224.80409950000401"/>
    <n v="225.90594270004601"/>
    <s v="g"/>
    <n v="1"/>
    <n v="1.08619559998624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ok"/>
    <s v="I"/>
    <x v="0"/>
    <s v="neutral"/>
    <s v="blue"/>
    <s v="b"/>
    <n v="167"/>
    <n v="7"/>
    <n v="8"/>
    <s v="b"/>
    <n v="1"/>
    <n v="1.0770576000213601"/>
    <s v="None"/>
    <n v="8"/>
    <n v="7"/>
    <n v="167"/>
    <n v="17"/>
    <n v="225.91803020000199"/>
    <m/>
    <m/>
    <m/>
    <m/>
    <n v="225.908534800051"/>
    <n v="225.91803020000199"/>
    <n v="226.4175789"/>
    <n v="226.4175789"/>
    <n v="226.4175789"/>
    <n v="227.50598180002899"/>
    <s v="b"/>
    <n v="1"/>
    <n v="1.07705760002136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nic"/>
    <s v="I"/>
    <x v="1"/>
    <s v="emotional"/>
    <s v="yellow"/>
    <s v="y"/>
    <n v="168"/>
    <n v="8"/>
    <n v="8"/>
    <s v="y"/>
    <n v="1"/>
    <n v="0.88449289998970904"/>
    <s v="None"/>
    <n v="8"/>
    <n v="8"/>
    <n v="168"/>
    <n v="3"/>
    <n v="227.519411000015"/>
    <m/>
    <m/>
    <m/>
    <m/>
    <n v="227.50859680003401"/>
    <n v="227.519411000015"/>
    <n v="228.01883590000199"/>
    <n v="228.01883590000199"/>
    <n v="228.01883590000199"/>
    <n v="228.906252000015"/>
    <s v="y"/>
    <n v="1"/>
    <n v="0.88449289998970904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Death"/>
    <s v="I"/>
    <x v="1"/>
    <s v="emotional"/>
    <s v="green"/>
    <s v="g"/>
    <n v="169"/>
    <n v="9"/>
    <n v="8"/>
    <s v="g"/>
    <n v="1"/>
    <n v="0.88714299997081902"/>
    <s v="None"/>
    <n v="8"/>
    <n v="9"/>
    <n v="169"/>
    <n v="2"/>
    <n v="228.918582100013"/>
    <m/>
    <m/>
    <m/>
    <m/>
    <n v="228.90921840001801"/>
    <n v="228.918582100013"/>
    <n v="229.419011800026"/>
    <n v="229.419011800026"/>
    <n v="229.419011800026"/>
    <n v="230.322398300049"/>
    <s v="g"/>
    <n v="1"/>
    <n v="0.88714299997081902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in"/>
    <s v="I"/>
    <x v="1"/>
    <s v="emotional"/>
    <s v="blue"/>
    <s v="b"/>
    <n v="170"/>
    <n v="10"/>
    <n v="8"/>
    <s v="b"/>
    <n v="1"/>
    <n v="1.0292747999774201"/>
    <s v="None"/>
    <n v="8"/>
    <n v="10"/>
    <n v="170"/>
    <n v="1"/>
    <n v="230.33515160001099"/>
    <m/>
    <m/>
    <m/>
    <m/>
    <n v="230.32485980005001"/>
    <n v="230.33515160001099"/>
    <n v="230.835717900015"/>
    <n v="230.835717900015"/>
    <n v="230.835717900015"/>
    <n v="231.87258030002701"/>
    <s v="b"/>
    <n v="1"/>
    <n v="1.02927479997742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Garden"/>
    <s v="I"/>
    <x v="0"/>
    <s v="neutral"/>
    <s v="red"/>
    <s v="r"/>
    <n v="171"/>
    <n v="11"/>
    <n v="8"/>
    <s v="r"/>
    <n v="1"/>
    <n v="0.414121699985116"/>
    <s v="None"/>
    <n v="8"/>
    <n v="11"/>
    <n v="171"/>
    <n v="16"/>
    <n v="231.88497470004901"/>
    <m/>
    <m/>
    <m/>
    <m/>
    <n v="231.87526250001901"/>
    <n v="231.88497470004901"/>
    <n v="232.38523520005401"/>
    <n v="232.38523520005401"/>
    <n v="232.38523520005401"/>
    <n v="232.80640090000799"/>
    <s v="r"/>
    <n v="1"/>
    <n v="0.41412169998511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encil"/>
    <s v="I"/>
    <x v="0"/>
    <s v="neutral"/>
    <s v="green"/>
    <s v="g"/>
    <n v="172"/>
    <n v="12"/>
    <n v="8"/>
    <s v="g"/>
    <n v="1"/>
    <n v="0.88678519998211403"/>
    <s v="None"/>
    <n v="8"/>
    <n v="12"/>
    <n v="172"/>
    <n v="14"/>
    <n v="232.81876960000901"/>
    <m/>
    <m/>
    <m/>
    <m/>
    <n v="232.80971000000099"/>
    <n v="232.81876960000901"/>
    <n v="233.31984340003601"/>
    <n v="233.31984340003601"/>
    <n v="233.31984340003601"/>
    <n v="234.221650700026"/>
    <s v="g"/>
    <n v="1"/>
    <n v="0.88678519998211403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Road"/>
    <s v="I"/>
    <x v="0"/>
    <s v="neutral"/>
    <s v="green"/>
    <s v="g"/>
    <n v="173"/>
    <n v="13"/>
    <n v="8"/>
    <s v="g"/>
    <n v="1"/>
    <n v="0.46988819999387399"/>
    <s v="None"/>
    <n v="8"/>
    <n v="13"/>
    <n v="173"/>
    <n v="18"/>
    <n v="234.235495000029"/>
    <m/>
    <m/>
    <m/>
    <m/>
    <n v="234.22445630002699"/>
    <n v="234.235495000029"/>
    <n v="234.73554960003801"/>
    <n v="234.73554960003801"/>
    <n v="234.73554960003801"/>
    <n v="235.20758230000499"/>
    <s v="g"/>
    <n v="1"/>
    <n v="0.469888199993873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buse"/>
    <s v="C"/>
    <x v="2"/>
    <s v="emotional"/>
    <s v="red"/>
    <s v="r"/>
    <n v="174"/>
    <n v="14"/>
    <n v="8"/>
    <s v="r"/>
    <n v="1"/>
    <n v="2.7942560000228598"/>
    <s v="None"/>
    <n v="8"/>
    <n v="14"/>
    <n v="174"/>
    <n v="4"/>
    <n v="235.218598700012"/>
    <m/>
    <m/>
    <m/>
    <m/>
    <n v="235.21137400000501"/>
    <n v="235.218598700012"/>
    <n v="235.71831860003201"/>
    <n v="235.71831860003201"/>
    <n v="235.71831860003201"/>
    <n v="238.52225740003601"/>
    <s v="r"/>
    <n v="1"/>
    <n v="2.79425600002285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Window"/>
    <s v="I"/>
    <x v="0"/>
    <s v="neutral"/>
    <s v="red"/>
    <s v="r"/>
    <n v="175"/>
    <n v="15"/>
    <n v="8"/>
    <s v="r"/>
    <n v="1"/>
    <n v="0.52556430001277399"/>
    <s v="None"/>
    <n v="8"/>
    <n v="15"/>
    <n v="175"/>
    <n v="12"/>
    <n v="238.53456810000301"/>
    <m/>
    <m/>
    <m/>
    <m/>
    <n v="238.525142500002"/>
    <n v="238.53456810000301"/>
    <n v="239.034765300049"/>
    <n v="239.034765300049"/>
    <n v="239.034765300049"/>
    <n v="239.57245740003401"/>
    <s v="r"/>
    <n v="1"/>
    <n v="0.525564300012773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able"/>
    <s v="I"/>
    <x v="0"/>
    <s v="neutral"/>
    <s v="blue"/>
    <s v="b"/>
    <n v="176"/>
    <n v="16"/>
    <n v="8"/>
    <s v="b"/>
    <n v="1"/>
    <n v="0.73627629998372801"/>
    <s v="None"/>
    <n v="8"/>
    <n v="16"/>
    <n v="176"/>
    <n v="13"/>
    <n v="239.58453190000699"/>
    <m/>
    <m/>
    <m/>
    <m/>
    <n v="239.57506040000499"/>
    <n v="239.58453190000699"/>
    <n v="240.08440220000901"/>
    <n v="240.08440220000901"/>
    <n v="240.08440220000901"/>
    <n v="240.82224550005"/>
    <s v="b"/>
    <n v="1"/>
    <n v="0.736276299983728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per"/>
    <s v="I"/>
    <x v="0"/>
    <s v="neutral"/>
    <s v="yellow"/>
    <s v="y"/>
    <n v="177"/>
    <n v="17"/>
    <n v="8"/>
    <s v="y"/>
    <n v="1"/>
    <n v="0.85483680001925599"/>
    <s v="None"/>
    <n v="8"/>
    <n v="17"/>
    <n v="177"/>
    <n v="15"/>
    <n v="240.834599900001"/>
    <m/>
    <m/>
    <m/>
    <m/>
    <n v="240.82597240002301"/>
    <n v="240.834599900001"/>
    <n v="241.33440300001499"/>
    <n v="241.33440300001499"/>
    <n v="241.33440300001499"/>
    <n v="242.20634820003701"/>
    <s v="y"/>
    <n v="1"/>
    <n v="0.854836800019255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Chair"/>
    <s v="I"/>
    <x v="0"/>
    <s v="neutral"/>
    <s v="green"/>
    <s v="g"/>
    <n v="178"/>
    <n v="18"/>
    <n v="8"/>
    <s v="g"/>
    <n v="1"/>
    <n v="0.51073249999899395"/>
    <s v="None"/>
    <n v="8"/>
    <n v="18"/>
    <n v="178"/>
    <n v="10"/>
    <n v="242.21779710001999"/>
    <m/>
    <m/>
    <m/>
    <m/>
    <n v="242.208945700025"/>
    <n v="242.21779710001999"/>
    <n v="242.71871870005199"/>
    <n v="242.71871870005199"/>
    <n v="242.71871870005199"/>
    <n v="243.23828440002299"/>
    <s v="g"/>
    <n v="1"/>
    <n v="0.510732499998993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ttle"/>
    <s v="I"/>
    <x v="0"/>
    <s v="neutral"/>
    <s v="yellow"/>
    <s v="y"/>
    <n v="179"/>
    <n v="19"/>
    <n v="8"/>
    <s v="g"/>
    <n v="0"/>
    <n v="0.501789200003258"/>
    <s v="None"/>
    <n v="8"/>
    <n v="19"/>
    <n v="179"/>
    <n v="11"/>
    <n v="243.251383100054"/>
    <m/>
    <m/>
    <m/>
    <m/>
    <n v="243.24096910003499"/>
    <n v="243.251383100054"/>
    <n v="243.75130590004801"/>
    <n v="243.75130590004801"/>
    <n v="243.75130590004801"/>
    <n v="244.255105500051"/>
    <s v="g"/>
    <n v="0"/>
    <n v="0.50178920000325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in"/>
    <s v="I"/>
    <x v="1"/>
    <s v="emotional"/>
    <s v="blue"/>
    <s v="b"/>
    <n v="180"/>
    <n v="0"/>
    <n v="9"/>
    <s v="b"/>
    <n v="1"/>
    <n v="0.63615330000175097"/>
    <s v="None"/>
    <n v="9"/>
    <n v="0"/>
    <n v="180"/>
    <n v="1"/>
    <n v="244.26774180005299"/>
    <m/>
    <m/>
    <m/>
    <m/>
    <n v="244.25841760000901"/>
    <n v="244.26774180005299"/>
    <n v="244.767816500039"/>
    <n v="244.767816500039"/>
    <n v="244.767816500039"/>
    <n v="245.405259600025"/>
    <s v="b"/>
    <n v="1"/>
    <n v="0.6361533000017509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Chair"/>
    <s v="I"/>
    <x v="0"/>
    <s v="neutral"/>
    <s v="green"/>
    <s v="g"/>
    <n v="181"/>
    <n v="1"/>
    <n v="9"/>
    <s v="g"/>
    <n v="1"/>
    <n v="0.479904000007081"/>
    <s v="None"/>
    <n v="9"/>
    <n v="1"/>
    <n v="181"/>
    <n v="10"/>
    <n v="245.41763860004701"/>
    <m/>
    <m/>
    <m/>
    <m/>
    <n v="245.408256700029"/>
    <n v="245.41763860004701"/>
    <n v="245.918005600047"/>
    <n v="245.918005600047"/>
    <n v="245.918005600047"/>
    <n v="246.40562840003901"/>
    <s v="g"/>
    <n v="1"/>
    <n v="0.47990400000708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nger"/>
    <s v="C"/>
    <x v="2"/>
    <s v="emotional"/>
    <s v="red"/>
    <s v="r"/>
    <n v="182"/>
    <n v="2"/>
    <n v="9"/>
    <s v="r"/>
    <n v="1"/>
    <n v="0.47373179998248799"/>
    <s v="None"/>
    <n v="9"/>
    <n v="2"/>
    <n v="182"/>
    <n v="8"/>
    <n v="246.41814449999899"/>
    <m/>
    <m/>
    <m/>
    <m/>
    <n v="246.40892040001901"/>
    <n v="246.41814449999899"/>
    <n v="246.91772870003399"/>
    <n v="246.91772870003399"/>
    <n v="246.91772870003399"/>
    <n v="247.404835300054"/>
    <s v="r"/>
    <n v="1"/>
    <n v="0.473731799982487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Violence"/>
    <s v="I"/>
    <x v="1"/>
    <s v="emotional"/>
    <s v="blue"/>
    <s v="b"/>
    <n v="183"/>
    <n v="3"/>
    <n v="9"/>
    <s v="b"/>
    <n v="1"/>
    <n v="0.78281179995974504"/>
    <s v="None"/>
    <n v="9"/>
    <n v="3"/>
    <n v="183"/>
    <n v="9"/>
    <n v="247.41761840000899"/>
    <m/>
    <m/>
    <m/>
    <m/>
    <n v="247.408100200002"/>
    <n v="247.41761840000899"/>
    <n v="247.91753450001099"/>
    <n v="247.91753450001099"/>
    <n v="247.91753450001099"/>
    <n v="248.7050591"/>
    <s v="b"/>
    <n v="1"/>
    <n v="0.78281179995974504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Abuse"/>
    <s v="C"/>
    <x v="2"/>
    <s v="emotional"/>
    <s v="red"/>
    <s v="r"/>
    <n v="184"/>
    <n v="4"/>
    <n v="9"/>
    <s v="r"/>
    <n v="1"/>
    <n v="0.57756989996414598"/>
    <s v="None"/>
    <n v="9"/>
    <n v="4"/>
    <n v="184"/>
    <n v="4"/>
    <n v="248.71758180001001"/>
    <m/>
    <m/>
    <m/>
    <m/>
    <n v="248.70758770004599"/>
    <n v="248.71758180001001"/>
    <n v="249.21756980003499"/>
    <n v="249.21756980003499"/>
    <n v="249.21756980003499"/>
    <n v="249.80562620004599"/>
    <s v="r"/>
    <n v="1"/>
    <n v="0.577569899964145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ttle"/>
    <s v="I"/>
    <x v="0"/>
    <s v="neutral"/>
    <s v="yellow"/>
    <s v="y"/>
    <n v="185"/>
    <n v="5"/>
    <n v="9"/>
    <s v="y"/>
    <n v="1"/>
    <n v="0.677247500047087"/>
    <s v="None"/>
    <n v="9"/>
    <n v="5"/>
    <n v="185"/>
    <n v="11"/>
    <n v="249.817389200034"/>
    <m/>
    <m/>
    <m/>
    <m/>
    <n v="249.80885260004999"/>
    <n v="249.817389200034"/>
    <n v="250.319340300047"/>
    <n v="250.319340300047"/>
    <n v="250.319340300047"/>
    <n v="251.004545400035"/>
    <s v="y"/>
    <n v="1"/>
    <n v="0.677247500047087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Fear"/>
    <s v="C"/>
    <x v="2"/>
    <s v="emotional"/>
    <s v="red"/>
    <s v="r"/>
    <n v="186"/>
    <n v="6"/>
    <n v="9"/>
    <s v="r"/>
    <n v="1"/>
    <n v="0.59963830001652196"/>
    <s v="None"/>
    <n v="9"/>
    <n v="6"/>
    <n v="186"/>
    <n v="0"/>
    <n v="251.017938400036"/>
    <m/>
    <m/>
    <m/>
    <m/>
    <n v="251.00700000004099"/>
    <n v="251.017938400036"/>
    <n v="251.517678700038"/>
    <n v="251.517678700038"/>
    <n v="251.517678700038"/>
    <n v="252.1222558"/>
    <s v="r"/>
    <n v="1"/>
    <n v="0.5996383000165219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Window"/>
    <s v="I"/>
    <x v="0"/>
    <s v="neutral"/>
    <s v="red"/>
    <s v="r"/>
    <n v="187"/>
    <n v="7"/>
    <n v="9"/>
    <s v="r"/>
    <n v="1"/>
    <n v="0.73268240003380902"/>
    <s v="None"/>
    <n v="9"/>
    <n v="7"/>
    <n v="187"/>
    <n v="12"/>
    <n v="252.134257100056"/>
    <m/>
    <m/>
    <m/>
    <m/>
    <n v="252.125017900019"/>
    <n v="252.134257100056"/>
    <n v="252.63538450002599"/>
    <n v="252.63538450002599"/>
    <n v="252.63538450002599"/>
    <n v="253.37213690002599"/>
    <s v="r"/>
    <n v="1"/>
    <n v="0.73268240003380902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nic"/>
    <s v="I"/>
    <x v="1"/>
    <s v="emotional"/>
    <s v="yellow"/>
    <s v="y"/>
    <n v="188"/>
    <n v="8"/>
    <n v="9"/>
    <s v="y"/>
    <n v="1"/>
    <n v="1.1923820999800201"/>
    <s v="None"/>
    <n v="9"/>
    <n v="8"/>
    <n v="188"/>
    <n v="3"/>
    <n v="253.384631300054"/>
    <m/>
    <m/>
    <m/>
    <m/>
    <n v="253.37509700004"/>
    <n v="253.384631300054"/>
    <n v="253.88468529999901"/>
    <n v="253.88468529999901"/>
    <n v="253.88468529999901"/>
    <n v="255.08988150005399"/>
    <s v="y"/>
    <n v="1"/>
    <n v="1.192382099980020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Death"/>
    <s v="I"/>
    <x v="1"/>
    <s v="emotional"/>
    <s v="green"/>
    <s v="g"/>
    <n v="189"/>
    <n v="9"/>
    <n v="9"/>
    <s v="g"/>
    <n v="1"/>
    <n v="0.84972560004098296"/>
    <s v="None"/>
    <n v="9"/>
    <n v="9"/>
    <n v="189"/>
    <n v="2"/>
    <n v="255.10275980003601"/>
    <m/>
    <m/>
    <m/>
    <m/>
    <n v="255.094281000026"/>
    <n v="255.10275980003601"/>
    <n v="255.60094640002299"/>
    <n v="255.60094640002299"/>
    <n v="255.60094640002299"/>
    <n v="256.45477880001999"/>
    <s v="g"/>
    <n v="1"/>
    <n v="0.84972560004098296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Book"/>
    <s v="I"/>
    <x v="0"/>
    <s v="neutral"/>
    <s v="blue"/>
    <s v="b"/>
    <n v="190"/>
    <n v="10"/>
    <n v="9"/>
    <s v="b"/>
    <n v="1"/>
    <n v="0.70019579998916004"/>
    <s v="None"/>
    <n v="9"/>
    <n v="10"/>
    <n v="190"/>
    <n v="17"/>
    <n v="256.46794660005202"/>
    <m/>
    <m/>
    <m/>
    <m/>
    <n v="256.45785990002298"/>
    <n v="256.46794660005202"/>
    <n v="256.96736990002597"/>
    <n v="256.96736990002597"/>
    <n v="256.96736990002597"/>
    <n v="257.67163320002101"/>
    <s v="b"/>
    <n v="1"/>
    <n v="0.70019579998916004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Garden"/>
    <s v="I"/>
    <x v="0"/>
    <s v="neutral"/>
    <s v="red"/>
    <s v="r"/>
    <n v="191"/>
    <n v="11"/>
    <n v="9"/>
    <s v="r"/>
    <n v="1"/>
    <n v="2.4096240999642702"/>
    <s v="None"/>
    <n v="9"/>
    <n v="11"/>
    <n v="191"/>
    <n v="16"/>
    <n v="257.683892100001"/>
    <m/>
    <m/>
    <m/>
    <m/>
    <n v="257.67598160001199"/>
    <n v="257.683892100001"/>
    <n v="258.18398610001799"/>
    <n v="258.18398610001799"/>
    <n v="258.18398610001799"/>
    <n v="260.604537800012"/>
    <s v="r"/>
    <n v="1"/>
    <n v="2.4096240999642702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able"/>
    <s v="I"/>
    <x v="0"/>
    <s v="neutral"/>
    <s v="blue"/>
    <s v="b"/>
    <n v="192"/>
    <n v="12"/>
    <n v="9"/>
    <s v="b"/>
    <n v="1"/>
    <n v="0.77311070001451299"/>
    <s v="None"/>
    <n v="9"/>
    <n v="12"/>
    <n v="192"/>
    <n v="13"/>
    <n v="260.62015330005602"/>
    <m/>
    <m/>
    <m/>
    <m/>
    <n v="260.60731890000102"/>
    <n v="260.62015330005602"/>
    <n v="261.11711150000298"/>
    <n v="261.11711150000298"/>
    <n v="261.11711150000298"/>
    <n v="261.90417920000601"/>
    <s v="b"/>
    <n v="1"/>
    <n v="0.7731107000145129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encil"/>
    <s v="I"/>
    <x v="0"/>
    <s v="neutral"/>
    <s v="green"/>
    <s v="g"/>
    <n v="193"/>
    <n v="13"/>
    <n v="9"/>
    <s v="g"/>
    <n v="1"/>
    <n v="1.94710109999869"/>
    <s v="None"/>
    <n v="9"/>
    <n v="13"/>
    <n v="193"/>
    <n v="14"/>
    <n v="261.91729020001299"/>
    <m/>
    <m/>
    <m/>
    <m/>
    <n v="261.90709990001"/>
    <n v="261.91729020001299"/>
    <n v="262.41714460000998"/>
    <n v="262.41714460000998"/>
    <n v="262.41714460000998"/>
    <n v="264.37081920000401"/>
    <s v="g"/>
    <n v="1"/>
    <n v="1.94710109999869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adness"/>
    <s v="I"/>
    <x v="1"/>
    <s v="emotional"/>
    <s v="yellow"/>
    <s v="y"/>
    <n v="194"/>
    <n v="14"/>
    <n v="9"/>
    <s v="y"/>
    <n v="1"/>
    <n v="0.84623560000909404"/>
    <s v="None"/>
    <n v="9"/>
    <n v="14"/>
    <n v="194"/>
    <n v="7"/>
    <n v="264.38358630001301"/>
    <m/>
    <m/>
    <m/>
    <m/>
    <n v="264.37388120003698"/>
    <n v="264.38358630001301"/>
    <n v="264.88413970003597"/>
    <n v="264.88413970003597"/>
    <n v="264.88413970003597"/>
    <n v="265.73825750005199"/>
    <s v="y"/>
    <n v="1"/>
    <n v="0.84623560000909404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Injury"/>
    <s v="I"/>
    <x v="1"/>
    <s v="emotional"/>
    <s v="green"/>
    <s v="g"/>
    <n v="195"/>
    <n v="15"/>
    <n v="9"/>
    <s v="g"/>
    <n v="1"/>
    <n v="0.97910230001434595"/>
    <s v="None"/>
    <n v="9"/>
    <n v="15"/>
    <n v="195"/>
    <n v="6"/>
    <n v="265.750608100031"/>
    <m/>
    <m/>
    <m/>
    <m/>
    <n v="265.740917700051"/>
    <n v="265.750608100031"/>
    <n v="266.25049030000798"/>
    <n v="266.25049030000798"/>
    <n v="266.25049030000798"/>
    <n v="267.23828350001702"/>
    <s v="g"/>
    <n v="1"/>
    <n v="0.9791023000143459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Stone"/>
    <s v="I"/>
    <x v="0"/>
    <s v="neutral"/>
    <s v="yellow"/>
    <s v="y"/>
    <n v="196"/>
    <n v="16"/>
    <n v="9"/>
    <s v="y"/>
    <n v="1"/>
    <n v="1.36026990000391"/>
    <s v="None"/>
    <n v="9"/>
    <n v="16"/>
    <n v="196"/>
    <n v="19"/>
    <n v="267.25033770000999"/>
    <m/>
    <m/>
    <m/>
    <m/>
    <n v="267.24092710000599"/>
    <n v="267.25033770000999"/>
    <n v="267.75006240000903"/>
    <n v="267.75006240000903"/>
    <n v="267.75006240000903"/>
    <n v="269.120755200041"/>
    <s v="y"/>
    <n v="1"/>
    <n v="1.36026990000391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Paper"/>
    <s v="I"/>
    <x v="0"/>
    <s v="neutral"/>
    <s v="yellow"/>
    <s v="y"/>
    <n v="197"/>
    <n v="17"/>
    <n v="9"/>
    <s v="y"/>
    <n v="1"/>
    <n v="0.43537700001615998"/>
    <s v="None"/>
    <n v="9"/>
    <n v="17"/>
    <n v="197"/>
    <n v="15"/>
    <n v="269.13351880002301"/>
    <m/>
    <m/>
    <m/>
    <m/>
    <n v="269.12364370003303"/>
    <n v="269.13351880002301"/>
    <n v="269.63400060002402"/>
    <n v="269.63400060002402"/>
    <n v="269.63400060002402"/>
    <n v="270.071054300002"/>
    <s v="y"/>
    <n v="1"/>
    <n v="0.43537700001615998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Threat"/>
    <s v="I"/>
    <x v="1"/>
    <s v="emotional"/>
    <s v="blue"/>
    <s v="b"/>
    <n v="198"/>
    <n v="18"/>
    <n v="9"/>
    <s v="b"/>
    <n v="1"/>
    <n v="0.75220599997555804"/>
    <s v="None"/>
    <n v="9"/>
    <n v="18"/>
    <n v="198"/>
    <n v="5"/>
    <n v="270.08353540004401"/>
    <m/>
    <m/>
    <m/>
    <m/>
    <n v="270.07439490000201"/>
    <n v="270.08353540004401"/>
    <n v="270.58376580005199"/>
    <n v="270.58376580005199"/>
    <n v="270.58376580005199"/>
    <n v="271.33757720002899"/>
    <s v="b"/>
    <n v="1"/>
    <n v="0.75220599997555804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s v="Road"/>
    <s v="I"/>
    <x v="0"/>
    <s v="neutral"/>
    <s v="green"/>
    <s v="g"/>
    <n v="199"/>
    <n v="19"/>
    <n v="9"/>
    <s v="g"/>
    <n v="1"/>
    <n v="1.28693150001345"/>
    <s v="None"/>
    <n v="9"/>
    <n v="19"/>
    <n v="199"/>
    <n v="18"/>
    <n v="271.35038500005601"/>
    <m/>
    <m/>
    <m/>
    <m/>
    <n v="271.34074340004003"/>
    <n v="271.35038500005601"/>
    <n v="271.85027350002201"/>
    <n v="271.85027350002201"/>
    <n v="271.85027350002201"/>
    <n v="273.15487710002299"/>
    <s v="g"/>
    <n v="1"/>
    <n v="1.28693150001345"/>
    <s v="None"/>
    <m/>
    <m/>
    <m/>
    <x v="1"/>
    <n v="1"/>
    <s v="2025-11-18_20h17.36.442"/>
    <s v="emotional stroop_untitled"/>
    <m/>
    <s v="2025.1.1"/>
    <n v="59.456390224006398"/>
    <s v="2025-11-18 20h17.41.541747 +0530"/>
    <m/>
    <m/>
  </r>
  <r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n v="273.15507640002699"/>
    <n v="273.166753000055"/>
    <n v="274.15340820001398"/>
    <x v="1"/>
    <n v="1"/>
    <s v="2025-11-18_20h17.36.442"/>
    <s v="emotional stroop_untitled"/>
    <m/>
    <s v="2025.1.1"/>
    <n v="59.456390224006398"/>
    <s v="2025-11-18 20h17.41.541747 +0530"/>
    <n v="274.166515100048"/>
    <m/>
  </r>
  <r>
    <m/>
    <m/>
    <x v="3"/>
    <m/>
    <m/>
    <m/>
    <m/>
    <m/>
    <m/>
    <m/>
    <m/>
    <m/>
    <m/>
    <m/>
    <m/>
    <m/>
    <m/>
    <m/>
    <m/>
    <n v="1.1019300029147401E-2"/>
    <n v="2.5215400033630399E-2"/>
    <n v="2.0115622000303102"/>
    <m/>
    <m/>
    <m/>
    <m/>
    <m/>
    <m/>
    <m/>
    <m/>
    <m/>
    <m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buse"/>
    <s v="C"/>
    <x v="2"/>
    <s v="emotional"/>
    <s v="red"/>
    <s v="r"/>
    <n v="0"/>
    <n v="0"/>
    <n v="0"/>
    <s v="r"/>
    <n v="1"/>
    <n v="0.74567799997748796"/>
    <s v="None"/>
    <n v="0"/>
    <n v="0"/>
    <n v="0"/>
    <n v="4"/>
    <n v="2.05838390003191"/>
    <m/>
    <m/>
    <m/>
    <m/>
    <n v="2.0372398000326899"/>
    <n v="2.05838390003191"/>
    <n v="2.5077934000291799"/>
    <n v="2.5077934000291799"/>
    <n v="2.5077934000291799"/>
    <n v="3.2618693000404102"/>
    <s v="r"/>
    <n v="1"/>
    <n v="0.7456779999774879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able"/>
    <s v="I"/>
    <x v="0"/>
    <s v="neutral"/>
    <s v="blue"/>
    <s v="b"/>
    <n v="1"/>
    <n v="1"/>
    <n v="0"/>
    <s v="b"/>
    <n v="1"/>
    <n v="0.99624299997230903"/>
    <s v="None"/>
    <n v="0"/>
    <n v="1"/>
    <n v="1"/>
    <n v="13"/>
    <n v="3.2750816000043401"/>
    <m/>
    <m/>
    <m/>
    <m/>
    <n v="3.26479690003907"/>
    <n v="3.2750816000043401"/>
    <n v="3.7743020000052598"/>
    <n v="3.7743020000052598"/>
    <n v="3.7743020000052598"/>
    <n v="4.7785122000495903"/>
    <s v="b"/>
    <n v="1"/>
    <n v="0.99624299997230903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encil"/>
    <s v="I"/>
    <x v="0"/>
    <s v="neutral"/>
    <s v="green"/>
    <s v="g"/>
    <n v="2"/>
    <n v="2"/>
    <n v="0"/>
    <s v="g"/>
    <n v="1"/>
    <n v="1.04662179999286"/>
    <s v="None"/>
    <n v="0"/>
    <n v="2"/>
    <n v="2"/>
    <n v="14"/>
    <n v="4.7909298000158698"/>
    <m/>
    <m/>
    <m/>
    <m/>
    <n v="4.7813724000006896"/>
    <n v="4.7909298000158698"/>
    <n v="5.29122680000728"/>
    <n v="5.29122680000728"/>
    <n v="5.29122680000728"/>
    <n v="6.3451101000537102"/>
    <s v="g"/>
    <n v="1"/>
    <n v="1.0466217999928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Chair"/>
    <s v="I"/>
    <x v="0"/>
    <s v="neutral"/>
    <s v="green"/>
    <s v="g"/>
    <n v="3"/>
    <n v="3"/>
    <n v="0"/>
    <s v="g"/>
    <n v="1"/>
    <n v="0.484855799993965"/>
    <s v="None"/>
    <n v="0"/>
    <n v="3"/>
    <n v="3"/>
    <n v="10"/>
    <n v="6.3575644000084104"/>
    <m/>
    <m/>
    <m/>
    <m/>
    <n v="6.3482063999981602"/>
    <n v="6.3575644000084104"/>
    <n v="6.8573226000298702"/>
    <n v="6.8573226000298702"/>
    <n v="6.8573226000298702"/>
    <n v="7.3445981999975603"/>
    <s v="g"/>
    <n v="1"/>
    <n v="0.48485579999396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Window"/>
    <s v="I"/>
    <x v="0"/>
    <s v="neutral"/>
    <s v="red"/>
    <s v="r"/>
    <n v="4"/>
    <n v="4"/>
    <n v="0"/>
    <s v="r"/>
    <n v="1"/>
    <n v="0.62045930000021998"/>
    <s v="None"/>
    <n v="0"/>
    <n v="4"/>
    <n v="4"/>
    <n v="12"/>
    <n v="7.3571586000034497"/>
    <m/>
    <m/>
    <m/>
    <m/>
    <n v="7.34737820003647"/>
    <n v="7.3571586000034497"/>
    <n v="7.8577333000139298"/>
    <n v="7.8577333000139298"/>
    <n v="7.8577333000139298"/>
    <n v="8.4943819000036402"/>
    <s v="r"/>
    <n v="1"/>
    <n v="0.620459300000219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ttle"/>
    <s v="I"/>
    <x v="0"/>
    <s v="neutral"/>
    <s v="yellow"/>
    <s v="y"/>
    <n v="5"/>
    <n v="5"/>
    <n v="0"/>
    <s v="y"/>
    <n v="1"/>
    <n v="1.12235219997819"/>
    <s v="None"/>
    <n v="0"/>
    <n v="5"/>
    <n v="5"/>
    <n v="11"/>
    <n v="8.5076044000452296"/>
    <m/>
    <m/>
    <m/>
    <m/>
    <n v="8.4971409999998198"/>
    <n v="8.5076044000452296"/>
    <n v="9.0072802000213397"/>
    <n v="9.0072802000213397"/>
    <n v="9.0072802000213397"/>
    <n v="10.1452631000429"/>
    <s v="y"/>
    <n v="1"/>
    <n v="1.1223521999781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Death"/>
    <s v="I"/>
    <x v="1"/>
    <s v="emotional"/>
    <s v="green"/>
    <s v="g"/>
    <n v="6"/>
    <n v="6"/>
    <n v="0"/>
    <s v="g"/>
    <n v="1"/>
    <n v="0.70139639999251802"/>
    <s v="None"/>
    <n v="0"/>
    <n v="6"/>
    <n v="6"/>
    <n v="2"/>
    <n v="10.158180800033699"/>
    <m/>
    <m/>
    <m/>
    <m/>
    <n v="10.150754700007299"/>
    <n v="10.158180800033699"/>
    <n v="10.658256200025701"/>
    <n v="10.658256200025701"/>
    <n v="10.658256200025701"/>
    <n v="11.3615388000034"/>
    <s v="g"/>
    <n v="1"/>
    <n v="0.701396399992518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Road"/>
    <s v="I"/>
    <x v="0"/>
    <s v="neutral"/>
    <s v="green"/>
    <s v="g"/>
    <n v="7"/>
    <n v="7"/>
    <n v="0"/>
    <s v="g"/>
    <n v="1"/>
    <n v="0.49432369996793502"/>
    <s v="None"/>
    <n v="0"/>
    <n v="7"/>
    <n v="7"/>
    <n v="18"/>
    <n v="11.3749011000036"/>
    <m/>
    <m/>
    <m/>
    <m/>
    <n v="11.3642108000349"/>
    <n v="11.3749011000036"/>
    <n v="11.8744328000466"/>
    <n v="11.8744328000466"/>
    <n v="11.8744328000466"/>
    <n v="12.377201700001001"/>
    <s v="g"/>
    <n v="1"/>
    <n v="0.494323699967935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Garden"/>
    <s v="I"/>
    <x v="0"/>
    <s v="neutral"/>
    <s v="red"/>
    <s v="r"/>
    <n v="8"/>
    <n v="8"/>
    <n v="0"/>
    <s v="r"/>
    <n v="1"/>
    <n v="0.563211200002115"/>
    <s v="None"/>
    <n v="0"/>
    <n v="8"/>
    <n v="8"/>
    <n v="16"/>
    <n v="12.3906575000146"/>
    <m/>
    <m/>
    <m/>
    <m/>
    <n v="12.3798480000114"/>
    <n v="12.3906575000146"/>
    <n v="12.890671400004001"/>
    <n v="12.890671400004001"/>
    <n v="12.890671400004001"/>
    <n v="13.4616019000532"/>
    <s v="r"/>
    <n v="1"/>
    <n v="0.56321120000211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adness"/>
    <s v="I"/>
    <x v="1"/>
    <s v="emotional"/>
    <s v="yellow"/>
    <s v="y"/>
    <n v="9"/>
    <n v="9"/>
    <n v="0"/>
    <s v="y"/>
    <n v="1"/>
    <n v="1.51778359996387"/>
    <s v="None"/>
    <n v="0"/>
    <n v="9"/>
    <n v="9"/>
    <n v="7"/>
    <n v="13.474130700051299"/>
    <m/>
    <m/>
    <m/>
    <m/>
    <n v="13.464477000001301"/>
    <n v="13.474130700051299"/>
    <n v="13.9744123000418"/>
    <n v="13.9744123000418"/>
    <n v="13.9744123000418"/>
    <n v="15.496626300038701"/>
    <s v="y"/>
    <n v="1"/>
    <n v="1.51778359996387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ok"/>
    <s v="I"/>
    <x v="0"/>
    <s v="neutral"/>
    <s v="blue"/>
    <s v="b"/>
    <n v="10"/>
    <n v="10"/>
    <n v="0"/>
    <s v="b"/>
    <n v="1"/>
    <n v="1.37337989994557"/>
    <s v="None"/>
    <n v="0"/>
    <n v="10"/>
    <n v="10"/>
    <n v="17"/>
    <n v="15.507264300016599"/>
    <m/>
    <m/>
    <m/>
    <m/>
    <n v="15.499956400017201"/>
    <n v="15.507264300016599"/>
    <n v="16.007394300017001"/>
    <n v="16.007394300017001"/>
    <n v="16.007394300017001"/>
    <n v="17.393981100001799"/>
    <s v="b"/>
    <n v="1"/>
    <n v="1.37337989994557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in"/>
    <s v="I"/>
    <x v="1"/>
    <s v="emotional"/>
    <s v="blue"/>
    <s v="b"/>
    <n v="11"/>
    <n v="11"/>
    <n v="0"/>
    <s v="b"/>
    <n v="1"/>
    <n v="0.45018770004389802"/>
    <s v="None"/>
    <n v="0"/>
    <n v="11"/>
    <n v="11"/>
    <n v="1"/>
    <n v="17.406958400038999"/>
    <m/>
    <m/>
    <m/>
    <m/>
    <n v="17.396585500042399"/>
    <n v="17.406958400038999"/>
    <n v="17.907528300012899"/>
    <n v="17.907528300012899"/>
    <n v="17.907528300012899"/>
    <n v="18.361448200011999"/>
    <s v="b"/>
    <n v="1"/>
    <n v="0.450187700043898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tone"/>
    <s v="I"/>
    <x v="0"/>
    <s v="neutral"/>
    <s v="yellow"/>
    <s v="y"/>
    <n v="12"/>
    <n v="12"/>
    <n v="0"/>
    <s v="y"/>
    <n v="1"/>
    <n v="0.76202209998155002"/>
    <s v="None"/>
    <n v="0"/>
    <n v="12"/>
    <n v="12"/>
    <n v="19"/>
    <n v="18.374143900000401"/>
    <m/>
    <m/>
    <m/>
    <m/>
    <n v="18.3650125000276"/>
    <n v="18.374143900000401"/>
    <n v="18.873332300048698"/>
    <n v="18.873332300048698"/>
    <n v="18.873332300048698"/>
    <n v="19.644725500023899"/>
    <s v="y"/>
    <n v="1"/>
    <n v="0.762022099981550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Violence"/>
    <s v="I"/>
    <x v="1"/>
    <s v="emotional"/>
    <s v="blue"/>
    <s v="b"/>
    <n v="13"/>
    <n v="13"/>
    <n v="0"/>
    <s v="b"/>
    <n v="1"/>
    <n v="0.71704779996071"/>
    <s v="None"/>
    <n v="0"/>
    <n v="13"/>
    <n v="13"/>
    <n v="9"/>
    <n v="19.656812200031698"/>
    <m/>
    <m/>
    <m/>
    <m/>
    <n v="19.650540000002302"/>
    <n v="19.656812200031698"/>
    <n v="20.157730100036101"/>
    <n v="20.157730100036101"/>
    <n v="20.157730100036101"/>
    <n v="20.878325199999299"/>
    <s v="b"/>
    <n v="1"/>
    <n v="0.7170477999607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nic"/>
    <s v="I"/>
    <x v="1"/>
    <s v="emotional"/>
    <s v="yellow"/>
    <s v="y"/>
    <n v="14"/>
    <n v="14"/>
    <n v="0"/>
    <s v="y"/>
    <n v="1"/>
    <n v="1.41747049998957"/>
    <s v="None"/>
    <n v="0"/>
    <n v="14"/>
    <n v="14"/>
    <n v="3"/>
    <n v="20.890314400021399"/>
    <m/>
    <m/>
    <m/>
    <m/>
    <n v="20.881119700032201"/>
    <n v="20.890314400021399"/>
    <n v="21.390063700033298"/>
    <n v="21.390063700033298"/>
    <n v="21.390063700033298"/>
    <n v="22.810511000046901"/>
    <s v="y"/>
    <n v="1"/>
    <n v="1.41747049998957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Fear"/>
    <s v="C"/>
    <x v="2"/>
    <s v="emotional"/>
    <s v="red"/>
    <s v="r"/>
    <n v="15"/>
    <n v="15"/>
    <n v="0"/>
    <s v="r"/>
    <n v="1"/>
    <n v="0.73902069998439401"/>
    <s v="None"/>
    <n v="0"/>
    <n v="15"/>
    <n v="15"/>
    <n v="0"/>
    <n v="22.823239800054498"/>
    <m/>
    <m/>
    <m/>
    <m/>
    <n v="22.816054399998301"/>
    <n v="22.823239800054498"/>
    <n v="23.323702400026299"/>
    <n v="23.323702400026299"/>
    <n v="23.323702400026299"/>
    <n v="24.077828600013099"/>
    <s v="r"/>
    <n v="1"/>
    <n v="0.739020699984394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per"/>
    <s v="I"/>
    <x v="0"/>
    <s v="neutral"/>
    <s v="yellow"/>
    <s v="y"/>
    <n v="16"/>
    <n v="16"/>
    <n v="0"/>
    <s v="y"/>
    <n v="1"/>
    <n v="0.40014530002372301"/>
    <s v="None"/>
    <n v="0"/>
    <n v="16"/>
    <n v="16"/>
    <n v="15"/>
    <n v="24.090288500010502"/>
    <m/>
    <m/>
    <m/>
    <m/>
    <n v="24.080495300004198"/>
    <n v="24.090288500010502"/>
    <n v="24.590950600046199"/>
    <n v="24.590950600046199"/>
    <n v="24.590950600046199"/>
    <n v="24.9950297000468"/>
    <s v="y"/>
    <n v="1"/>
    <n v="0.400145300023723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Injury"/>
    <s v="I"/>
    <x v="1"/>
    <s v="emotional"/>
    <s v="green"/>
    <s v="g"/>
    <n v="17"/>
    <n v="17"/>
    <n v="0"/>
    <s v="g"/>
    <n v="1"/>
    <n v="0.71130130003439196"/>
    <s v="None"/>
    <n v="0"/>
    <n v="17"/>
    <n v="17"/>
    <n v="6"/>
    <n v="25.022643600008401"/>
    <m/>
    <m/>
    <m/>
    <m/>
    <n v="25.001297300041099"/>
    <n v="25.022643600008401"/>
    <n v="25.507041200005901"/>
    <n v="25.507041200005901"/>
    <n v="25.507041200005901"/>
    <n v="26.230267600039902"/>
    <s v="g"/>
    <n v="1"/>
    <n v="0.7113013000343919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hreat"/>
    <s v="I"/>
    <x v="1"/>
    <s v="emotional"/>
    <s v="blue"/>
    <s v="b"/>
    <n v="18"/>
    <n v="18"/>
    <n v="0"/>
    <s v="b"/>
    <n v="1"/>
    <n v="0.55256189999636196"/>
    <s v="None"/>
    <n v="0"/>
    <n v="18"/>
    <n v="18"/>
    <n v="5"/>
    <n v="26.256112100032599"/>
    <m/>
    <m/>
    <m/>
    <m/>
    <n v="26.234865000005801"/>
    <n v="26.256112100032599"/>
    <n v="26.739777900045699"/>
    <n v="26.739777900045699"/>
    <n v="26.739777900045699"/>
    <n v="27.295264700020098"/>
    <s v="b"/>
    <n v="1"/>
    <n v="0.5525618999963619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nger"/>
    <s v="C"/>
    <x v="2"/>
    <s v="emotional"/>
    <s v="red"/>
    <s v="r"/>
    <n v="19"/>
    <n v="19"/>
    <n v="0"/>
    <s v="r"/>
    <n v="1"/>
    <n v="0.74195379996672195"/>
    <s v="None"/>
    <n v="0"/>
    <n v="19"/>
    <n v="19"/>
    <n v="8"/>
    <n v="27.306916700035799"/>
    <m/>
    <m/>
    <m/>
    <m/>
    <n v="27.299408000020701"/>
    <n v="27.306916700035799"/>
    <n v="27.806980800000002"/>
    <n v="27.806980800000002"/>
    <n v="27.806980800000002"/>
    <n v="28.561312000034299"/>
    <s v="r"/>
    <n v="1"/>
    <n v="0.7419537999667219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nic"/>
    <s v="I"/>
    <x v="1"/>
    <s v="emotional"/>
    <s v="yellow"/>
    <s v="y"/>
    <n v="20"/>
    <n v="0"/>
    <n v="1"/>
    <s v="y"/>
    <n v="1"/>
    <n v="1.33236480003688"/>
    <s v="None"/>
    <n v="1"/>
    <n v="0"/>
    <n v="20"/>
    <n v="3"/>
    <n v="28.57355000003"/>
    <m/>
    <m/>
    <m/>
    <m/>
    <n v="28.564043899998001"/>
    <n v="28.57355000003"/>
    <n v="29.073411100020099"/>
    <n v="29.073411100020099"/>
    <n v="29.073411100020099"/>
    <n v="30.410732100019199"/>
    <s v="y"/>
    <n v="1"/>
    <n v="1.3323648000368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ok"/>
    <s v="I"/>
    <x v="0"/>
    <s v="neutral"/>
    <s v="blue"/>
    <s v="b"/>
    <n v="21"/>
    <n v="1"/>
    <n v="1"/>
    <s v="b"/>
    <n v="1"/>
    <n v="0.62628329999279198"/>
    <s v="None"/>
    <n v="1"/>
    <n v="1"/>
    <n v="21"/>
    <n v="17"/>
    <n v="30.423431000031901"/>
    <m/>
    <m/>
    <m/>
    <m/>
    <n v="30.413115200004501"/>
    <n v="30.423431000031901"/>
    <n v="30.923470000037899"/>
    <n v="30.923470000037899"/>
    <n v="30.923470000037899"/>
    <n v="31.559978600009298"/>
    <s v="b"/>
    <n v="1"/>
    <n v="0.626283299992791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Garden"/>
    <s v="I"/>
    <x v="0"/>
    <s v="neutral"/>
    <s v="red"/>
    <s v="r"/>
    <n v="22"/>
    <n v="2"/>
    <n v="1"/>
    <s v="r"/>
    <n v="1"/>
    <n v="0.77830319997155994"/>
    <s v="None"/>
    <n v="1"/>
    <n v="2"/>
    <n v="22"/>
    <n v="16"/>
    <n v="31.573199600039501"/>
    <m/>
    <m/>
    <m/>
    <m/>
    <n v="31.563579100009498"/>
    <n v="31.573199600039501"/>
    <n v="32.075075700005897"/>
    <n v="32.075075700005897"/>
    <n v="32.075075700005897"/>
    <n v="32.860506700002503"/>
    <s v="r"/>
    <n v="1"/>
    <n v="0.77830319997155994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tone"/>
    <s v="I"/>
    <x v="0"/>
    <s v="neutral"/>
    <s v="yellow"/>
    <s v="y"/>
    <n v="23"/>
    <n v="3"/>
    <n v="1"/>
    <s v="y"/>
    <n v="1"/>
    <n v="1.1990661000017999"/>
    <s v="None"/>
    <n v="1"/>
    <n v="3"/>
    <n v="23"/>
    <n v="19"/>
    <n v="32.873196500004198"/>
    <m/>
    <m/>
    <m/>
    <m/>
    <n v="32.863972300023299"/>
    <n v="32.873196500004198"/>
    <n v="33.373114400019404"/>
    <n v="33.373114400019404"/>
    <n v="33.373114400019404"/>
    <n v="34.577640600036801"/>
    <s v="y"/>
    <n v="1"/>
    <n v="1.19906610000179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Fear"/>
    <s v="C"/>
    <x v="2"/>
    <s v="emotional"/>
    <s v="red"/>
    <s v="r"/>
    <n v="24"/>
    <n v="4"/>
    <n v="1"/>
    <s v="r"/>
    <n v="1"/>
    <n v="0.86663750000298001"/>
    <s v="None"/>
    <n v="1"/>
    <n v="4"/>
    <n v="24"/>
    <n v="0"/>
    <n v="34.5897326000267"/>
    <m/>
    <m/>
    <m/>
    <m/>
    <n v="34.580860000045497"/>
    <n v="34.5897326000267"/>
    <n v="35.0901009000372"/>
    <n v="35.0901009000372"/>
    <n v="35.0901009000372"/>
    <n v="35.960662800003703"/>
    <s v="r"/>
    <n v="1"/>
    <n v="0.866637500002980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able"/>
    <s v="I"/>
    <x v="0"/>
    <s v="neutral"/>
    <s v="blue"/>
    <s v="b"/>
    <n v="25"/>
    <n v="5"/>
    <n v="1"/>
    <s v="b"/>
    <n v="1"/>
    <n v="0.81771999999182299"/>
    <s v="None"/>
    <n v="1"/>
    <n v="5"/>
    <n v="25"/>
    <n v="13"/>
    <n v="35.973065500031197"/>
    <m/>
    <m/>
    <m/>
    <m/>
    <n v="35.963543899997603"/>
    <n v="35.973065500031197"/>
    <n v="36.473430600017302"/>
    <n v="36.473430600017302"/>
    <n v="36.473430600017302"/>
    <n v="37.293632500048197"/>
    <s v="b"/>
    <n v="1"/>
    <n v="0.817719999991822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Road"/>
    <s v="I"/>
    <x v="0"/>
    <s v="neutral"/>
    <s v="green"/>
    <s v="g"/>
    <n v="26"/>
    <n v="6"/>
    <n v="1"/>
    <s v="g"/>
    <n v="1"/>
    <n v="1.80232519999844"/>
    <s v="None"/>
    <n v="1"/>
    <n v="6"/>
    <n v="26"/>
    <n v="18"/>
    <n v="37.306915800028897"/>
    <m/>
    <m/>
    <m/>
    <m/>
    <n v="37.296133900002999"/>
    <n v="37.306915800028897"/>
    <n v="37.806287800020002"/>
    <n v="37.806287800020002"/>
    <n v="37.806287800020002"/>
    <n v="39.610367400047799"/>
    <s v="g"/>
    <n v="1"/>
    <n v="1.80232519999844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Chair"/>
    <s v="I"/>
    <x v="0"/>
    <s v="neutral"/>
    <s v="green"/>
    <s v="g"/>
    <n v="27"/>
    <n v="7"/>
    <n v="1"/>
    <s v="g"/>
    <n v="1"/>
    <n v="0.58062189997872304"/>
    <s v="None"/>
    <n v="1"/>
    <n v="7"/>
    <n v="27"/>
    <n v="10"/>
    <n v="39.623255100042996"/>
    <m/>
    <m/>
    <m/>
    <m/>
    <n v="39.6130279000499"/>
    <n v="39.623255100042996"/>
    <n v="40.122631600010202"/>
    <n v="40.122631600010202"/>
    <n v="40.122631600010202"/>
    <n v="40.709893800027203"/>
    <s v="g"/>
    <n v="1"/>
    <n v="0.58062189997872304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Violence"/>
    <s v="I"/>
    <x v="1"/>
    <s v="emotional"/>
    <s v="blue"/>
    <s v="b"/>
    <n v="28"/>
    <n v="8"/>
    <n v="1"/>
    <s v="b"/>
    <n v="1"/>
    <n v="1.8378823000239199"/>
    <s v="None"/>
    <n v="1"/>
    <n v="8"/>
    <n v="28"/>
    <n v="9"/>
    <n v="40.722717099997602"/>
    <m/>
    <m/>
    <m/>
    <m/>
    <n v="40.712822600034997"/>
    <n v="40.722717099997602"/>
    <n v="41.222795700014103"/>
    <n v="41.222795700014103"/>
    <n v="41.222795700014103"/>
    <n v="43.076609300042001"/>
    <s v="b"/>
    <n v="1"/>
    <n v="1.83788230002391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in"/>
    <s v="I"/>
    <x v="1"/>
    <s v="emotional"/>
    <s v="blue"/>
    <s v="b"/>
    <n v="29"/>
    <n v="9"/>
    <n v="1"/>
    <s v="b"/>
    <n v="1"/>
    <n v="0.49538740003481502"/>
    <s v="None"/>
    <n v="1"/>
    <n v="9"/>
    <n v="29"/>
    <n v="1"/>
    <n v="43.089487200020798"/>
    <m/>
    <m/>
    <m/>
    <m/>
    <n v="43.079598600044797"/>
    <n v="43.089487200020798"/>
    <n v="43.589613100048098"/>
    <n v="43.589613100048098"/>
    <n v="43.589613100048098"/>
    <n v="44.093253099999799"/>
    <s v="b"/>
    <n v="1"/>
    <n v="0.495387400034815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ttle"/>
    <s v="I"/>
    <x v="0"/>
    <s v="neutral"/>
    <s v="yellow"/>
    <s v="y"/>
    <n v="30"/>
    <n v="10"/>
    <n v="1"/>
    <s v="y"/>
    <n v="1"/>
    <n v="0.84833309997338802"/>
    <s v="None"/>
    <n v="1"/>
    <n v="10"/>
    <n v="30"/>
    <n v="11"/>
    <n v="44.105863100034099"/>
    <m/>
    <m/>
    <m/>
    <m/>
    <n v="44.096576700045198"/>
    <n v="44.105863100034099"/>
    <n v="44.606270900054298"/>
    <n v="44.606270900054298"/>
    <n v="44.606270900054298"/>
    <n v="45.459586500015497"/>
    <s v="y"/>
    <n v="1"/>
    <n v="0.848333099973388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Window"/>
    <s v="I"/>
    <x v="0"/>
    <s v="neutral"/>
    <s v="red"/>
    <s v="r"/>
    <n v="31"/>
    <n v="11"/>
    <n v="1"/>
    <s v="r"/>
    <n v="1"/>
    <n v="0.68749070004559998"/>
    <s v="None"/>
    <n v="1"/>
    <n v="11"/>
    <n v="31"/>
    <n v="12"/>
    <n v="45.472718900011301"/>
    <m/>
    <m/>
    <m/>
    <m/>
    <n v="45.463262300007003"/>
    <n v="45.472718900011301"/>
    <n v="45.9725373000255"/>
    <n v="45.9725373000255"/>
    <n v="45.9725373000255"/>
    <n v="46.677632500009999"/>
    <s v="r"/>
    <n v="1"/>
    <n v="0.687490700045599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hreat"/>
    <s v="I"/>
    <x v="1"/>
    <s v="emotional"/>
    <s v="blue"/>
    <s v="b"/>
    <n v="32"/>
    <n v="12"/>
    <n v="1"/>
    <s v="b"/>
    <n v="1"/>
    <n v="0.82545399997616098"/>
    <s v="None"/>
    <n v="1"/>
    <n v="12"/>
    <n v="32"/>
    <n v="5"/>
    <n v="46.6891845000209"/>
    <m/>
    <m/>
    <m/>
    <m/>
    <n v="46.680665000050702"/>
    <n v="46.6891845000209"/>
    <n v="47.189678499998898"/>
    <n v="47.189678499998898"/>
    <n v="47.189678499998898"/>
    <n v="48.027283700008397"/>
    <s v="b"/>
    <n v="1"/>
    <n v="0.825453999976160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per"/>
    <s v="I"/>
    <x v="0"/>
    <s v="neutral"/>
    <s v="yellow"/>
    <s v="y"/>
    <n v="33"/>
    <n v="13"/>
    <n v="1"/>
    <s v="y"/>
    <n v="1"/>
    <n v="0.65183819999219805"/>
    <s v="None"/>
    <n v="1"/>
    <n v="13"/>
    <n v="33"/>
    <n v="15"/>
    <n v="48.039168200048103"/>
    <m/>
    <m/>
    <m/>
    <m/>
    <n v="48.030398300033902"/>
    <n v="48.039168200048103"/>
    <n v="48.538872400007598"/>
    <n v="48.538872400007598"/>
    <n v="48.538872400007598"/>
    <n v="49.193553500051998"/>
    <s v="y"/>
    <n v="1"/>
    <n v="0.651838199992198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buse"/>
    <s v="C"/>
    <x v="2"/>
    <s v="emotional"/>
    <s v="red"/>
    <s v="r"/>
    <n v="34"/>
    <n v="14"/>
    <n v="1"/>
    <s v="r"/>
    <n v="1"/>
    <n v="0.55413760000374102"/>
    <s v="None"/>
    <n v="1"/>
    <n v="14"/>
    <n v="34"/>
    <n v="4"/>
    <n v="49.206012600043302"/>
    <m/>
    <m/>
    <m/>
    <m/>
    <n v="49.1967611000291"/>
    <n v="49.206012600043302"/>
    <n v="49.705776800052199"/>
    <n v="49.705776800052199"/>
    <n v="49.705776800052199"/>
    <n v="50.276635100017302"/>
    <s v="r"/>
    <n v="1"/>
    <n v="0.554137600003741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Injury"/>
    <s v="I"/>
    <x v="1"/>
    <s v="emotional"/>
    <s v="green"/>
    <s v="g"/>
    <n v="35"/>
    <n v="15"/>
    <n v="1"/>
    <s v="g"/>
    <n v="1"/>
    <n v="0.99535959999775503"/>
    <s v="None"/>
    <n v="1"/>
    <n v="15"/>
    <n v="35"/>
    <n v="6"/>
    <n v="50.2896577000501"/>
    <m/>
    <m/>
    <m/>
    <m/>
    <n v="50.279478000011203"/>
    <n v="50.2896577000501"/>
    <n v="50.7887588000157"/>
    <n v="50.7887588000157"/>
    <n v="50.7887588000157"/>
    <n v="51.792930800001997"/>
    <s v="g"/>
    <n v="1"/>
    <n v="0.99535959999775503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Death"/>
    <s v="I"/>
    <x v="1"/>
    <s v="emotional"/>
    <s v="green"/>
    <s v="g"/>
    <n v="36"/>
    <n v="16"/>
    <n v="1"/>
    <s v="g"/>
    <n v="1"/>
    <n v="0.46646369999507398"/>
    <s v="None"/>
    <n v="1"/>
    <n v="16"/>
    <n v="36"/>
    <n v="2"/>
    <n v="51.806299500050898"/>
    <m/>
    <m/>
    <m/>
    <m/>
    <n v="51.795710800040901"/>
    <n v="51.806299500050898"/>
    <n v="52.306526600033898"/>
    <n v="52.306526600033898"/>
    <n v="52.306526600033898"/>
    <n v="52.777292300015603"/>
    <s v="g"/>
    <n v="1"/>
    <n v="0.466463699995073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adness"/>
    <s v="I"/>
    <x v="1"/>
    <s v="emotional"/>
    <s v="yellow"/>
    <s v="y"/>
    <n v="37"/>
    <n v="17"/>
    <n v="1"/>
    <s v="y"/>
    <n v="1"/>
    <n v="0.94142889999784496"/>
    <s v="None"/>
    <n v="1"/>
    <n v="17"/>
    <n v="37"/>
    <n v="7"/>
    <n v="52.789477100013698"/>
    <m/>
    <m/>
    <m/>
    <m/>
    <n v="52.781312600010999"/>
    <n v="52.789477100013698"/>
    <n v="53.288959100027498"/>
    <n v="53.288959100027498"/>
    <n v="53.288959100027498"/>
    <n v="54.242660200048697"/>
    <s v="y"/>
    <n v="1"/>
    <n v="0.9414288999978449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nger"/>
    <s v="C"/>
    <x v="2"/>
    <s v="emotional"/>
    <s v="red"/>
    <s v="r"/>
    <n v="38"/>
    <n v="18"/>
    <n v="1"/>
    <s v="r"/>
    <n v="1"/>
    <n v="0.66106340003898301"/>
    <s v="None"/>
    <n v="1"/>
    <n v="18"/>
    <n v="38"/>
    <n v="8"/>
    <n v="54.255773500015401"/>
    <m/>
    <m/>
    <m/>
    <m/>
    <n v="54.246015600045197"/>
    <n v="54.255773500015401"/>
    <n v="54.7558067000354"/>
    <n v="54.7558067000354"/>
    <n v="54.7558067000354"/>
    <n v="55.4252508000354"/>
    <s v="r"/>
    <n v="1"/>
    <n v="0.661063400038983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encil"/>
    <s v="I"/>
    <x v="0"/>
    <s v="neutral"/>
    <s v="green"/>
    <s v="g"/>
    <n v="39"/>
    <n v="19"/>
    <n v="1"/>
    <s v="g"/>
    <n v="1"/>
    <n v="1.2780933000030901"/>
    <s v="None"/>
    <n v="1"/>
    <n v="19"/>
    <n v="39"/>
    <n v="14"/>
    <n v="55.439096900052299"/>
    <m/>
    <m/>
    <m/>
    <m/>
    <n v="55.4279975000536"/>
    <n v="55.439096900052299"/>
    <n v="55.939656700007603"/>
    <n v="55.939656700007603"/>
    <n v="55.939656700007603"/>
    <n v="57.226526400016098"/>
    <s v="g"/>
    <n v="1"/>
    <n v="1.27809330000309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ttle"/>
    <s v="I"/>
    <x v="0"/>
    <s v="neutral"/>
    <s v="yellow"/>
    <s v="y"/>
    <n v="40"/>
    <n v="0"/>
    <n v="2"/>
    <s v="y"/>
    <n v="1"/>
    <n v="0.73011679999763102"/>
    <s v="None"/>
    <n v="2"/>
    <n v="0"/>
    <n v="40"/>
    <n v="11"/>
    <n v="57.238953699998"/>
    <m/>
    <m/>
    <m/>
    <m/>
    <n v="57.229889900016097"/>
    <n v="57.238953699998"/>
    <n v="57.738884999998803"/>
    <n v="57.738884999998803"/>
    <n v="57.738884999998803"/>
    <n v="58.476385800051503"/>
    <s v="y"/>
    <n v="1"/>
    <n v="0.730116799997631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Window"/>
    <s v="I"/>
    <x v="0"/>
    <s v="neutral"/>
    <s v="red"/>
    <s v="r"/>
    <n v="41"/>
    <n v="1"/>
    <n v="2"/>
    <s v="r"/>
    <n v="1"/>
    <n v="0.69005000003380701"/>
    <s v="None"/>
    <n v="2"/>
    <n v="1"/>
    <n v="41"/>
    <n v="12"/>
    <n v="58.488955900014801"/>
    <m/>
    <m/>
    <m/>
    <m/>
    <n v="58.479014500044201"/>
    <n v="58.488955900014801"/>
    <n v="58.989489100000299"/>
    <n v="58.989489100000299"/>
    <n v="58.989489100000299"/>
    <n v="59.693289000017103"/>
    <s v="r"/>
    <n v="1"/>
    <n v="0.690050000033807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Fear"/>
    <s v="C"/>
    <x v="2"/>
    <s v="emotional"/>
    <s v="red"/>
    <s v="r"/>
    <n v="42"/>
    <n v="2"/>
    <n v="2"/>
    <s v="r"/>
    <n v="1"/>
    <n v="0.60991100000683196"/>
    <s v="None"/>
    <n v="2"/>
    <n v="2"/>
    <n v="42"/>
    <n v="0"/>
    <n v="59.705644800036602"/>
    <m/>
    <m/>
    <m/>
    <m/>
    <n v="59.697040900005902"/>
    <n v="59.705644800036602"/>
    <n v="60.2055936000542"/>
    <n v="60.2055936000542"/>
    <n v="60.2055936000542"/>
    <n v="60.825454900041201"/>
    <s v="r"/>
    <n v="1"/>
    <n v="0.6099110000068319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nic"/>
    <s v="I"/>
    <x v="1"/>
    <s v="emotional"/>
    <s v="yellow"/>
    <s v="y"/>
    <n v="43"/>
    <n v="3"/>
    <n v="2"/>
    <s v="y"/>
    <n v="1"/>
    <n v="0.67160100000910405"/>
    <s v="None"/>
    <n v="2"/>
    <n v="3"/>
    <n v="43"/>
    <n v="3"/>
    <n v="60.838879700051599"/>
    <m/>
    <m/>
    <m/>
    <m/>
    <n v="60.828392099996499"/>
    <n v="60.838879700051599"/>
    <n v="61.338606500008602"/>
    <n v="61.338606500008602"/>
    <n v="61.338606500008602"/>
    <n v="62.025633900018804"/>
    <s v="y"/>
    <n v="1"/>
    <n v="0.671601000009104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Injury"/>
    <s v="I"/>
    <x v="1"/>
    <s v="emotional"/>
    <s v="green"/>
    <s v="g"/>
    <n v="44"/>
    <n v="4"/>
    <n v="2"/>
    <s v="y"/>
    <n v="0"/>
    <n v="0.55173950002062999"/>
    <s v="None"/>
    <n v="2"/>
    <n v="4"/>
    <n v="44"/>
    <n v="6"/>
    <n v="62.039000800053998"/>
    <m/>
    <m/>
    <m/>
    <m/>
    <n v="62.029018400004098"/>
    <n v="62.039000800053998"/>
    <n v="62.538702300051199"/>
    <n v="62.538702300051199"/>
    <n v="62.538702300051199"/>
    <n v="63.092495000047997"/>
    <s v="y"/>
    <n v="0"/>
    <n v="0.551739500020629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Garden"/>
    <s v="I"/>
    <x v="0"/>
    <s v="neutral"/>
    <s v="red"/>
    <s v="r"/>
    <n v="45"/>
    <n v="5"/>
    <n v="2"/>
    <s v="r"/>
    <n v="1"/>
    <n v="0.76676220004446805"/>
    <s v="None"/>
    <n v="2"/>
    <n v="5"/>
    <n v="45"/>
    <n v="16"/>
    <n v="63.105273900029701"/>
    <m/>
    <m/>
    <m/>
    <m/>
    <n v="63.095136600022599"/>
    <n v="63.105273900029701"/>
    <n v="63.605327400029601"/>
    <n v="63.605327400029601"/>
    <n v="63.605327400029601"/>
    <n v="64.376177099998998"/>
    <s v="r"/>
    <n v="1"/>
    <n v="0.766762200044468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ok"/>
    <s v="I"/>
    <x v="0"/>
    <s v="neutral"/>
    <s v="blue"/>
    <s v="b"/>
    <n v="46"/>
    <n v="6"/>
    <n v="2"/>
    <s v="b"/>
    <n v="1"/>
    <n v="1.1928365000057899"/>
    <s v="None"/>
    <n v="2"/>
    <n v="6"/>
    <n v="46"/>
    <n v="17"/>
    <n v="64.388409700011806"/>
    <m/>
    <m/>
    <m/>
    <m/>
    <n v="64.378991400008005"/>
    <n v="64.388409700011806"/>
    <n v="64.888950400054398"/>
    <n v="64.888950400054398"/>
    <n v="64.888950400054398"/>
    <n v="66.092535900010205"/>
    <s v="b"/>
    <n v="1"/>
    <n v="1.19283650000578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able"/>
    <s v="I"/>
    <x v="0"/>
    <s v="neutral"/>
    <s v="blue"/>
    <s v="b"/>
    <n v="47"/>
    <n v="7"/>
    <n v="2"/>
    <s v="b"/>
    <n v="1"/>
    <n v="0.80164739995961998"/>
    <s v="None"/>
    <n v="2"/>
    <n v="7"/>
    <n v="47"/>
    <n v="13"/>
    <n v="66.105545199999995"/>
    <m/>
    <m/>
    <m/>
    <m/>
    <n v="66.095171000051707"/>
    <n v="66.105545199999995"/>
    <n v="66.606596500030705"/>
    <n v="66.606596500030705"/>
    <n v="66.606596500030705"/>
    <n v="67.409761500020906"/>
    <s v="b"/>
    <n v="1"/>
    <n v="0.801647399959619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per"/>
    <s v="I"/>
    <x v="0"/>
    <s v="neutral"/>
    <s v="yellow"/>
    <s v="y"/>
    <n v="48"/>
    <n v="8"/>
    <n v="2"/>
    <s v="y"/>
    <n v="1"/>
    <n v="0.95463110000127904"/>
    <s v="None"/>
    <n v="2"/>
    <n v="8"/>
    <n v="48"/>
    <n v="15"/>
    <n v="67.421294400002793"/>
    <m/>
    <m/>
    <m/>
    <m/>
    <n v="67.412572100001796"/>
    <n v="67.421294400002793"/>
    <n v="67.921626700030103"/>
    <n v="67.921626700030103"/>
    <n v="67.921626700030103"/>
    <n v="68.892428100050793"/>
    <s v="y"/>
    <n v="1"/>
    <n v="0.95463110000127904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adness"/>
    <s v="I"/>
    <x v="1"/>
    <s v="emotional"/>
    <s v="yellow"/>
    <s v="y"/>
    <n v="49"/>
    <n v="9"/>
    <n v="2"/>
    <s v="y"/>
    <n v="1"/>
    <n v="0.49165209999773601"/>
    <s v="None"/>
    <n v="2"/>
    <n v="9"/>
    <n v="49"/>
    <n v="7"/>
    <n v="68.905076200026002"/>
    <m/>
    <m/>
    <m/>
    <m/>
    <n v="68.896050500043202"/>
    <n v="68.905076200026002"/>
    <n v="69.405226500006293"/>
    <n v="69.405226500006293"/>
    <n v="69.405226500006293"/>
    <n v="69.909222700051004"/>
    <s v="y"/>
    <n v="1"/>
    <n v="0.491652099997736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nger"/>
    <s v="C"/>
    <x v="2"/>
    <s v="emotional"/>
    <s v="red"/>
    <s v="r"/>
    <n v="50"/>
    <n v="10"/>
    <n v="2"/>
    <s v="r"/>
    <n v="1"/>
    <n v="0.494083999947179"/>
    <s v="None"/>
    <n v="2"/>
    <n v="10"/>
    <n v="50"/>
    <n v="8"/>
    <n v="69.921952900010993"/>
    <m/>
    <m/>
    <m/>
    <m/>
    <n v="69.911916100012604"/>
    <n v="69.921952900010993"/>
    <n v="70.421462900005196"/>
    <n v="70.421462900005196"/>
    <n v="70.421462900005196"/>
    <n v="70.924829900031895"/>
    <s v="r"/>
    <n v="1"/>
    <n v="0.49408399994717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encil"/>
    <s v="I"/>
    <x v="0"/>
    <s v="neutral"/>
    <s v="green"/>
    <s v="g"/>
    <n v="51"/>
    <n v="11"/>
    <n v="2"/>
    <s v="y"/>
    <n v="0"/>
    <n v="0.62676130002364505"/>
    <s v="None"/>
    <n v="2"/>
    <n v="11"/>
    <n v="51"/>
    <n v="14"/>
    <n v="70.937891500012398"/>
    <m/>
    <m/>
    <m/>
    <m/>
    <n v="70.927476000040699"/>
    <n v="70.937891500012398"/>
    <n v="71.438454300048704"/>
    <n v="71.438454300048704"/>
    <n v="71.438454300048704"/>
    <n v="72.074593500001299"/>
    <s v="y"/>
    <n v="0"/>
    <n v="0.626761300023645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tone"/>
    <s v="I"/>
    <x v="0"/>
    <s v="neutral"/>
    <s v="yellow"/>
    <s v="y"/>
    <n v="52"/>
    <n v="12"/>
    <n v="2"/>
    <s v="y"/>
    <n v="1"/>
    <n v="1.04389079997781"/>
    <s v="None"/>
    <n v="2"/>
    <n v="12"/>
    <n v="52"/>
    <n v="19"/>
    <n v="72.088721900014207"/>
    <m/>
    <m/>
    <m/>
    <m/>
    <n v="72.077659100003004"/>
    <n v="72.088721900014207"/>
    <n v="72.588565000041797"/>
    <n v="72.588565000041797"/>
    <n v="72.588565000041797"/>
    <n v="73.641599900030997"/>
    <s v="y"/>
    <n v="1"/>
    <n v="1.0438907999778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Road"/>
    <s v="I"/>
    <x v="0"/>
    <s v="neutral"/>
    <s v="green"/>
    <s v="g"/>
    <n v="53"/>
    <n v="13"/>
    <n v="2"/>
    <s v="g"/>
    <n v="1"/>
    <n v="0.55901930003892597"/>
    <s v="None"/>
    <n v="2"/>
    <n v="13"/>
    <n v="53"/>
    <n v="18"/>
    <n v="73.654747200023806"/>
    <m/>
    <m/>
    <m/>
    <m/>
    <n v="73.644312700023804"/>
    <n v="73.654747200023806"/>
    <n v="74.154987700050697"/>
    <n v="74.154987700050697"/>
    <n v="74.154987700050697"/>
    <n v="74.725147700053597"/>
    <s v="g"/>
    <n v="1"/>
    <n v="0.55901930003892597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Death"/>
    <s v="I"/>
    <x v="1"/>
    <s v="emotional"/>
    <s v="green"/>
    <s v="g"/>
    <n v="54"/>
    <n v="14"/>
    <n v="2"/>
    <s v="g"/>
    <n v="1"/>
    <n v="0.485643199994228"/>
    <s v="None"/>
    <n v="2"/>
    <n v="14"/>
    <n v="54"/>
    <n v="2"/>
    <n v="74.738616500049801"/>
    <m/>
    <m/>
    <m/>
    <m/>
    <n v="74.727750700025297"/>
    <n v="74.738616500049801"/>
    <n v="75.237823800009195"/>
    <n v="75.237823800009195"/>
    <n v="75.237823800009195"/>
    <n v="75.725489900039904"/>
    <s v="g"/>
    <n v="1"/>
    <n v="0.48564319999422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hreat"/>
    <s v="I"/>
    <x v="1"/>
    <s v="emotional"/>
    <s v="blue"/>
    <s v="b"/>
    <n v="55"/>
    <n v="15"/>
    <n v="2"/>
    <s v="b"/>
    <n v="1"/>
    <n v="0.71044569998048201"/>
    <s v="None"/>
    <n v="2"/>
    <n v="15"/>
    <n v="55"/>
    <n v="5"/>
    <n v="75.738038300012704"/>
    <m/>
    <m/>
    <m/>
    <m/>
    <n v="75.728113100049001"/>
    <n v="75.738038300012704"/>
    <n v="76.238455800048499"/>
    <n v="76.238455800048499"/>
    <n v="76.238455800048499"/>
    <n v="76.958911399997305"/>
    <s v="b"/>
    <n v="1"/>
    <n v="0.710445699980482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Chair"/>
    <s v="I"/>
    <x v="0"/>
    <s v="neutral"/>
    <s v="green"/>
    <s v="g"/>
    <n v="56"/>
    <n v="16"/>
    <n v="2"/>
    <s v="g"/>
    <n v="1"/>
    <n v="0.66724490001797598"/>
    <s v="None"/>
    <n v="2"/>
    <n v="16"/>
    <n v="56"/>
    <n v="10"/>
    <n v="76.971556600008597"/>
    <m/>
    <m/>
    <m/>
    <m/>
    <n v="76.962920200021401"/>
    <n v="76.971556600008597"/>
    <n v="77.471468300034701"/>
    <n v="77.471468300034701"/>
    <n v="77.471468300034701"/>
    <n v="78.141952900041304"/>
    <s v="g"/>
    <n v="1"/>
    <n v="0.667244900017975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Violence"/>
    <s v="I"/>
    <x v="1"/>
    <s v="emotional"/>
    <s v="blue"/>
    <s v="b"/>
    <n v="57"/>
    <n v="17"/>
    <n v="2"/>
    <s v="b"/>
    <n v="1"/>
    <n v="0.53454209998017099"/>
    <s v="None"/>
    <n v="2"/>
    <n v="17"/>
    <n v="57"/>
    <n v="9"/>
    <n v="78.154588600038494"/>
    <m/>
    <m/>
    <m/>
    <m/>
    <n v="78.145719400024902"/>
    <n v="78.154588600038494"/>
    <n v="78.654295600019395"/>
    <n v="78.654295600019395"/>
    <n v="78.654295600019395"/>
    <n v="79.192460500053102"/>
    <s v="b"/>
    <n v="1"/>
    <n v="0.534542099980170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in"/>
    <s v="I"/>
    <x v="1"/>
    <s v="emotional"/>
    <s v="blue"/>
    <s v="b"/>
    <n v="58"/>
    <n v="18"/>
    <n v="2"/>
    <s v="b"/>
    <n v="1"/>
    <n v="0.68026599998120196"/>
    <s v="None"/>
    <n v="2"/>
    <n v="18"/>
    <n v="58"/>
    <n v="1"/>
    <n v="79.204597400035695"/>
    <m/>
    <m/>
    <m/>
    <m/>
    <n v="79.196022700052694"/>
    <n v="79.204597400035695"/>
    <n v="79.704609400010597"/>
    <n v="79.704609400010597"/>
    <n v="79.704609400010597"/>
    <n v="80.391957200015895"/>
    <s v="b"/>
    <n v="1"/>
    <n v="0.6802659999812019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buse"/>
    <s v="C"/>
    <x v="2"/>
    <s v="emotional"/>
    <s v="red"/>
    <s v="r"/>
    <n v="59"/>
    <n v="19"/>
    <n v="2"/>
    <s v="r"/>
    <n v="1"/>
    <n v="0.919698800018522"/>
    <s v="None"/>
    <n v="2"/>
    <n v="19"/>
    <n v="59"/>
    <n v="4"/>
    <n v="80.404912500001899"/>
    <m/>
    <m/>
    <m/>
    <m/>
    <n v="80.395591100037507"/>
    <n v="80.404912500001899"/>
    <n v="80.904831000021602"/>
    <n v="80.904831000021602"/>
    <n v="80.904831000021602"/>
    <n v="81.825772000011"/>
    <s v="r"/>
    <n v="1"/>
    <n v="0.91969880001852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Injury"/>
    <s v="I"/>
    <x v="1"/>
    <s v="emotional"/>
    <s v="green"/>
    <s v="g"/>
    <n v="60"/>
    <n v="0"/>
    <n v="3"/>
    <s v="g"/>
    <n v="1"/>
    <n v="1.5660389999975399"/>
    <s v="None"/>
    <n v="3"/>
    <n v="0"/>
    <n v="60"/>
    <n v="6"/>
    <n v="81.837868800037498"/>
    <m/>
    <m/>
    <m/>
    <m/>
    <n v="81.829185000038706"/>
    <n v="81.837868800037498"/>
    <n v="82.338538700016201"/>
    <n v="82.338538700016201"/>
    <n v="82.338538700016201"/>
    <n v="83.909141800017096"/>
    <s v="g"/>
    <n v="1"/>
    <n v="1.56603899999753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Chair"/>
    <s v="I"/>
    <x v="0"/>
    <s v="neutral"/>
    <s v="green"/>
    <s v="g"/>
    <n v="61"/>
    <n v="1"/>
    <n v="3"/>
    <s v="g"/>
    <n v="1"/>
    <n v="0.54170629999134601"/>
    <s v="None"/>
    <n v="3"/>
    <n v="1"/>
    <n v="61"/>
    <n v="10"/>
    <n v="83.920929800020502"/>
    <m/>
    <m/>
    <m/>
    <m/>
    <n v="83.911696000024605"/>
    <n v="83.920929800020502"/>
    <n v="84.420818100043107"/>
    <n v="84.420818100043107"/>
    <n v="84.420818100043107"/>
    <n v="84.974446800013496"/>
    <s v="g"/>
    <n v="1"/>
    <n v="0.541706299991346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Road"/>
    <s v="I"/>
    <x v="0"/>
    <s v="neutral"/>
    <s v="green"/>
    <s v="g"/>
    <n v="62"/>
    <n v="2"/>
    <n v="3"/>
    <s v="g"/>
    <n v="1"/>
    <n v="0.60335910000139803"/>
    <s v="None"/>
    <n v="3"/>
    <n v="2"/>
    <n v="62"/>
    <n v="18"/>
    <n v="84.9880592999979"/>
    <m/>
    <m/>
    <m/>
    <m/>
    <n v="84.976888300035995"/>
    <n v="84.9880592999979"/>
    <n v="85.487569800054104"/>
    <n v="85.487569800054104"/>
    <n v="85.487569800054104"/>
    <n v="86.091517699998803"/>
    <s v="g"/>
    <n v="1"/>
    <n v="0.60335910000139803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Fear"/>
    <s v="C"/>
    <x v="2"/>
    <s v="emotional"/>
    <s v="red"/>
    <s v="r"/>
    <n v="63"/>
    <n v="3"/>
    <n v="3"/>
    <s v="r"/>
    <n v="1"/>
    <n v="1.2632963999640101"/>
    <s v="None"/>
    <n v="3"/>
    <n v="3"/>
    <n v="63"/>
    <n v="0"/>
    <n v="86.104304100037496"/>
    <m/>
    <m/>
    <m/>
    <m/>
    <n v="86.0940250999992"/>
    <n v="86.104304100037496"/>
    <n v="86.604641400044699"/>
    <n v="86.604641400044699"/>
    <n v="86.604641400044699"/>
    <n v="87.874770299997095"/>
    <s v="r"/>
    <n v="1"/>
    <n v="1.26329639996401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nic"/>
    <s v="I"/>
    <x v="1"/>
    <s v="emotional"/>
    <s v="yellow"/>
    <s v="y"/>
    <n v="64"/>
    <n v="4"/>
    <n v="3"/>
    <s v="y"/>
    <n v="1"/>
    <n v="1.06779140001162"/>
    <s v="None"/>
    <n v="3"/>
    <n v="4"/>
    <n v="64"/>
    <n v="3"/>
    <n v="87.887412200041496"/>
    <m/>
    <m/>
    <m/>
    <m/>
    <n v="87.877388600027103"/>
    <n v="87.887412200041496"/>
    <n v="88.388667799998004"/>
    <n v="88.388667799998004"/>
    <n v="88.388667799998004"/>
    <n v="89.459308400051597"/>
    <s v="y"/>
    <n v="1"/>
    <n v="1.0677914000116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adness"/>
    <s v="I"/>
    <x v="1"/>
    <s v="emotional"/>
    <s v="yellow"/>
    <s v="y"/>
    <n v="65"/>
    <n v="5"/>
    <n v="3"/>
    <s v="y"/>
    <n v="1"/>
    <n v="0.82253559998935"/>
    <s v="None"/>
    <n v="3"/>
    <n v="5"/>
    <n v="65"/>
    <n v="7"/>
    <n v="89.470972100039901"/>
    <m/>
    <m/>
    <m/>
    <m/>
    <n v="89.462184000003603"/>
    <n v="89.470972100039901"/>
    <n v="89.971327000006497"/>
    <n v="89.971327000006497"/>
    <n v="89.971327000006497"/>
    <n v="90.808151800010805"/>
    <s v="y"/>
    <n v="1"/>
    <n v="0.8225355999893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hreat"/>
    <s v="I"/>
    <x v="1"/>
    <s v="emotional"/>
    <s v="blue"/>
    <s v="b"/>
    <n v="66"/>
    <n v="6"/>
    <n v="3"/>
    <s v="b"/>
    <n v="1"/>
    <n v="0.80548260000068606"/>
    <s v="None"/>
    <n v="3"/>
    <n v="6"/>
    <n v="66"/>
    <n v="5"/>
    <n v="90.820987700019003"/>
    <m/>
    <m/>
    <m/>
    <m/>
    <n v="90.812659400049597"/>
    <n v="90.820987700019003"/>
    <n v="91.320811300014597"/>
    <n v="91.320811300014597"/>
    <n v="91.320811300014597"/>
    <n v="92.141974900034199"/>
    <s v="b"/>
    <n v="1"/>
    <n v="0.8054826000006860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tone"/>
    <s v="I"/>
    <x v="0"/>
    <s v="neutral"/>
    <s v="yellow"/>
    <s v="y"/>
    <n v="67"/>
    <n v="7"/>
    <n v="3"/>
    <s v="y"/>
    <n v="1"/>
    <n v="0.75240990001475405"/>
    <s v="None"/>
    <n v="3"/>
    <n v="7"/>
    <n v="67"/>
    <n v="19"/>
    <n v="92.1544869000208"/>
    <m/>
    <m/>
    <m/>
    <m/>
    <n v="92.144865700043695"/>
    <n v="92.1544869000208"/>
    <n v="92.654383400047607"/>
    <n v="92.654383400047607"/>
    <n v="92.654383400047607"/>
    <n v="93.409337200049706"/>
    <s v="y"/>
    <n v="1"/>
    <n v="0.752409900014754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ok"/>
    <s v="I"/>
    <x v="0"/>
    <s v="neutral"/>
    <s v="blue"/>
    <s v="b"/>
    <n v="68"/>
    <n v="8"/>
    <n v="3"/>
    <s v="b"/>
    <n v="1"/>
    <n v="0.78341789997648403"/>
    <s v="None"/>
    <n v="3"/>
    <n v="8"/>
    <n v="68"/>
    <n v="17"/>
    <n v="93.420686700031993"/>
    <m/>
    <m/>
    <m/>
    <m/>
    <n v="93.4135289000114"/>
    <n v="93.420686700031993"/>
    <n v="93.920552900002804"/>
    <n v="93.920552900002804"/>
    <n v="93.920552900002804"/>
    <n v="94.708270600007296"/>
    <s v="b"/>
    <n v="1"/>
    <n v="0.78341789997648403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nger"/>
    <s v="C"/>
    <x v="2"/>
    <s v="emotional"/>
    <s v="red"/>
    <s v="r"/>
    <n v="69"/>
    <n v="9"/>
    <n v="3"/>
    <s v="r"/>
    <n v="1"/>
    <n v="0.51703049999196005"/>
    <s v="None"/>
    <n v="3"/>
    <n v="9"/>
    <n v="69"/>
    <n v="8"/>
    <n v="94.720521600043796"/>
    <m/>
    <m/>
    <m/>
    <m/>
    <n v="94.712106400053003"/>
    <n v="94.720521600043796"/>
    <n v="95.2209194000461"/>
    <n v="95.2209194000461"/>
    <n v="95.2209194000461"/>
    <n v="95.741244300035703"/>
    <s v="r"/>
    <n v="1"/>
    <n v="0.517030499991960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able"/>
    <s v="I"/>
    <x v="0"/>
    <s v="neutral"/>
    <s v="blue"/>
    <s v="b"/>
    <n v="70"/>
    <n v="10"/>
    <n v="3"/>
    <s v="b"/>
    <n v="1"/>
    <n v="0.64455289999023002"/>
    <s v="None"/>
    <n v="3"/>
    <n v="10"/>
    <n v="70"/>
    <n v="13"/>
    <n v="95.753973100043297"/>
    <m/>
    <m/>
    <m/>
    <m/>
    <n v="95.744392800028393"/>
    <n v="95.753973100043297"/>
    <n v="96.2535549000022"/>
    <n v="96.2535549000022"/>
    <n v="96.2535549000022"/>
    <n v="96.907713500026105"/>
    <s v="b"/>
    <n v="1"/>
    <n v="0.644552899990230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Window"/>
    <s v="I"/>
    <x v="0"/>
    <s v="neutral"/>
    <s v="red"/>
    <s v="r"/>
    <n v="71"/>
    <n v="11"/>
    <n v="3"/>
    <s v="r"/>
    <n v="1"/>
    <n v="0.78342449996853203"/>
    <s v="None"/>
    <n v="3"/>
    <n v="11"/>
    <n v="71"/>
    <n v="12"/>
    <n v="96.921074800018602"/>
    <m/>
    <m/>
    <m/>
    <m/>
    <n v="96.910783300001597"/>
    <n v="96.921074800018602"/>
    <n v="97.422254400036707"/>
    <n v="97.422254400036707"/>
    <n v="97.422254400036707"/>
    <n v="98.207728700013803"/>
    <s v="r"/>
    <n v="1"/>
    <n v="0.78342449996853203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encil"/>
    <s v="I"/>
    <x v="0"/>
    <s v="neutral"/>
    <s v="green"/>
    <s v="g"/>
    <n v="72"/>
    <n v="12"/>
    <n v="3"/>
    <s v="g"/>
    <n v="1"/>
    <n v="0.63477539998711996"/>
    <s v="None"/>
    <n v="3"/>
    <n v="12"/>
    <n v="72"/>
    <n v="14"/>
    <n v="98.220582600042604"/>
    <m/>
    <m/>
    <m/>
    <m/>
    <n v="98.210821300046504"/>
    <n v="98.220582600042604"/>
    <n v="98.720455800008494"/>
    <n v="98.720455800008494"/>
    <n v="98.720455800008494"/>
    <n v="99.357617600005995"/>
    <s v="g"/>
    <n v="1"/>
    <n v="0.6347753999871199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in"/>
    <s v="I"/>
    <x v="1"/>
    <s v="emotional"/>
    <s v="blue"/>
    <s v="b"/>
    <n v="73"/>
    <n v="13"/>
    <n v="3"/>
    <s v="r"/>
    <n v="0"/>
    <n v="0.58853479998651803"/>
    <s v="None"/>
    <n v="3"/>
    <n v="13"/>
    <n v="73"/>
    <n v="1"/>
    <n v="99.370783100021001"/>
    <m/>
    <m/>
    <m/>
    <m/>
    <n v="99.360204800031994"/>
    <n v="99.370783100021001"/>
    <n v="99.871154100051996"/>
    <n v="99.871154100051996"/>
    <n v="99.871154100051996"/>
    <n v="100.47448900004299"/>
    <s v="r"/>
    <n v="0"/>
    <n v="0.58853479998651803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Death"/>
    <s v="I"/>
    <x v="1"/>
    <s v="emotional"/>
    <s v="green"/>
    <s v="g"/>
    <n v="74"/>
    <n v="14"/>
    <n v="3"/>
    <s v="y"/>
    <n v="0"/>
    <n v="1.3914404999813901"/>
    <s v="None"/>
    <n v="3"/>
    <n v="14"/>
    <n v="74"/>
    <n v="2"/>
    <n v="100.48693150002499"/>
    <m/>
    <m/>
    <m/>
    <m/>
    <n v="100.477231400029"/>
    <n v="100.48693150002499"/>
    <n v="100.9870888"/>
    <n v="100.9870888"/>
    <n v="100.9870888"/>
    <n v="102.392223900009"/>
    <s v="y"/>
    <n v="0"/>
    <n v="1.39144049998139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Garden"/>
    <s v="I"/>
    <x v="0"/>
    <s v="neutral"/>
    <s v="red"/>
    <s v="r"/>
    <n v="75"/>
    <n v="15"/>
    <n v="3"/>
    <s v="r"/>
    <n v="1"/>
    <n v="1.03322800004389"/>
    <s v="None"/>
    <n v="3"/>
    <n v="15"/>
    <n v="75"/>
    <n v="16"/>
    <n v="102.40441460005199"/>
    <m/>
    <m/>
    <m/>
    <m/>
    <n v="102.39579030004001"/>
    <n v="102.40441460005199"/>
    <n v="102.904279300011"/>
    <n v="102.904279300011"/>
    <n v="102.904279300011"/>
    <n v="103.940876700042"/>
    <s v="r"/>
    <n v="1"/>
    <n v="1.0332280000438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Violence"/>
    <s v="I"/>
    <x v="1"/>
    <s v="emotional"/>
    <s v="blue"/>
    <s v="b"/>
    <n v="76"/>
    <n v="16"/>
    <n v="3"/>
    <s v="b"/>
    <n v="1"/>
    <n v="0.75509890000102997"/>
    <s v="None"/>
    <n v="3"/>
    <n v="16"/>
    <n v="76"/>
    <n v="9"/>
    <n v="103.953439300006"/>
    <m/>
    <m/>
    <m/>
    <m/>
    <n v="103.943761300004"/>
    <n v="103.953439300006"/>
    <n v="104.45334270002699"/>
    <n v="104.45334270002699"/>
    <n v="104.45334270002699"/>
    <n v="105.223953200038"/>
    <s v="b"/>
    <n v="1"/>
    <n v="0.75509890000102997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buse"/>
    <s v="C"/>
    <x v="2"/>
    <s v="emotional"/>
    <s v="red"/>
    <s v="r"/>
    <n v="77"/>
    <n v="17"/>
    <n v="3"/>
    <s v="r"/>
    <n v="1"/>
    <n v="0.635764800012111"/>
    <s v="None"/>
    <n v="3"/>
    <n v="17"/>
    <n v="77"/>
    <n v="4"/>
    <n v="105.23705130000501"/>
    <m/>
    <m/>
    <m/>
    <m/>
    <n v="105.227293600037"/>
    <n v="105.23705130000501"/>
    <n v="105.737805700046"/>
    <n v="105.737805700046"/>
    <n v="105.737805700046"/>
    <n v="106.375233000027"/>
    <s v="r"/>
    <n v="1"/>
    <n v="0.63576480001211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per"/>
    <s v="I"/>
    <x v="0"/>
    <s v="neutral"/>
    <s v="yellow"/>
    <s v="y"/>
    <n v="78"/>
    <n v="18"/>
    <n v="3"/>
    <s v="y"/>
    <n v="1"/>
    <n v="0.95504380000056699"/>
    <s v="None"/>
    <n v="3"/>
    <n v="18"/>
    <n v="78"/>
    <n v="15"/>
    <n v="106.386674600013"/>
    <m/>
    <m/>
    <m/>
    <m/>
    <n v="106.37914220005"/>
    <n v="106.386674600013"/>
    <n v="106.887138999998"/>
    <n v="106.887138999998"/>
    <n v="106.887138999998"/>
    <n v="107.85750280000499"/>
    <s v="y"/>
    <n v="1"/>
    <n v="0.955043800000566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ttle"/>
    <s v="I"/>
    <x v="0"/>
    <s v="neutral"/>
    <s v="yellow"/>
    <s v="y"/>
    <n v="79"/>
    <n v="19"/>
    <n v="3"/>
    <s v="y"/>
    <n v="1"/>
    <n v="0.53102150000631798"/>
    <s v="None"/>
    <n v="3"/>
    <n v="19"/>
    <n v="79"/>
    <n v="11"/>
    <n v="107.86994750000299"/>
    <m/>
    <m/>
    <m/>
    <m/>
    <n v="107.860444799996"/>
    <n v="107.86994750000299"/>
    <n v="108.37043230002701"/>
    <n v="108.37043230002701"/>
    <n v="108.37043230002701"/>
    <n v="108.907247900031"/>
    <s v="y"/>
    <n v="1"/>
    <n v="0.531021500006317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Injury"/>
    <s v="I"/>
    <x v="1"/>
    <s v="emotional"/>
    <s v="green"/>
    <s v="g"/>
    <n v="80"/>
    <n v="0"/>
    <n v="4"/>
    <s v="g"/>
    <n v="1"/>
    <n v="0.80804380000336096"/>
    <s v="None"/>
    <n v="4"/>
    <n v="0"/>
    <n v="80"/>
    <n v="6"/>
    <n v="108.92058780003499"/>
    <m/>
    <m/>
    <m/>
    <m/>
    <n v="108.910216100048"/>
    <n v="108.92058780003499"/>
    <n v="109.420181100023"/>
    <n v="109.420181100023"/>
    <n v="109.420181100023"/>
    <n v="110.240773500001"/>
    <s v="g"/>
    <n v="1"/>
    <n v="0.8080438000033609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Death"/>
    <s v="I"/>
    <x v="1"/>
    <s v="emotional"/>
    <s v="green"/>
    <s v="g"/>
    <n v="81"/>
    <n v="1"/>
    <n v="4"/>
    <s v="g"/>
    <n v="1"/>
    <n v="0.60465769999427699"/>
    <s v="None"/>
    <n v="4"/>
    <n v="1"/>
    <n v="81"/>
    <n v="2"/>
    <n v="110.254299900028"/>
    <m/>
    <m/>
    <m/>
    <m/>
    <n v="110.244442499999"/>
    <n v="110.254299900028"/>
    <n v="110.75317380001"/>
    <n v="110.75317380001"/>
    <n v="110.75317380001"/>
    <n v="111.35893000004501"/>
    <s v="g"/>
    <n v="1"/>
    <n v="0.604657699994276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ttle"/>
    <s v="I"/>
    <x v="0"/>
    <s v="neutral"/>
    <s v="yellow"/>
    <s v="y"/>
    <n v="82"/>
    <n v="2"/>
    <n v="4"/>
    <s v="y"/>
    <n v="1"/>
    <n v="1.3249778999597699"/>
    <s v="None"/>
    <n v="4"/>
    <n v="2"/>
    <n v="82"/>
    <n v="11"/>
    <n v="111.37011270003801"/>
    <m/>
    <m/>
    <m/>
    <m/>
    <n v="111.36239510000399"/>
    <n v="111.37011270003801"/>
    <n v="111.870435800054"/>
    <n v="111.870435800054"/>
    <n v="111.870435800054"/>
    <n v="113.206622300029"/>
    <s v="y"/>
    <n v="1"/>
    <n v="1.32497789995976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buse"/>
    <s v="C"/>
    <x v="2"/>
    <s v="emotional"/>
    <s v="red"/>
    <s v="r"/>
    <n v="83"/>
    <n v="3"/>
    <n v="4"/>
    <s v="b"/>
    <n v="0"/>
    <n v="0.78039930004160796"/>
    <s v="None"/>
    <n v="4"/>
    <n v="3"/>
    <n v="83"/>
    <n v="4"/>
    <n v="113.219560700003"/>
    <m/>
    <m/>
    <m/>
    <m/>
    <n v="113.210244000016"/>
    <n v="113.219560700003"/>
    <n v="113.720532600011"/>
    <n v="113.720532600011"/>
    <n v="113.720532600011"/>
    <n v="114.506904100009"/>
    <s v="b"/>
    <n v="0"/>
    <n v="0.7803993000416079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nger"/>
    <s v="C"/>
    <x v="2"/>
    <s v="emotional"/>
    <s v="red"/>
    <s v="r"/>
    <n v="84"/>
    <n v="4"/>
    <n v="4"/>
    <s v="b"/>
    <n v="0"/>
    <n v="0.58661230001598597"/>
    <s v="None"/>
    <n v="4"/>
    <n v="4"/>
    <n v="84"/>
    <n v="8"/>
    <n v="114.519821399997"/>
    <m/>
    <m/>
    <m/>
    <m/>
    <n v="114.510063800029"/>
    <n v="114.519821399997"/>
    <n v="115.01968470000401"/>
    <n v="115.01968470000401"/>
    <n v="115.01968470000401"/>
    <n v="115.607865300029"/>
    <s v="b"/>
    <n v="0"/>
    <n v="0.58661230001598597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Garden"/>
    <s v="I"/>
    <x v="0"/>
    <s v="neutral"/>
    <s v="red"/>
    <s v="r"/>
    <n v="85"/>
    <n v="5"/>
    <n v="4"/>
    <s v="b"/>
    <n v="0"/>
    <n v="0.85966500005451896"/>
    <s v="None"/>
    <n v="4"/>
    <n v="5"/>
    <n v="85"/>
    <n v="16"/>
    <n v="115.61955040000601"/>
    <m/>
    <m/>
    <m/>
    <m/>
    <n v="115.610897000005"/>
    <n v="115.61955040000601"/>
    <n v="116.120136700046"/>
    <n v="116.120136700046"/>
    <n v="116.120136700046"/>
    <n v="116.99001090001499"/>
    <s v="b"/>
    <n v="0"/>
    <n v="0.8596650000545189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able"/>
    <s v="I"/>
    <x v="0"/>
    <s v="neutral"/>
    <s v="blue"/>
    <s v="b"/>
    <n v="86"/>
    <n v="6"/>
    <n v="4"/>
    <s v="b"/>
    <n v="1"/>
    <n v="1.52910440001869"/>
    <s v="None"/>
    <n v="4"/>
    <n v="6"/>
    <n v="86"/>
    <n v="13"/>
    <n v="117.003159900021"/>
    <m/>
    <m/>
    <m/>
    <m/>
    <n v="116.993457000004"/>
    <n v="117.003159900021"/>
    <n v="117.50329720001901"/>
    <n v="117.50329720001901"/>
    <n v="117.50329720001901"/>
    <n v="119.039924600045"/>
    <s v="b"/>
    <n v="1"/>
    <n v="1.5291044000186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encil"/>
    <s v="I"/>
    <x v="0"/>
    <s v="neutral"/>
    <s v="green"/>
    <s v="g"/>
    <n v="87"/>
    <n v="7"/>
    <n v="4"/>
    <s v="g"/>
    <n v="1"/>
    <n v="0.92707370000425704"/>
    <s v="None"/>
    <n v="4"/>
    <n v="7"/>
    <n v="87"/>
    <n v="14"/>
    <n v="119.053284100024"/>
    <m/>
    <m/>
    <m/>
    <m/>
    <n v="119.043236600002"/>
    <n v="119.053284100024"/>
    <n v="119.552915800013"/>
    <n v="119.552915800013"/>
    <n v="119.552915800013"/>
    <n v="120.489744100021"/>
    <s v="g"/>
    <n v="1"/>
    <n v="0.92707370000425704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Fear"/>
    <s v="C"/>
    <x v="2"/>
    <s v="emotional"/>
    <s v="red"/>
    <s v="r"/>
    <n v="88"/>
    <n v="8"/>
    <n v="4"/>
    <s v="r"/>
    <n v="1"/>
    <n v="0.81331209995551002"/>
    <s v="None"/>
    <n v="4"/>
    <n v="8"/>
    <n v="88"/>
    <n v="0"/>
    <n v="120.503184500033"/>
    <m/>
    <m/>
    <m/>
    <m/>
    <n v="120.49368770001399"/>
    <n v="120.503184500033"/>
    <n v="121.00279020000001"/>
    <n v="121.00279020000001"/>
    <n v="121.00279020000001"/>
    <n v="121.82329349999701"/>
    <s v="r"/>
    <n v="1"/>
    <n v="0.813312099955510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Road"/>
    <s v="I"/>
    <x v="0"/>
    <s v="neutral"/>
    <s v="green"/>
    <s v="g"/>
    <n v="89"/>
    <n v="9"/>
    <n v="4"/>
    <s v="g"/>
    <n v="1"/>
    <n v="0.63282990001607597"/>
    <s v="None"/>
    <n v="4"/>
    <n v="9"/>
    <n v="89"/>
    <n v="18"/>
    <n v="121.836541700002"/>
    <m/>
    <m/>
    <m/>
    <m/>
    <n v="121.826375100004"/>
    <n v="121.836541700002"/>
    <n v="122.336349999997"/>
    <n v="122.336349999997"/>
    <n v="122.336349999997"/>
    <n v="122.972986000007"/>
    <s v="g"/>
    <n v="1"/>
    <n v="0.63282990001607597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Window"/>
    <s v="I"/>
    <x v="0"/>
    <s v="neutral"/>
    <s v="red"/>
    <s v="r"/>
    <n v="90"/>
    <n v="10"/>
    <n v="4"/>
    <s v="r"/>
    <n v="1"/>
    <n v="0.52545050001936"/>
    <s v="None"/>
    <n v="4"/>
    <n v="10"/>
    <n v="90"/>
    <n v="12"/>
    <n v="122.98649979999701"/>
    <m/>
    <m/>
    <m/>
    <m/>
    <n v="122.976021500013"/>
    <n v="122.98649979999701"/>
    <n v="123.486424200003"/>
    <n v="123.486424200003"/>
    <n v="123.486424200003"/>
    <n v="124.02310560003301"/>
    <s v="r"/>
    <n v="1"/>
    <n v="0.5254505000193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ok"/>
    <s v="I"/>
    <x v="0"/>
    <s v="neutral"/>
    <s v="blue"/>
    <s v="b"/>
    <n v="91"/>
    <n v="11"/>
    <n v="4"/>
    <s v="b"/>
    <n v="1"/>
    <n v="0.70810100005473897"/>
    <s v="None"/>
    <n v="4"/>
    <n v="11"/>
    <n v="91"/>
    <n v="17"/>
    <n v="124.035906200006"/>
    <m/>
    <m/>
    <m/>
    <m/>
    <n v="124.025946500012"/>
    <n v="124.035906200006"/>
    <n v="124.536041900049"/>
    <n v="124.536041900049"/>
    <n v="124.536041900049"/>
    <n v="125.25587870000101"/>
    <s v="b"/>
    <n v="1"/>
    <n v="0.70810100005473897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hreat"/>
    <s v="I"/>
    <x v="1"/>
    <s v="emotional"/>
    <s v="blue"/>
    <s v="b"/>
    <n v="92"/>
    <n v="12"/>
    <n v="4"/>
    <s v="b"/>
    <n v="1"/>
    <n v="0.768085299991071"/>
    <s v="None"/>
    <n v="4"/>
    <n v="12"/>
    <n v="92"/>
    <n v="5"/>
    <n v="125.269148999999"/>
    <m/>
    <m/>
    <m/>
    <m/>
    <n v="125.258586700016"/>
    <n v="125.269148999999"/>
    <n v="125.76929550000899"/>
    <n v="125.76929550000899"/>
    <n v="125.76929550000899"/>
    <n v="126.540446099999"/>
    <s v="b"/>
    <n v="1"/>
    <n v="0.76808529999107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in"/>
    <s v="I"/>
    <x v="1"/>
    <s v="emotional"/>
    <s v="blue"/>
    <s v="b"/>
    <n v="93"/>
    <n v="13"/>
    <n v="4"/>
    <s v="b"/>
    <n v="1"/>
    <n v="0.39590020000468901"/>
    <s v="None"/>
    <n v="4"/>
    <n v="13"/>
    <n v="93"/>
    <n v="1"/>
    <n v="126.553059600002"/>
    <m/>
    <m/>
    <m/>
    <m/>
    <n v="126.54291790002"/>
    <n v="126.553059600002"/>
    <n v="127.052886700024"/>
    <n v="127.052886700024"/>
    <n v="127.052886700024"/>
    <n v="127.457005000032"/>
    <s v="b"/>
    <n v="1"/>
    <n v="0.395900200004689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per"/>
    <s v="I"/>
    <x v="0"/>
    <s v="neutral"/>
    <s v="yellow"/>
    <s v="y"/>
    <n v="94"/>
    <n v="14"/>
    <n v="4"/>
    <s v="y"/>
    <n v="1"/>
    <n v="0.70921070000622399"/>
    <s v="None"/>
    <n v="4"/>
    <n v="14"/>
    <n v="94"/>
    <n v="15"/>
    <n v="127.469595200032"/>
    <m/>
    <m/>
    <m/>
    <m/>
    <n v="127.460208200034"/>
    <n v="127.469595200032"/>
    <n v="127.96953900001201"/>
    <n v="127.96953900001201"/>
    <n v="127.96953900001201"/>
    <n v="128.690941800014"/>
    <s v="y"/>
    <n v="1"/>
    <n v="0.709210700006223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nic"/>
    <s v="I"/>
    <x v="1"/>
    <s v="emotional"/>
    <s v="yellow"/>
    <s v="y"/>
    <n v="95"/>
    <n v="15"/>
    <n v="4"/>
    <s v="y"/>
    <n v="1"/>
    <n v="0.52612180000869502"/>
    <s v="None"/>
    <n v="4"/>
    <n v="15"/>
    <n v="95"/>
    <n v="3"/>
    <n v="128.70237290003499"/>
    <m/>
    <m/>
    <m/>
    <m/>
    <n v="128.694602200004"/>
    <n v="128.70237290003499"/>
    <n v="129.202620199997"/>
    <n v="129.202620199997"/>
    <n v="129.202620199997"/>
    <n v="129.73940100002801"/>
    <s v="y"/>
    <n v="1"/>
    <n v="0.526121800008695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Violence"/>
    <s v="I"/>
    <x v="1"/>
    <s v="emotional"/>
    <s v="blue"/>
    <s v="b"/>
    <n v="96"/>
    <n v="16"/>
    <n v="4"/>
    <s v="b"/>
    <n v="1"/>
    <n v="0.68214809999335502"/>
    <s v="None"/>
    <n v="4"/>
    <n v="16"/>
    <n v="96"/>
    <n v="9"/>
    <n v="129.75252650002901"/>
    <m/>
    <m/>
    <m/>
    <m/>
    <n v="129.74264380004001"/>
    <n v="129.75252650002901"/>
    <n v="130.252492200001"/>
    <n v="130.252492200001"/>
    <n v="130.252492200001"/>
    <n v="130.940575300017"/>
    <s v="b"/>
    <n v="1"/>
    <n v="0.682148099993355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Chair"/>
    <s v="I"/>
    <x v="0"/>
    <s v="neutral"/>
    <s v="green"/>
    <s v="g"/>
    <n v="97"/>
    <n v="17"/>
    <n v="4"/>
    <s v="g"/>
    <n v="1"/>
    <n v="0.51121460000285801"/>
    <s v="None"/>
    <n v="4"/>
    <n v="17"/>
    <n v="97"/>
    <n v="10"/>
    <n v="130.953138400043"/>
    <m/>
    <m/>
    <m/>
    <m/>
    <n v="130.944216100033"/>
    <n v="130.953138400043"/>
    <n v="131.45249740005201"/>
    <n v="131.45249740005201"/>
    <n v="131.45249740005201"/>
    <n v="131.97243320004699"/>
    <s v="g"/>
    <n v="1"/>
    <n v="0.511214600002858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tone"/>
    <s v="I"/>
    <x v="0"/>
    <s v="neutral"/>
    <s v="yellow"/>
    <s v="y"/>
    <n v="98"/>
    <n v="18"/>
    <n v="4"/>
    <s v="y"/>
    <n v="1"/>
    <n v="0.65317210002103798"/>
    <s v="None"/>
    <n v="4"/>
    <n v="18"/>
    <n v="98"/>
    <n v="19"/>
    <n v="131.98573640000501"/>
    <m/>
    <m/>
    <m/>
    <m/>
    <n v="131.97591730003401"/>
    <n v="131.98573640000501"/>
    <n v="132.486633400025"/>
    <n v="132.486633400025"/>
    <n v="132.486633400025"/>
    <n v="133.156341599999"/>
    <s v="y"/>
    <n v="1"/>
    <n v="0.653172100021037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adness"/>
    <s v="I"/>
    <x v="1"/>
    <s v="emotional"/>
    <s v="yellow"/>
    <s v="y"/>
    <n v="99"/>
    <n v="19"/>
    <n v="4"/>
    <s v="y"/>
    <n v="1"/>
    <n v="0.50976139999693204"/>
    <s v="None"/>
    <n v="4"/>
    <n v="19"/>
    <n v="99"/>
    <n v="7"/>
    <n v="133.16898590000301"/>
    <m/>
    <m/>
    <m/>
    <m/>
    <n v="133.15967280004401"/>
    <n v="133.16898590000301"/>
    <n v="133.668966800032"/>
    <n v="133.668966800032"/>
    <n v="133.668966800032"/>
    <n v="134.18940290005401"/>
    <s v="y"/>
    <n v="1"/>
    <n v="0.50976139999693204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Violence"/>
    <s v="I"/>
    <x v="1"/>
    <s v="emotional"/>
    <s v="blue"/>
    <s v="b"/>
    <n v="100"/>
    <n v="0"/>
    <n v="5"/>
    <s v="b"/>
    <n v="1"/>
    <n v="0.65856449998682298"/>
    <s v="None"/>
    <n v="5"/>
    <n v="0"/>
    <n v="100"/>
    <n v="9"/>
    <n v="134.202428600052"/>
    <m/>
    <m/>
    <m/>
    <m/>
    <n v="134.192567600053"/>
    <n v="134.202428600052"/>
    <n v="134.70189340005101"/>
    <n v="134.70189340005101"/>
    <n v="134.70189340005101"/>
    <n v="135.37295099999699"/>
    <s v="b"/>
    <n v="1"/>
    <n v="0.658564499986822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nger"/>
    <s v="C"/>
    <x v="2"/>
    <s v="emotional"/>
    <s v="red"/>
    <s v="r"/>
    <n v="101"/>
    <n v="1"/>
    <n v="5"/>
    <s v="r"/>
    <n v="1"/>
    <n v="0.58950890001142398"/>
    <s v="None"/>
    <n v="5"/>
    <n v="1"/>
    <n v="101"/>
    <n v="8"/>
    <n v="135.385339900036"/>
    <m/>
    <m/>
    <m/>
    <m/>
    <n v="135.376028800033"/>
    <n v="135.385339900036"/>
    <n v="135.88568570005"/>
    <n v="135.88568570005"/>
    <n v="135.88568570005"/>
    <n v="136.48970289999801"/>
    <s v="r"/>
    <n v="1"/>
    <n v="0.589508900011423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Garden"/>
    <s v="I"/>
    <x v="0"/>
    <s v="neutral"/>
    <s v="red"/>
    <s v="r"/>
    <n v="102"/>
    <n v="2"/>
    <n v="5"/>
    <s v="r"/>
    <n v="1"/>
    <n v="0.43174880003789401"/>
    <s v="None"/>
    <n v="5"/>
    <n v="2"/>
    <n v="102"/>
    <n v="16"/>
    <n v="136.50197500002099"/>
    <m/>
    <m/>
    <m/>
    <m/>
    <n v="136.493225600046"/>
    <n v="136.50197500002099"/>
    <n v="137.00218910002101"/>
    <n v="137.00218910002101"/>
    <n v="137.00218910002101"/>
    <n v="137.43970320001199"/>
    <s v="r"/>
    <n v="1"/>
    <n v="0.431748800037894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buse"/>
    <s v="C"/>
    <x v="2"/>
    <s v="emotional"/>
    <s v="red"/>
    <s v="r"/>
    <n v="103"/>
    <n v="3"/>
    <n v="5"/>
    <s v="r"/>
    <n v="1"/>
    <n v="0.40446829999564199"/>
    <s v="None"/>
    <n v="5"/>
    <n v="3"/>
    <n v="103"/>
    <n v="4"/>
    <n v="137.45254970004299"/>
    <m/>
    <m/>
    <m/>
    <m/>
    <n v="137.44234180002201"/>
    <n v="137.45254970004299"/>
    <n v="137.95228050003001"/>
    <n v="137.95228050003001"/>
    <n v="137.95228050003001"/>
    <n v="138.372730300005"/>
    <s v="r"/>
    <n v="1"/>
    <n v="0.404468299995641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hreat"/>
    <s v="I"/>
    <x v="1"/>
    <s v="emotional"/>
    <s v="blue"/>
    <s v="b"/>
    <n v="104"/>
    <n v="4"/>
    <n v="5"/>
    <s v="b"/>
    <n v="1"/>
    <n v="0.87903090001782402"/>
    <s v="None"/>
    <n v="5"/>
    <n v="4"/>
    <n v="104"/>
    <n v="5"/>
    <n v="138.38539100001799"/>
    <m/>
    <m/>
    <m/>
    <m/>
    <n v="138.37561300001099"/>
    <n v="138.38539100001799"/>
    <n v="138.88601960003101"/>
    <n v="138.88601960003101"/>
    <n v="138.88601960003101"/>
    <n v="139.77368320000801"/>
    <s v="b"/>
    <n v="1"/>
    <n v="0.879030900017824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ttle"/>
    <s v="I"/>
    <x v="0"/>
    <s v="neutral"/>
    <s v="yellow"/>
    <s v="y"/>
    <n v="105"/>
    <n v="5"/>
    <n v="5"/>
    <s v="g"/>
    <n v="0"/>
    <n v="0.66430850001052"/>
    <s v="None"/>
    <n v="5"/>
    <n v="5"/>
    <n v="105"/>
    <n v="11"/>
    <n v="139.785182500025"/>
    <m/>
    <m/>
    <m/>
    <m/>
    <n v="139.77738660003499"/>
    <n v="139.785182500025"/>
    <n v="140.285908500023"/>
    <n v="140.285908500023"/>
    <n v="140.285908500023"/>
    <n v="140.956414300017"/>
    <s v="g"/>
    <n v="0"/>
    <n v="0.6643085000105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Death"/>
    <s v="I"/>
    <x v="1"/>
    <s v="emotional"/>
    <s v="green"/>
    <s v="g"/>
    <n v="106"/>
    <n v="6"/>
    <n v="5"/>
    <s v="g"/>
    <n v="1"/>
    <n v="0.53589310002280399"/>
    <s v="None"/>
    <n v="5"/>
    <n v="6"/>
    <n v="106"/>
    <n v="2"/>
    <n v="140.968948399997"/>
    <m/>
    <m/>
    <m/>
    <m/>
    <n v="140.95950250001599"/>
    <n v="140.968948399997"/>
    <n v="141.46928940003201"/>
    <n v="141.46928940003201"/>
    <n v="141.46928940003201"/>
    <n v="142.005606600025"/>
    <s v="g"/>
    <n v="1"/>
    <n v="0.535893100022803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adness"/>
    <s v="I"/>
    <x v="1"/>
    <s v="emotional"/>
    <s v="yellow"/>
    <s v="y"/>
    <n v="107"/>
    <n v="7"/>
    <n v="5"/>
    <s v="y"/>
    <n v="1"/>
    <n v="0.57908399996813298"/>
    <s v="None"/>
    <n v="5"/>
    <n v="7"/>
    <n v="107"/>
    <n v="7"/>
    <n v="142.01885890000199"/>
    <m/>
    <m/>
    <m/>
    <m/>
    <n v="142.00932720000799"/>
    <n v="142.01885890000199"/>
    <n v="142.51850689999901"/>
    <n v="142.51850689999901"/>
    <n v="142.51850689999901"/>
    <n v="143.105427300033"/>
    <s v="y"/>
    <n v="1"/>
    <n v="0.579083999968132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able"/>
    <s v="I"/>
    <x v="0"/>
    <s v="neutral"/>
    <s v="blue"/>
    <s v="b"/>
    <n v="108"/>
    <n v="8"/>
    <n v="5"/>
    <s v="b"/>
    <n v="1"/>
    <n v="0.61515029997099102"/>
    <s v="None"/>
    <n v="5"/>
    <n v="8"/>
    <n v="108"/>
    <n v="13"/>
    <n v="143.118610800011"/>
    <m/>
    <m/>
    <m/>
    <m/>
    <n v="143.10839560005101"/>
    <n v="143.118610800011"/>
    <n v="143.618946400005"/>
    <n v="143.618946400005"/>
    <n v="143.618946400005"/>
    <n v="144.23938220000099"/>
    <s v="b"/>
    <n v="1"/>
    <n v="0.615150299970991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per"/>
    <s v="I"/>
    <x v="0"/>
    <s v="neutral"/>
    <s v="yellow"/>
    <s v="y"/>
    <n v="109"/>
    <n v="9"/>
    <n v="5"/>
    <s v="y"/>
    <n v="1"/>
    <n v="0.88420260004932005"/>
    <s v="None"/>
    <n v="5"/>
    <n v="9"/>
    <n v="109"/>
    <n v="15"/>
    <n v="144.252052300027"/>
    <m/>
    <m/>
    <m/>
    <m/>
    <n v="144.243186500039"/>
    <n v="144.252052300027"/>
    <n v="144.75259730004399"/>
    <n v="144.75259730004399"/>
    <n v="144.75259730004399"/>
    <n v="145.639186500047"/>
    <s v="y"/>
    <n v="1"/>
    <n v="0.884202600049320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Fear"/>
    <s v="C"/>
    <x v="2"/>
    <s v="emotional"/>
    <s v="red"/>
    <s v="r"/>
    <n v="110"/>
    <n v="10"/>
    <n v="5"/>
    <s v="r"/>
    <n v="1"/>
    <n v="0.64070019999053296"/>
    <s v="None"/>
    <n v="5"/>
    <n v="10"/>
    <n v="110"/>
    <n v="0"/>
    <n v="145.65182930003999"/>
    <m/>
    <m/>
    <m/>
    <m/>
    <n v="145.641704800014"/>
    <n v="145.65182930003999"/>
    <n v="146.150910200027"/>
    <n v="146.150910200027"/>
    <n v="146.150910200027"/>
    <n v="146.80450620001599"/>
    <s v="r"/>
    <n v="1"/>
    <n v="0.6407001999905329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Chair"/>
    <s v="I"/>
    <x v="0"/>
    <s v="neutral"/>
    <s v="green"/>
    <s v="g"/>
    <n v="111"/>
    <n v="11"/>
    <n v="5"/>
    <s v="g"/>
    <n v="1"/>
    <n v="0.94751010002801195"/>
    <s v="None"/>
    <n v="5"/>
    <n v="11"/>
    <n v="111"/>
    <n v="10"/>
    <n v="146.81730890000401"/>
    <m/>
    <m/>
    <m/>
    <m/>
    <n v="146.80775220005299"/>
    <n v="146.81730890000401"/>
    <n v="147.31956700002701"/>
    <n v="147.31956700002701"/>
    <n v="147.31956700002701"/>
    <n v="148.27081060002001"/>
    <s v="g"/>
    <n v="1"/>
    <n v="0.9475101000280119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nic"/>
    <s v="I"/>
    <x v="1"/>
    <s v="emotional"/>
    <s v="yellow"/>
    <s v="y"/>
    <n v="112"/>
    <n v="12"/>
    <n v="5"/>
    <s v="y"/>
    <n v="1"/>
    <n v="1.0612978999852201"/>
    <s v="None"/>
    <n v="5"/>
    <n v="12"/>
    <n v="112"/>
    <n v="3"/>
    <n v="148.28448600001801"/>
    <m/>
    <m/>
    <m/>
    <m/>
    <n v="148.27352470002299"/>
    <n v="148.28448600001801"/>
    <n v="148.78373880003301"/>
    <n v="148.78373880003301"/>
    <n v="148.78373880003301"/>
    <n v="149.85470720002101"/>
    <s v="y"/>
    <n v="1"/>
    <n v="1.06129789998522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tone"/>
    <s v="I"/>
    <x v="0"/>
    <s v="neutral"/>
    <s v="yellow"/>
    <s v="y"/>
    <n v="113"/>
    <n v="13"/>
    <n v="5"/>
    <s v="y"/>
    <n v="1"/>
    <n v="0.44341379997786101"/>
    <s v="None"/>
    <n v="5"/>
    <n v="13"/>
    <n v="113"/>
    <n v="19"/>
    <n v="149.86728130001501"/>
    <m/>
    <m/>
    <m/>
    <m/>
    <n v="149.857595800014"/>
    <n v="149.86728130001501"/>
    <n v="150.36730480002001"/>
    <n v="150.36730480002001"/>
    <n v="150.36730480002001"/>
    <n v="150.82110220001701"/>
    <s v="y"/>
    <n v="1"/>
    <n v="0.443413799977861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Window"/>
    <s v="I"/>
    <x v="0"/>
    <s v="neutral"/>
    <s v="red"/>
    <s v="r"/>
    <n v="114"/>
    <n v="14"/>
    <n v="5"/>
    <s v="r"/>
    <n v="1"/>
    <n v="1.34193769999546"/>
    <s v="None"/>
    <n v="5"/>
    <n v="14"/>
    <n v="114"/>
    <n v="12"/>
    <n v="150.83406290004399"/>
    <m/>
    <m/>
    <m/>
    <m/>
    <n v="150.823476600053"/>
    <n v="150.83406290004399"/>
    <n v="151.334182700025"/>
    <n v="151.334182700025"/>
    <n v="151.334182700025"/>
    <n v="152.68847900000401"/>
    <s v="r"/>
    <n v="1"/>
    <n v="1.3419376999954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Injury"/>
    <s v="I"/>
    <x v="1"/>
    <s v="emotional"/>
    <s v="green"/>
    <s v="g"/>
    <n v="115"/>
    <n v="15"/>
    <n v="5"/>
    <s v="b"/>
    <n v="0"/>
    <n v="0.71817649999866195"/>
    <s v="None"/>
    <n v="5"/>
    <n v="15"/>
    <n v="115"/>
    <n v="6"/>
    <n v="152.701880100008"/>
    <m/>
    <m/>
    <m/>
    <m/>
    <n v="152.69104540004599"/>
    <n v="152.701880100008"/>
    <n v="153.20305599999801"/>
    <n v="153.20305599999801"/>
    <n v="153.20305599999801"/>
    <n v="153.92172240000201"/>
    <s v="b"/>
    <n v="0"/>
    <n v="0.7181764999986619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in"/>
    <s v="I"/>
    <x v="1"/>
    <s v="emotional"/>
    <s v="blue"/>
    <s v="b"/>
    <n v="116"/>
    <n v="16"/>
    <n v="5"/>
    <s v="b"/>
    <n v="1"/>
    <n v="0.45578850002493698"/>
    <s v="None"/>
    <n v="5"/>
    <n v="16"/>
    <n v="116"/>
    <n v="1"/>
    <n v="153.93467490002499"/>
    <m/>
    <m/>
    <m/>
    <m/>
    <n v="153.924359900003"/>
    <n v="153.93467490002499"/>
    <n v="154.43481780000701"/>
    <n v="154.43481780000701"/>
    <n v="154.43481780000701"/>
    <n v="154.90612260001899"/>
    <s v="b"/>
    <n v="1"/>
    <n v="0.455788500024936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Road"/>
    <s v="I"/>
    <x v="0"/>
    <s v="neutral"/>
    <s v="green"/>
    <s v="g"/>
    <n v="117"/>
    <n v="17"/>
    <n v="5"/>
    <s v="g"/>
    <n v="1"/>
    <n v="1.3771563000045699"/>
    <s v="None"/>
    <n v="5"/>
    <n v="17"/>
    <n v="117"/>
    <n v="18"/>
    <n v="154.918179600033"/>
    <m/>
    <m/>
    <m/>
    <m/>
    <n v="154.91045360005199"/>
    <n v="154.918179600033"/>
    <n v="155.418170800025"/>
    <n v="155.418170800025"/>
    <n v="155.418170800025"/>
    <n v="156.80329190002499"/>
    <s v="g"/>
    <n v="1"/>
    <n v="1.37715630000456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ok"/>
    <s v="I"/>
    <x v="0"/>
    <s v="neutral"/>
    <s v="blue"/>
    <s v="b"/>
    <n v="118"/>
    <n v="18"/>
    <n v="5"/>
    <s v="b"/>
    <n v="1"/>
    <n v="0.88113860000157695"/>
    <s v="None"/>
    <n v="5"/>
    <n v="18"/>
    <n v="118"/>
    <n v="17"/>
    <n v="156.816724200034"/>
    <m/>
    <m/>
    <m/>
    <m/>
    <n v="156.80573960003599"/>
    <n v="156.816724200034"/>
    <n v="157.31669440004001"/>
    <n v="157.31669440004001"/>
    <n v="157.31669440004001"/>
    <n v="158.20308639999701"/>
    <s v="b"/>
    <n v="1"/>
    <n v="0.8811386000015769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encil"/>
    <s v="I"/>
    <x v="0"/>
    <s v="neutral"/>
    <s v="green"/>
    <s v="g"/>
    <n v="119"/>
    <n v="19"/>
    <n v="5"/>
    <s v="g"/>
    <n v="1"/>
    <n v="1.3046284000156401"/>
    <s v="None"/>
    <n v="5"/>
    <n v="19"/>
    <n v="119"/>
    <n v="14"/>
    <n v="158.216641700011"/>
    <m/>
    <m/>
    <m/>
    <m/>
    <n v="158.20541920000599"/>
    <n v="158.216641700011"/>
    <n v="158.71699640003499"/>
    <n v="158.71699640003499"/>
    <n v="158.71699640003499"/>
    <n v="160.03793849999701"/>
    <s v="g"/>
    <n v="1"/>
    <n v="1.30462840001564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Window"/>
    <s v="I"/>
    <x v="0"/>
    <s v="neutral"/>
    <s v="red"/>
    <s v="r"/>
    <n v="120"/>
    <n v="0"/>
    <n v="6"/>
    <s v="r"/>
    <n v="1"/>
    <n v="0.87399380002170801"/>
    <s v="None"/>
    <n v="6"/>
    <n v="0"/>
    <n v="120"/>
    <n v="12"/>
    <n v="160.05096960003701"/>
    <m/>
    <m/>
    <m/>
    <m/>
    <n v="160.040430300054"/>
    <n v="160.05096960003701"/>
    <n v="160.55141800001701"/>
    <n v="160.55141800001701"/>
    <n v="160.55141800001701"/>
    <n v="161.43788760004099"/>
    <s v="r"/>
    <n v="1"/>
    <n v="0.873993800021708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Fear"/>
    <s v="C"/>
    <x v="2"/>
    <s v="emotional"/>
    <s v="red"/>
    <s v="r"/>
    <n v="121"/>
    <n v="1"/>
    <n v="6"/>
    <s v="r"/>
    <n v="1"/>
    <n v="0.45316889998503002"/>
    <s v="None"/>
    <n v="6"/>
    <n v="1"/>
    <n v="121"/>
    <n v="0"/>
    <n v="161.45221720001399"/>
    <m/>
    <m/>
    <m/>
    <m/>
    <n v="161.440570000035"/>
    <n v="161.45221720001399"/>
    <n v="161.951892900047"/>
    <n v="161.951892900047"/>
    <n v="161.951892900047"/>
    <n v="162.405878700024"/>
    <s v="r"/>
    <n v="1"/>
    <n v="0.453168899985030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Road"/>
    <s v="I"/>
    <x v="0"/>
    <s v="neutral"/>
    <s v="green"/>
    <s v="g"/>
    <n v="122"/>
    <n v="2"/>
    <n v="6"/>
    <s v="g"/>
    <n v="1"/>
    <n v="1.08514829998603"/>
    <s v="None"/>
    <n v="6"/>
    <n v="2"/>
    <n v="122"/>
    <n v="18"/>
    <n v="162.418305700004"/>
    <m/>
    <m/>
    <m/>
    <m/>
    <n v="162.40850930003199"/>
    <n v="162.418305700004"/>
    <n v="162.91735820000699"/>
    <n v="162.91735820000699"/>
    <n v="162.91735820000699"/>
    <n v="164.00646570004699"/>
    <s v="g"/>
    <n v="1"/>
    <n v="1.08514829998603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in"/>
    <s v="I"/>
    <x v="1"/>
    <s v="emotional"/>
    <s v="blue"/>
    <s v="b"/>
    <n v="123"/>
    <n v="3"/>
    <n v="6"/>
    <s v="b"/>
    <n v="1"/>
    <n v="1.73161239997716"/>
    <s v="None"/>
    <n v="6"/>
    <n v="3"/>
    <n v="123"/>
    <n v="1"/>
    <n v="164.01810180000001"/>
    <m/>
    <m/>
    <m/>
    <m/>
    <n v="164.00891600002001"/>
    <n v="164.01810180000001"/>
    <n v="164.51799439999701"/>
    <n v="164.51799439999701"/>
    <n v="164.51799439999701"/>
    <n v="166.256115399999"/>
    <s v="b"/>
    <n v="1"/>
    <n v="1.7316123999771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Injury"/>
    <s v="I"/>
    <x v="1"/>
    <s v="emotional"/>
    <s v="green"/>
    <s v="g"/>
    <n v="124"/>
    <n v="4"/>
    <n v="6"/>
    <s v="g"/>
    <n v="1"/>
    <n v="2.9246858000406002"/>
    <s v="None"/>
    <n v="6"/>
    <n v="4"/>
    <n v="124"/>
    <n v="6"/>
    <n v="166.26736050000099"/>
    <m/>
    <m/>
    <m/>
    <m/>
    <n v="166.25970460003001"/>
    <n v="166.26736050000099"/>
    <n v="166.767938100034"/>
    <n v="166.767938100034"/>
    <n v="166.767938100034"/>
    <n v="169.703065800014"/>
    <s v="g"/>
    <n v="1"/>
    <n v="2.92468580004060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buse"/>
    <s v="C"/>
    <x v="2"/>
    <s v="emotional"/>
    <s v="red"/>
    <s v="r"/>
    <n v="125"/>
    <n v="5"/>
    <n v="6"/>
    <s v="r"/>
    <n v="1"/>
    <n v="0.87632409995421701"/>
    <s v="None"/>
    <n v="6"/>
    <n v="5"/>
    <n v="125"/>
    <n v="4"/>
    <n v="169.716186200035"/>
    <m/>
    <m/>
    <m/>
    <m/>
    <n v="169.70533190003999"/>
    <n v="169.716186200035"/>
    <n v="170.215964500035"/>
    <n v="170.215964500035"/>
    <n v="170.215964500035"/>
    <n v="171.102861200051"/>
    <s v="r"/>
    <n v="1"/>
    <n v="0.876324099954217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ttle"/>
    <s v="I"/>
    <x v="0"/>
    <s v="neutral"/>
    <s v="yellow"/>
    <s v="y"/>
    <n v="126"/>
    <n v="6"/>
    <n v="6"/>
    <s v="y"/>
    <n v="1"/>
    <n v="1.42569419997744"/>
    <s v="None"/>
    <n v="6"/>
    <n v="6"/>
    <n v="126"/>
    <n v="11"/>
    <n v="171.11613830004299"/>
    <m/>
    <m/>
    <m/>
    <m/>
    <n v="171.10514729999699"/>
    <n v="171.11613830004299"/>
    <n v="171.61626540002101"/>
    <n v="171.61626540002101"/>
    <n v="171.61626540002101"/>
    <n v="173.05305909999799"/>
    <s v="y"/>
    <n v="1"/>
    <n v="1.42569419997744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encil"/>
    <s v="I"/>
    <x v="0"/>
    <s v="neutral"/>
    <s v="green"/>
    <s v="g"/>
    <n v="127"/>
    <n v="7"/>
    <n v="6"/>
    <s v="g"/>
    <n v="1"/>
    <n v="0.85728140000719499"/>
    <s v="None"/>
    <n v="6"/>
    <n v="7"/>
    <n v="127"/>
    <n v="14"/>
    <n v="173.06672709999799"/>
    <m/>
    <m/>
    <m/>
    <m/>
    <n v="173.056204100023"/>
    <n v="173.06672709999799"/>
    <n v="173.567324500007"/>
    <n v="173.567324500007"/>
    <n v="173.567324500007"/>
    <n v="174.438759200042"/>
    <s v="g"/>
    <n v="1"/>
    <n v="0.857281400007194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Chair"/>
    <s v="I"/>
    <x v="0"/>
    <s v="neutral"/>
    <s v="green"/>
    <s v="g"/>
    <n v="128"/>
    <n v="8"/>
    <n v="6"/>
    <s v="g"/>
    <n v="1"/>
    <n v="0.51825569994980403"/>
    <s v="None"/>
    <n v="6"/>
    <n v="8"/>
    <n v="128"/>
    <n v="10"/>
    <n v="174.45194640004701"/>
    <m/>
    <m/>
    <m/>
    <m/>
    <n v="174.44268580002199"/>
    <n v="174.45194640004701"/>
    <n v="174.95132810005401"/>
    <n v="174.95132810005401"/>
    <n v="174.95132810005401"/>
    <n v="175.47280490002501"/>
    <s v="g"/>
    <n v="1"/>
    <n v="0.51825569994980403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per"/>
    <s v="I"/>
    <x v="0"/>
    <s v="neutral"/>
    <s v="yellow"/>
    <s v="y"/>
    <n v="129"/>
    <n v="9"/>
    <n v="6"/>
    <s v="y"/>
    <n v="1"/>
    <n v="1.9529492000001401"/>
    <s v="None"/>
    <n v="6"/>
    <n v="9"/>
    <n v="129"/>
    <n v="15"/>
    <n v="175.484462900029"/>
    <m/>
    <m/>
    <m/>
    <m/>
    <n v="175.47751250001599"/>
    <n v="175.484462900029"/>
    <n v="175.98534040001601"/>
    <n v="175.98534040001601"/>
    <n v="175.98534040001601"/>
    <n v="177.93873260001399"/>
    <s v="y"/>
    <n v="1"/>
    <n v="1.95294920000014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adness"/>
    <s v="I"/>
    <x v="1"/>
    <s v="emotional"/>
    <s v="yellow"/>
    <s v="y"/>
    <n v="130"/>
    <n v="10"/>
    <n v="6"/>
    <s v="y"/>
    <n v="1"/>
    <n v="0.44798490003449798"/>
    <s v="None"/>
    <n v="6"/>
    <n v="10"/>
    <n v="130"/>
    <n v="7"/>
    <n v="177.950380499998"/>
    <m/>
    <m/>
    <m/>
    <m/>
    <n v="177.942140300001"/>
    <n v="177.950380499998"/>
    <n v="178.45110440003899"/>
    <n v="178.45110440003899"/>
    <n v="178.45110440003899"/>
    <n v="178.90494590002299"/>
    <s v="y"/>
    <n v="1"/>
    <n v="0.447984900034497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Garden"/>
    <s v="I"/>
    <x v="0"/>
    <s v="neutral"/>
    <s v="red"/>
    <s v="r"/>
    <n v="131"/>
    <n v="11"/>
    <n v="6"/>
    <s v="r"/>
    <n v="1"/>
    <n v="0.92818050005007502"/>
    <s v="None"/>
    <n v="6"/>
    <n v="11"/>
    <n v="131"/>
    <n v="16"/>
    <n v="178.91708360001201"/>
    <m/>
    <m/>
    <m/>
    <m/>
    <n v="178.90892010001599"/>
    <n v="178.91708360001201"/>
    <n v="179.41691950004301"/>
    <n v="179.41691950004301"/>
    <n v="179.41691950004301"/>
    <n v="180.35532510001201"/>
    <s v="r"/>
    <n v="1"/>
    <n v="0.928180500050075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nger"/>
    <s v="C"/>
    <x v="2"/>
    <s v="emotional"/>
    <s v="red"/>
    <s v="r"/>
    <n v="132"/>
    <n v="12"/>
    <n v="6"/>
    <s v="r"/>
    <n v="1"/>
    <n v="0.53699400002369602"/>
    <s v="None"/>
    <n v="6"/>
    <n v="12"/>
    <n v="132"/>
    <n v="8"/>
    <n v="180.367003799998"/>
    <m/>
    <m/>
    <m/>
    <m/>
    <n v="180.358078500023"/>
    <n v="180.367003799998"/>
    <n v="180.86783500004"/>
    <n v="180.86783500004"/>
    <n v="180.86783500004"/>
    <n v="181.41916470002599"/>
    <s v="r"/>
    <n v="1"/>
    <n v="0.536994000023696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nic"/>
    <s v="I"/>
    <x v="1"/>
    <s v="emotional"/>
    <s v="yellow"/>
    <s v="y"/>
    <n v="133"/>
    <n v="13"/>
    <n v="6"/>
    <s v="y"/>
    <n v="1"/>
    <n v="1.1023363000131201"/>
    <s v="None"/>
    <n v="6"/>
    <n v="13"/>
    <n v="133"/>
    <n v="3"/>
    <n v="181.432248299999"/>
    <m/>
    <m/>
    <m/>
    <m/>
    <n v="181.42163740005299"/>
    <n v="181.432248299999"/>
    <n v="181.93243730004099"/>
    <n v="181.93243730004099"/>
    <n v="181.93243730004099"/>
    <n v="183.03641660004999"/>
    <s v="y"/>
    <n v="1"/>
    <n v="1.10233630001312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Violence"/>
    <s v="I"/>
    <x v="1"/>
    <s v="emotional"/>
    <s v="blue"/>
    <s v="b"/>
    <n v="134"/>
    <n v="14"/>
    <n v="6"/>
    <s v="b"/>
    <n v="1"/>
    <n v="0.83752870000898805"/>
    <s v="None"/>
    <n v="6"/>
    <n v="14"/>
    <n v="134"/>
    <n v="9"/>
    <n v="183.04923040000699"/>
    <m/>
    <m/>
    <m/>
    <m/>
    <n v="183.03907340002399"/>
    <n v="183.04923040000699"/>
    <n v="183.54957060003599"/>
    <n v="183.54957060003599"/>
    <n v="183.54957060003599"/>
    <n v="184.40309640002599"/>
    <s v="b"/>
    <n v="1"/>
    <n v="0.837528700008988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ok"/>
    <s v="I"/>
    <x v="0"/>
    <s v="neutral"/>
    <s v="blue"/>
    <s v="b"/>
    <n v="135"/>
    <n v="15"/>
    <n v="6"/>
    <s v="b"/>
    <n v="1"/>
    <n v="0.56267229997320101"/>
    <s v="None"/>
    <n v="6"/>
    <n v="15"/>
    <n v="135"/>
    <n v="17"/>
    <n v="184.41569829999901"/>
    <m/>
    <m/>
    <m/>
    <m/>
    <n v="184.40597550000501"/>
    <n v="184.41569829999901"/>
    <n v="184.915738700015"/>
    <n v="184.915738700015"/>
    <n v="184.915738700015"/>
    <n v="185.48539830005001"/>
    <s v="b"/>
    <n v="1"/>
    <n v="0.562672299973201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tone"/>
    <s v="I"/>
    <x v="0"/>
    <s v="neutral"/>
    <s v="yellow"/>
    <s v="y"/>
    <n v="136"/>
    <n v="16"/>
    <n v="6"/>
    <s v="y"/>
    <n v="1"/>
    <n v="0.80883680004626501"/>
    <s v="None"/>
    <n v="6"/>
    <n v="16"/>
    <n v="136"/>
    <n v="19"/>
    <n v="185.49937000003399"/>
    <m/>
    <m/>
    <m/>
    <m/>
    <n v="185.48788170004201"/>
    <n v="185.49937000003399"/>
    <n v="185.99913730000799"/>
    <n v="185.99913730000799"/>
    <n v="185.99913730000799"/>
    <n v="186.81983839999799"/>
    <s v="y"/>
    <n v="1"/>
    <n v="0.808836800046265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able"/>
    <s v="I"/>
    <x v="0"/>
    <s v="neutral"/>
    <s v="blue"/>
    <s v="b"/>
    <n v="137"/>
    <n v="17"/>
    <n v="6"/>
    <s v="b"/>
    <n v="1"/>
    <n v="0.92818739998620003"/>
    <s v="None"/>
    <n v="6"/>
    <n v="17"/>
    <n v="137"/>
    <n v="13"/>
    <n v="186.83335560001399"/>
    <m/>
    <m/>
    <m/>
    <m/>
    <n v="186.82196410000299"/>
    <n v="186.83335560001399"/>
    <n v="187.33238530001799"/>
    <n v="187.33238530001799"/>
    <n v="187.33238530001799"/>
    <n v="188.27056360000199"/>
    <s v="b"/>
    <n v="1"/>
    <n v="0.92818739998620003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hreat"/>
    <s v="I"/>
    <x v="1"/>
    <s v="emotional"/>
    <s v="blue"/>
    <s v="b"/>
    <n v="138"/>
    <n v="18"/>
    <n v="6"/>
    <s v="b"/>
    <n v="1"/>
    <n v="0.51718590001109899"/>
    <s v="None"/>
    <n v="6"/>
    <n v="18"/>
    <n v="138"/>
    <n v="5"/>
    <n v="188.282992000051"/>
    <m/>
    <m/>
    <m/>
    <m/>
    <n v="188.272833499999"/>
    <n v="188.282992000051"/>
    <n v="188.78344440000299"/>
    <n v="188.78344440000299"/>
    <n v="188.78344440000299"/>
    <n v="189.30352539999799"/>
    <s v="b"/>
    <n v="1"/>
    <n v="0.517185900011098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Death"/>
    <s v="I"/>
    <x v="1"/>
    <s v="emotional"/>
    <s v="green"/>
    <s v="g"/>
    <n v="139"/>
    <n v="19"/>
    <n v="6"/>
    <s v="g"/>
    <n v="1"/>
    <n v="0.66656209999928195"/>
    <s v="None"/>
    <n v="6"/>
    <n v="19"/>
    <n v="139"/>
    <n v="2"/>
    <n v="189.31659900001199"/>
    <m/>
    <m/>
    <m/>
    <m/>
    <n v="189.30734230001599"/>
    <n v="189.31659900001199"/>
    <n v="189.816753400024"/>
    <n v="189.816753400024"/>
    <n v="189.816753400024"/>
    <n v="190.487337500031"/>
    <s v="g"/>
    <n v="1"/>
    <n v="0.6665620999992819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adness"/>
    <s v="I"/>
    <x v="1"/>
    <s v="emotional"/>
    <s v="yellow"/>
    <s v="y"/>
    <n v="140"/>
    <n v="0"/>
    <n v="7"/>
    <s v="y"/>
    <n v="1"/>
    <n v="0.76736759999766901"/>
    <s v="None"/>
    <n v="7"/>
    <n v="0"/>
    <n v="140"/>
    <n v="7"/>
    <n v="190.50017660000501"/>
    <m/>
    <m/>
    <m/>
    <m/>
    <n v="190.49021420004999"/>
    <n v="190.50017660000501"/>
    <n v="191.00004270003399"/>
    <n v="191.00004270003399"/>
    <n v="191.00004270003399"/>
    <n v="191.77046930004099"/>
    <s v="y"/>
    <n v="1"/>
    <n v="0.767367599997669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per"/>
    <s v="I"/>
    <x v="0"/>
    <s v="neutral"/>
    <s v="yellow"/>
    <s v="y"/>
    <n v="141"/>
    <n v="1"/>
    <n v="7"/>
    <s v="y"/>
    <n v="1"/>
    <n v="0.47273949999362203"/>
    <s v="None"/>
    <n v="7"/>
    <n v="1"/>
    <n v="141"/>
    <n v="15"/>
    <n v="191.783543500001"/>
    <m/>
    <m/>
    <m/>
    <m/>
    <n v="191.77328740002099"/>
    <n v="191.783543500001"/>
    <n v="192.283478600031"/>
    <n v="192.283478600031"/>
    <n v="192.283478600031"/>
    <n v="192.769896000041"/>
    <s v="y"/>
    <n v="1"/>
    <n v="0.47273949999362203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nger"/>
    <s v="C"/>
    <x v="2"/>
    <s v="emotional"/>
    <s v="red"/>
    <s v="r"/>
    <n v="142"/>
    <n v="2"/>
    <n v="7"/>
    <s v="r"/>
    <n v="1"/>
    <n v="0.68490630004089303"/>
    <s v="None"/>
    <n v="7"/>
    <n v="2"/>
    <n v="142"/>
    <n v="8"/>
    <n v="192.783318500034"/>
    <m/>
    <m/>
    <m/>
    <m/>
    <n v="192.77331030002"/>
    <n v="192.783318500034"/>
    <n v="193.283382300054"/>
    <n v="193.283382300054"/>
    <n v="193.283382300054"/>
    <n v="193.97168080002299"/>
    <s v="r"/>
    <n v="1"/>
    <n v="0.68490630004089303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ttle"/>
    <s v="I"/>
    <x v="0"/>
    <s v="neutral"/>
    <s v="yellow"/>
    <s v="y"/>
    <n v="143"/>
    <n v="3"/>
    <n v="7"/>
    <s v="y"/>
    <n v="1"/>
    <n v="0.82329950004350305"/>
    <s v="None"/>
    <n v="7"/>
    <n v="3"/>
    <n v="143"/>
    <n v="11"/>
    <n v="193.99884050001799"/>
    <m/>
    <m/>
    <m/>
    <m/>
    <n v="193.976286500052"/>
    <n v="193.99884050001799"/>
    <n v="194.483307800022"/>
    <n v="194.483307800022"/>
    <n v="194.483307800022"/>
    <n v="195.32108660001501"/>
    <s v="y"/>
    <n v="1"/>
    <n v="0.823299500043503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ok"/>
    <s v="I"/>
    <x v="0"/>
    <s v="neutral"/>
    <s v="blue"/>
    <s v="b"/>
    <n v="144"/>
    <n v="4"/>
    <n v="7"/>
    <s v="b"/>
    <n v="1"/>
    <n v="0.730286500009242"/>
    <s v="None"/>
    <n v="7"/>
    <n v="4"/>
    <n v="144"/>
    <n v="17"/>
    <n v="195.333017600001"/>
    <m/>
    <m/>
    <m/>
    <m/>
    <n v="195.32471850002099"/>
    <n v="195.333017600001"/>
    <n v="195.83289170003201"/>
    <n v="195.83289170003201"/>
    <n v="195.83289170003201"/>
    <n v="196.571837000024"/>
    <s v="b"/>
    <n v="1"/>
    <n v="0.73028650000924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Violence"/>
    <s v="I"/>
    <x v="1"/>
    <s v="emotional"/>
    <s v="blue"/>
    <s v="b"/>
    <n v="145"/>
    <n v="5"/>
    <n v="7"/>
    <s v="b"/>
    <n v="1"/>
    <n v="0.44067300000460802"/>
    <s v="None"/>
    <n v="7"/>
    <n v="5"/>
    <n v="145"/>
    <n v="9"/>
    <n v="196.59947510005401"/>
    <m/>
    <m/>
    <m/>
    <m/>
    <n v="196.57677169999801"/>
    <n v="196.59947510005401"/>
    <n v="197.08194140001399"/>
    <n v="197.08194140001399"/>
    <n v="197.08194140001399"/>
    <n v="197.535842500044"/>
    <s v="b"/>
    <n v="1"/>
    <n v="0.440673000004608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Road"/>
    <s v="I"/>
    <x v="0"/>
    <s v="neutral"/>
    <s v="green"/>
    <s v="g"/>
    <n v="146"/>
    <n v="6"/>
    <n v="7"/>
    <s v="g"/>
    <n v="1"/>
    <n v="0.89186480001080704"/>
    <s v="None"/>
    <n v="7"/>
    <n v="6"/>
    <n v="146"/>
    <n v="18"/>
    <n v="197.54902710003"/>
    <m/>
    <m/>
    <m/>
    <m/>
    <n v="197.538217300025"/>
    <n v="197.54902710003"/>
    <n v="198.04857290000601"/>
    <n v="198.04857290000601"/>
    <n v="198.04857290000601"/>
    <n v="198.95416750002099"/>
    <s v="g"/>
    <n v="1"/>
    <n v="0.89186480001080704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Window"/>
    <s v="I"/>
    <x v="0"/>
    <s v="neutral"/>
    <s v="red"/>
    <s v="r"/>
    <n v="147"/>
    <n v="7"/>
    <n v="7"/>
    <s v="r"/>
    <n v="1"/>
    <n v="0.73186890000943094"/>
    <s v="None"/>
    <n v="7"/>
    <n v="7"/>
    <n v="147"/>
    <n v="12"/>
    <n v="198.96650890004801"/>
    <m/>
    <m/>
    <m/>
    <m/>
    <n v="198.95707750000199"/>
    <n v="198.96650890004801"/>
    <n v="199.465429900039"/>
    <n v="199.465429900039"/>
    <n v="199.465429900039"/>
    <n v="200.20274880004499"/>
    <s v="r"/>
    <n v="1"/>
    <n v="0.73186890000943094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nic"/>
    <s v="I"/>
    <x v="1"/>
    <s v="emotional"/>
    <s v="yellow"/>
    <s v="y"/>
    <n v="148"/>
    <n v="8"/>
    <n v="7"/>
    <s v="y"/>
    <n v="1"/>
    <n v="0.76266629999736302"/>
    <s v="None"/>
    <n v="7"/>
    <n v="8"/>
    <n v="148"/>
    <n v="3"/>
    <n v="200.216683000035"/>
    <m/>
    <m/>
    <m/>
    <m/>
    <n v="200.20523620001001"/>
    <n v="200.216683000035"/>
    <n v="200.71632800000901"/>
    <n v="200.71632800000901"/>
    <n v="200.71632800000901"/>
    <n v="201.487485999998"/>
    <s v="y"/>
    <n v="1"/>
    <n v="0.762666299997363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Garden"/>
    <s v="I"/>
    <x v="0"/>
    <s v="neutral"/>
    <s v="red"/>
    <s v="r"/>
    <n v="149"/>
    <n v="9"/>
    <n v="7"/>
    <s v="r"/>
    <n v="1"/>
    <n v="1.00724290002835"/>
    <s v="None"/>
    <n v="7"/>
    <n v="9"/>
    <n v="149"/>
    <n v="16"/>
    <n v="201.49997290002599"/>
    <m/>
    <m/>
    <m/>
    <m/>
    <n v="201.490161599998"/>
    <n v="201.49997290002599"/>
    <n v="202.00017820001801"/>
    <n v="202.00017820001801"/>
    <n v="202.00017820001801"/>
    <n v="203.02129540004501"/>
    <s v="r"/>
    <n v="1"/>
    <n v="1.0072429000283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in"/>
    <s v="I"/>
    <x v="1"/>
    <s v="emotional"/>
    <s v="blue"/>
    <s v="b"/>
    <n v="150"/>
    <n v="10"/>
    <n v="7"/>
    <s v="b"/>
    <n v="1"/>
    <n v="0.67992859997320898"/>
    <s v="None"/>
    <n v="7"/>
    <n v="10"/>
    <n v="150"/>
    <n v="1"/>
    <n v="203.03275790001399"/>
    <m/>
    <m/>
    <m/>
    <m/>
    <n v="203.024336400034"/>
    <n v="203.03275790001399"/>
    <n v="203.532705900026"/>
    <n v="203.532705900026"/>
    <n v="203.532705900026"/>
    <n v="204.220770000014"/>
    <s v="b"/>
    <n v="1"/>
    <n v="0.679928599973208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able"/>
    <s v="I"/>
    <x v="0"/>
    <s v="neutral"/>
    <s v="blue"/>
    <s v="b"/>
    <n v="151"/>
    <n v="11"/>
    <n v="7"/>
    <s v="b"/>
    <n v="1"/>
    <n v="0.47393770003691299"/>
    <s v="None"/>
    <n v="7"/>
    <n v="11"/>
    <n v="151"/>
    <n v="13"/>
    <n v="204.233007900009"/>
    <m/>
    <m/>
    <m/>
    <m/>
    <n v="204.22421000001401"/>
    <n v="204.233007900009"/>
    <n v="204.734944500029"/>
    <n v="204.734944500029"/>
    <n v="204.734944500029"/>
    <n v="205.218970000045"/>
    <s v="b"/>
    <n v="1"/>
    <n v="0.473937700036912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Chair"/>
    <s v="I"/>
    <x v="0"/>
    <s v="neutral"/>
    <s v="green"/>
    <s v="g"/>
    <n v="152"/>
    <n v="12"/>
    <n v="7"/>
    <s v="y"/>
    <n v="0"/>
    <n v="0.54135270003462199"/>
    <s v="None"/>
    <n v="7"/>
    <n v="12"/>
    <n v="152"/>
    <n v="10"/>
    <n v="205.23250660003299"/>
    <m/>
    <m/>
    <m/>
    <m/>
    <n v="205.22170380002299"/>
    <n v="205.23250660003299"/>
    <n v="205.73154480004399"/>
    <n v="205.73154480004399"/>
    <n v="205.73154480004399"/>
    <n v="206.284734400047"/>
    <s v="y"/>
    <n v="0"/>
    <n v="0.541352700034621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encil"/>
    <s v="I"/>
    <x v="0"/>
    <s v="neutral"/>
    <s v="green"/>
    <s v="g"/>
    <n v="153"/>
    <n v="13"/>
    <n v="7"/>
    <s v="g"/>
    <n v="1"/>
    <n v="0.75118510000174799"/>
    <s v="None"/>
    <n v="7"/>
    <n v="13"/>
    <n v="153"/>
    <n v="14"/>
    <n v="206.298641300003"/>
    <m/>
    <m/>
    <m/>
    <m/>
    <n v="206.28721520002"/>
    <n v="206.298641300003"/>
    <n v="206.798440900049"/>
    <n v="206.798440900049"/>
    <n v="206.798440900049"/>
    <n v="207.55276889999999"/>
    <s v="g"/>
    <n v="1"/>
    <n v="0.751185100001747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Injury"/>
    <s v="I"/>
    <x v="1"/>
    <s v="emotional"/>
    <s v="green"/>
    <s v="g"/>
    <n v="154"/>
    <n v="14"/>
    <n v="7"/>
    <s v="g"/>
    <n v="1"/>
    <n v="0.50998069997876805"/>
    <s v="None"/>
    <n v="7"/>
    <n v="14"/>
    <n v="154"/>
    <n v="6"/>
    <n v="207.56542920000999"/>
    <m/>
    <m/>
    <m/>
    <m/>
    <n v="207.555354800017"/>
    <n v="207.56542920000999"/>
    <n v="208.06484590005101"/>
    <n v="208.06484590005101"/>
    <n v="208.06484590005101"/>
    <n v="208.584750700043"/>
    <s v="g"/>
    <n v="1"/>
    <n v="0.509980699978768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Fear"/>
    <s v="C"/>
    <x v="2"/>
    <s v="emotional"/>
    <s v="red"/>
    <s v="r"/>
    <n v="155"/>
    <n v="15"/>
    <n v="7"/>
    <s v="r"/>
    <n v="1"/>
    <n v="0.810545199958141"/>
    <s v="None"/>
    <n v="7"/>
    <n v="15"/>
    <n v="155"/>
    <n v="0"/>
    <n v="208.598186500021"/>
    <m/>
    <m/>
    <m/>
    <m/>
    <n v="208.58680370001801"/>
    <n v="208.598186500021"/>
    <n v="209.09832450002401"/>
    <n v="209.09832450002401"/>
    <n v="209.09832450002401"/>
    <n v="209.91778710001299"/>
    <s v="r"/>
    <n v="1"/>
    <n v="0.81054519995814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buse"/>
    <s v="C"/>
    <x v="2"/>
    <s v="emotional"/>
    <s v="red"/>
    <s v="r"/>
    <n v="156"/>
    <n v="16"/>
    <n v="7"/>
    <s v="r"/>
    <n v="1"/>
    <n v="0.402098899998236"/>
    <s v="None"/>
    <n v="7"/>
    <n v="16"/>
    <n v="156"/>
    <n v="4"/>
    <n v="209.931424900016"/>
    <m/>
    <m/>
    <m/>
    <m/>
    <n v="209.92025080003"/>
    <n v="209.931424900016"/>
    <n v="210.43095639999899"/>
    <n v="210.43095639999899"/>
    <n v="210.43095639999899"/>
    <n v="210.83559329999801"/>
    <s v="r"/>
    <n v="1"/>
    <n v="0.402098899998236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tone"/>
    <s v="I"/>
    <x v="0"/>
    <s v="neutral"/>
    <s v="yellow"/>
    <s v="y"/>
    <n v="157"/>
    <n v="17"/>
    <n v="7"/>
    <s v="y"/>
    <n v="1"/>
    <n v="0.96874199999729105"/>
    <s v="None"/>
    <n v="7"/>
    <n v="17"/>
    <n v="157"/>
    <n v="19"/>
    <n v="210.84842410002599"/>
    <m/>
    <m/>
    <m/>
    <m/>
    <n v="210.83843980001899"/>
    <n v="210.84842410002599"/>
    <n v="211.34861610003199"/>
    <n v="211.34861610003199"/>
    <n v="211.34861610003199"/>
    <n v="212.32038480002601"/>
    <s v="y"/>
    <n v="1"/>
    <n v="0.968741999997291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Death"/>
    <s v="I"/>
    <x v="1"/>
    <s v="emotional"/>
    <s v="green"/>
    <s v="g"/>
    <n v="158"/>
    <n v="18"/>
    <n v="7"/>
    <s v="g"/>
    <n v="1"/>
    <n v="0.71844319999217898"/>
    <s v="None"/>
    <n v="7"/>
    <n v="18"/>
    <n v="158"/>
    <n v="2"/>
    <n v="212.332257400034"/>
    <m/>
    <m/>
    <m/>
    <m/>
    <n v="212.32334470003801"/>
    <n v="212.332257400034"/>
    <n v="212.83251180005001"/>
    <n v="212.83251180005001"/>
    <n v="212.83251180005001"/>
    <n v="213.552184900036"/>
    <s v="g"/>
    <n v="1"/>
    <n v="0.718443199992178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hreat"/>
    <s v="I"/>
    <x v="1"/>
    <s v="emotional"/>
    <s v="blue"/>
    <s v="b"/>
    <n v="159"/>
    <n v="19"/>
    <n v="7"/>
    <s v="b"/>
    <n v="1"/>
    <n v="1.0700016000191599"/>
    <s v="None"/>
    <n v="7"/>
    <n v="19"/>
    <n v="159"/>
    <n v="5"/>
    <n v="213.565986000001"/>
    <m/>
    <m/>
    <m/>
    <m/>
    <n v="213.55526430002601"/>
    <n v="213.565986000001"/>
    <n v="214.06576480000501"/>
    <n v="214.06576480000501"/>
    <n v="214.06576480000501"/>
    <n v="215.13682450004799"/>
    <s v="b"/>
    <n v="1"/>
    <n v="1.07000160001915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ok"/>
    <s v="I"/>
    <x v="0"/>
    <s v="neutral"/>
    <s v="blue"/>
    <s v="b"/>
    <n v="160"/>
    <n v="0"/>
    <n v="8"/>
    <s v="b"/>
    <n v="1"/>
    <n v="0.391185300017241"/>
    <s v="None"/>
    <n v="8"/>
    <n v="0"/>
    <n v="160"/>
    <n v="17"/>
    <n v="215.14890359999799"/>
    <m/>
    <m/>
    <m/>
    <m/>
    <n v="215.13991830003201"/>
    <n v="215.14890359999799"/>
    <n v="215.64893920003601"/>
    <n v="215.64893920003601"/>
    <n v="215.64893920003601"/>
    <n v="216.053267900017"/>
    <s v="b"/>
    <n v="1"/>
    <n v="0.39118530001724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Garden"/>
    <s v="I"/>
    <x v="0"/>
    <s v="neutral"/>
    <s v="red"/>
    <s v="r"/>
    <n v="161"/>
    <n v="1"/>
    <n v="8"/>
    <s v="r"/>
    <n v="1"/>
    <n v="0.52599509997526095"/>
    <s v="None"/>
    <n v="8"/>
    <n v="1"/>
    <n v="161"/>
    <n v="16"/>
    <n v="216.06542160001101"/>
    <m/>
    <m/>
    <m/>
    <m/>
    <n v="216.05686160002301"/>
    <n v="216.06542160001101"/>
    <n v="216.56565490004101"/>
    <n v="216.56565490004101"/>
    <n v="216.56565490004101"/>
    <n v="217.10371080000101"/>
    <s v="r"/>
    <n v="1"/>
    <n v="0.5259950999752609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Road"/>
    <s v="I"/>
    <x v="0"/>
    <s v="neutral"/>
    <s v="green"/>
    <s v="g"/>
    <n v="162"/>
    <n v="2"/>
    <n v="8"/>
    <s v="y"/>
    <n v="0"/>
    <n v="0.76261779997730605"/>
    <s v="None"/>
    <n v="8"/>
    <n v="2"/>
    <n v="162"/>
    <n v="18"/>
    <n v="217.115425000025"/>
    <m/>
    <m/>
    <m/>
    <m/>
    <n v="217.106446100049"/>
    <n v="217.115425000025"/>
    <n v="217.616027600015"/>
    <n v="217.616027600015"/>
    <n v="217.616027600015"/>
    <n v="218.385607000032"/>
    <s v="y"/>
    <n v="0"/>
    <n v="0.762617799977306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encil"/>
    <s v="I"/>
    <x v="0"/>
    <s v="neutral"/>
    <s v="green"/>
    <s v="g"/>
    <n v="163"/>
    <n v="3"/>
    <n v="8"/>
    <s v="g"/>
    <n v="1"/>
    <n v="0.65590100002009399"/>
    <s v="None"/>
    <n v="8"/>
    <n v="3"/>
    <n v="163"/>
    <n v="14"/>
    <n v="218.39878690004099"/>
    <m/>
    <m/>
    <m/>
    <m/>
    <n v="218.388266100024"/>
    <n v="218.39878690004099"/>
    <n v="218.89947580004801"/>
    <n v="218.89947580004801"/>
    <n v="218.89947580004801"/>
    <n v="219.57019550004"/>
    <s v="g"/>
    <n v="1"/>
    <n v="0.655901000020093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Injury"/>
    <s v="I"/>
    <x v="1"/>
    <s v="emotional"/>
    <s v="green"/>
    <s v="g"/>
    <n v="164"/>
    <n v="4"/>
    <n v="8"/>
    <s v="g"/>
    <n v="1"/>
    <n v="0.46749140002066197"/>
    <s v="None"/>
    <n v="8"/>
    <n v="4"/>
    <n v="164"/>
    <n v="6"/>
    <n v="219.581831900053"/>
    <m/>
    <m/>
    <m/>
    <m/>
    <n v="219.573887600039"/>
    <n v="219.581831900053"/>
    <n v="220.08286180003699"/>
    <n v="220.08286180003699"/>
    <n v="220.08286180003699"/>
    <n v="220.552709500014"/>
    <s v="g"/>
    <n v="1"/>
    <n v="0.46749140002066197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nic"/>
    <s v="I"/>
    <x v="1"/>
    <s v="emotional"/>
    <s v="yellow"/>
    <s v="y"/>
    <n v="165"/>
    <n v="5"/>
    <n v="8"/>
    <s v="y"/>
    <n v="1"/>
    <n v="0.58484210004098702"/>
    <s v="None"/>
    <n v="8"/>
    <n v="5"/>
    <n v="165"/>
    <n v="3"/>
    <n v="220.56543680000999"/>
    <m/>
    <m/>
    <m/>
    <m/>
    <n v="220.555432200024"/>
    <n v="220.56543680000999"/>
    <n v="221.06525590003"/>
    <n v="221.06525590003"/>
    <n v="221.06525590003"/>
    <n v="221.652749600005"/>
    <s v="y"/>
    <n v="1"/>
    <n v="0.584842100040987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tone"/>
    <s v="I"/>
    <x v="0"/>
    <s v="neutral"/>
    <s v="yellow"/>
    <s v="y"/>
    <n v="166"/>
    <n v="6"/>
    <n v="8"/>
    <s v="g"/>
    <n v="0"/>
    <n v="0.83917669998481803"/>
    <s v="None"/>
    <n v="8"/>
    <n v="6"/>
    <n v="166"/>
    <n v="19"/>
    <n v="221.66548920003601"/>
    <m/>
    <m/>
    <m/>
    <m/>
    <n v="221.65536150004399"/>
    <n v="221.66548920003601"/>
    <n v="222.16515430004799"/>
    <n v="222.16515430004799"/>
    <n v="222.16515430004799"/>
    <n v="223.01989070000101"/>
    <s v="g"/>
    <n v="0"/>
    <n v="0.83917669998481803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nger"/>
    <s v="C"/>
    <x v="2"/>
    <s v="emotional"/>
    <s v="red"/>
    <s v="r"/>
    <n v="167"/>
    <n v="7"/>
    <n v="8"/>
    <s v="r"/>
    <n v="1"/>
    <n v="0.67770830000517801"/>
    <s v="None"/>
    <n v="8"/>
    <n v="7"/>
    <n v="167"/>
    <n v="8"/>
    <n v="223.03259840002201"/>
    <m/>
    <m/>
    <m/>
    <m/>
    <n v="223.02266330004201"/>
    <n v="223.03259840002201"/>
    <n v="223.53213720000301"/>
    <n v="223.53213720000301"/>
    <n v="223.53213720000301"/>
    <n v="224.218777900037"/>
    <s v="r"/>
    <n v="1"/>
    <n v="0.677708300005178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Fear"/>
    <s v="C"/>
    <x v="2"/>
    <s v="emotional"/>
    <s v="red"/>
    <s v="r"/>
    <n v="168"/>
    <n v="8"/>
    <n v="8"/>
    <s v="r"/>
    <n v="1"/>
    <n v="0.62356169999111399"/>
    <s v="None"/>
    <n v="8"/>
    <n v="8"/>
    <n v="168"/>
    <n v="0"/>
    <n v="224.23292360000701"/>
    <m/>
    <m/>
    <m/>
    <m/>
    <n v="224.22143800003599"/>
    <n v="224.23292360000701"/>
    <n v="224.731251900026"/>
    <n v="224.731251900026"/>
    <n v="224.731251900026"/>
    <n v="225.36841390002499"/>
    <s v="r"/>
    <n v="1"/>
    <n v="0.623561699991113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buse"/>
    <s v="C"/>
    <x v="2"/>
    <s v="emotional"/>
    <s v="red"/>
    <s v="r"/>
    <n v="169"/>
    <n v="9"/>
    <n v="8"/>
    <s v="r"/>
    <n v="1"/>
    <n v="0.37163529999088402"/>
    <s v="None"/>
    <n v="8"/>
    <n v="9"/>
    <n v="169"/>
    <n v="4"/>
    <n v="225.38221370003799"/>
    <m/>
    <m/>
    <m/>
    <m/>
    <n v="225.37120380002301"/>
    <n v="225.38221370003799"/>
    <n v="225.88244830002"/>
    <n v="225.88244830002"/>
    <n v="225.88244830002"/>
    <n v="226.26882350002401"/>
    <s v="r"/>
    <n v="1"/>
    <n v="0.371635299990884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ttle"/>
    <s v="I"/>
    <x v="0"/>
    <s v="neutral"/>
    <s v="yellow"/>
    <s v="y"/>
    <n v="170"/>
    <n v="10"/>
    <n v="8"/>
    <s v="y"/>
    <n v="1"/>
    <n v="0.74852789996657498"/>
    <s v="None"/>
    <n v="8"/>
    <n v="10"/>
    <n v="170"/>
    <n v="11"/>
    <n v="226.28217440005301"/>
    <m/>
    <m/>
    <m/>
    <m/>
    <n v="226.27132590004399"/>
    <n v="226.28217440005301"/>
    <n v="226.78656230005399"/>
    <n v="226.78656230005399"/>
    <n v="226.78656230005399"/>
    <n v="227.55223600001699"/>
    <s v="y"/>
    <n v="1"/>
    <n v="0.748527899966574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hreat"/>
    <s v="I"/>
    <x v="1"/>
    <s v="emotional"/>
    <s v="blue"/>
    <s v="b"/>
    <n v="171"/>
    <n v="11"/>
    <n v="8"/>
    <s v="b"/>
    <n v="1"/>
    <n v="0.783032500010449"/>
    <s v="None"/>
    <n v="8"/>
    <n v="11"/>
    <n v="171"/>
    <n v="5"/>
    <n v="227.565116700017"/>
    <m/>
    <m/>
    <m/>
    <m/>
    <n v="227.55493540002499"/>
    <n v="227.565116700017"/>
    <n v="228.06573670002399"/>
    <n v="228.06573670002399"/>
    <n v="228.06573670002399"/>
    <n v="228.85257980000401"/>
    <s v="b"/>
    <n v="1"/>
    <n v="0.78303250001044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Chair"/>
    <s v="I"/>
    <x v="0"/>
    <s v="neutral"/>
    <s v="green"/>
    <s v="g"/>
    <n v="172"/>
    <n v="12"/>
    <n v="8"/>
    <s v="g"/>
    <n v="1"/>
    <n v="0.58379299996886402"/>
    <s v="None"/>
    <n v="8"/>
    <n v="12"/>
    <n v="172"/>
    <n v="10"/>
    <n v="228.86580870003601"/>
    <m/>
    <m/>
    <m/>
    <m/>
    <n v="228.855207100044"/>
    <n v="228.86580870003601"/>
    <n v="229.363649100007"/>
    <n v="229.363649100007"/>
    <n v="229.363649100007"/>
    <n v="229.95254040002999"/>
    <s v="g"/>
    <n v="1"/>
    <n v="0.583792999968864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in"/>
    <s v="I"/>
    <x v="1"/>
    <s v="emotional"/>
    <s v="blue"/>
    <s v="b"/>
    <n v="173"/>
    <n v="13"/>
    <n v="8"/>
    <s v="b"/>
    <n v="1"/>
    <n v="0.947752600011881"/>
    <s v="None"/>
    <n v="8"/>
    <n v="13"/>
    <n v="173"/>
    <n v="1"/>
    <n v="229.96407950000099"/>
    <m/>
    <m/>
    <m/>
    <m/>
    <n v="229.95560690003899"/>
    <n v="229.96407950000099"/>
    <n v="230.46428820001799"/>
    <n v="230.46428820001799"/>
    <n v="230.46428820001799"/>
    <n v="231.416976000007"/>
    <s v="b"/>
    <n v="1"/>
    <n v="0.94775260001188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able"/>
    <s v="I"/>
    <x v="0"/>
    <s v="neutral"/>
    <s v="blue"/>
    <s v="b"/>
    <n v="174"/>
    <n v="14"/>
    <n v="8"/>
    <s v="b"/>
    <n v="1"/>
    <n v="0.47217879997333501"/>
    <s v="None"/>
    <n v="8"/>
    <n v="14"/>
    <n v="174"/>
    <n v="13"/>
    <n v="231.430504500051"/>
    <m/>
    <m/>
    <m/>
    <m/>
    <n v="231.419281400041"/>
    <n v="231.430504500051"/>
    <n v="231.93071590003001"/>
    <n v="231.93071590003001"/>
    <n v="231.93071590003001"/>
    <n v="232.41870050004201"/>
    <s v="b"/>
    <n v="1"/>
    <n v="0.472178799973335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Violence"/>
    <s v="I"/>
    <x v="1"/>
    <s v="emotional"/>
    <s v="blue"/>
    <s v="b"/>
    <n v="175"/>
    <n v="15"/>
    <n v="8"/>
    <s v="b"/>
    <n v="1"/>
    <n v="0.40373640001052902"/>
    <s v="None"/>
    <n v="8"/>
    <n v="15"/>
    <n v="175"/>
    <n v="9"/>
    <n v="232.43053480004801"/>
    <m/>
    <m/>
    <m/>
    <m/>
    <n v="232.422286700049"/>
    <n v="232.43053480004801"/>
    <n v="232.93022590002499"/>
    <n v="232.93022590002499"/>
    <n v="232.93022590002499"/>
    <n v="233.33534640003899"/>
    <s v="b"/>
    <n v="1"/>
    <n v="0.403736400010529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Death"/>
    <s v="I"/>
    <x v="1"/>
    <s v="emotional"/>
    <s v="green"/>
    <s v="g"/>
    <n v="176"/>
    <n v="16"/>
    <n v="8"/>
    <s v="g"/>
    <n v="1"/>
    <n v="1.0134750999859501"/>
    <s v="None"/>
    <n v="8"/>
    <n v="16"/>
    <n v="176"/>
    <n v="2"/>
    <n v="233.34691960003599"/>
    <m/>
    <m/>
    <m/>
    <m/>
    <n v="233.33757070003699"/>
    <n v="233.34691960003599"/>
    <n v="233.8487877"/>
    <n v="233.8487877"/>
    <n v="233.8487877"/>
    <n v="234.86943380004899"/>
    <s v="g"/>
    <n v="1"/>
    <n v="1.01347509998595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adness"/>
    <s v="I"/>
    <x v="1"/>
    <s v="emotional"/>
    <s v="yellow"/>
    <s v="y"/>
    <n v="177"/>
    <n v="17"/>
    <n v="8"/>
    <s v="y"/>
    <n v="1"/>
    <n v="0.76268889999482703"/>
    <s v="None"/>
    <n v="8"/>
    <n v="17"/>
    <n v="177"/>
    <n v="7"/>
    <n v="234.88208060001401"/>
    <m/>
    <m/>
    <m/>
    <m/>
    <n v="234.87240550003401"/>
    <n v="234.88208060001401"/>
    <n v="235.38173180003599"/>
    <n v="235.38173180003599"/>
    <n v="235.38173180003599"/>
    <n v="236.15422290004699"/>
    <s v="y"/>
    <n v="1"/>
    <n v="0.76268889999482703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per"/>
    <s v="I"/>
    <x v="0"/>
    <s v="neutral"/>
    <s v="yellow"/>
    <s v="y"/>
    <n v="178"/>
    <n v="18"/>
    <n v="8"/>
    <s v="y"/>
    <n v="1"/>
    <n v="0.46344449999742199"/>
    <s v="None"/>
    <n v="8"/>
    <n v="18"/>
    <n v="178"/>
    <n v="15"/>
    <n v="236.18121480004601"/>
    <m/>
    <m/>
    <m/>
    <m/>
    <n v="236.15843880001901"/>
    <n v="236.18121480004601"/>
    <n v="236.66579150000999"/>
    <n v="236.66579150000999"/>
    <n v="236.66579150000999"/>
    <n v="237.13424280000601"/>
    <s v="y"/>
    <n v="1"/>
    <n v="0.463444499997421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Window"/>
    <s v="I"/>
    <x v="0"/>
    <s v="neutral"/>
    <s v="red"/>
    <s v="r"/>
    <n v="179"/>
    <n v="19"/>
    <n v="8"/>
    <s v="r"/>
    <n v="1"/>
    <n v="0.49329589999979301"/>
    <s v="None"/>
    <n v="8"/>
    <n v="19"/>
    <n v="179"/>
    <n v="12"/>
    <n v="237.14821569999901"/>
    <m/>
    <m/>
    <m/>
    <m/>
    <n v="237.13657250004999"/>
    <n v="237.14821569999901"/>
    <n v="237.64674490003301"/>
    <n v="237.64674490003301"/>
    <n v="237.64674490003301"/>
    <n v="238.152515400026"/>
    <s v="r"/>
    <n v="1"/>
    <n v="0.493295899999793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per"/>
    <s v="I"/>
    <x v="0"/>
    <s v="neutral"/>
    <s v="yellow"/>
    <s v="y"/>
    <n v="180"/>
    <n v="0"/>
    <n v="9"/>
    <s v="y"/>
    <n v="1"/>
    <n v="0.61311320000095204"/>
    <s v="None"/>
    <n v="9"/>
    <n v="0"/>
    <n v="180"/>
    <n v="15"/>
    <n v="238.164413500053"/>
    <m/>
    <m/>
    <m/>
    <m/>
    <n v="238.15625930001201"/>
    <n v="238.164413500053"/>
    <n v="238.66364490002101"/>
    <n v="238.66364490002101"/>
    <n v="238.66364490002101"/>
    <n v="239.285736700054"/>
    <s v="y"/>
    <n v="1"/>
    <n v="0.61311320000095204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nger"/>
    <s v="C"/>
    <x v="2"/>
    <s v="emotional"/>
    <s v="red"/>
    <s v="r"/>
    <n v="181"/>
    <n v="1"/>
    <n v="9"/>
    <s v="r"/>
    <n v="1"/>
    <n v="0.40284660004544998"/>
    <s v="None"/>
    <n v="9"/>
    <n v="1"/>
    <n v="181"/>
    <n v="8"/>
    <n v="239.29831370001099"/>
    <m/>
    <m/>
    <m/>
    <m/>
    <n v="239.288282499997"/>
    <n v="239.29831370001099"/>
    <n v="239.79808330000299"/>
    <n v="239.79808330000299"/>
    <n v="239.79808330000299"/>
    <n v="240.20377750002001"/>
    <s v="r"/>
    <n v="1"/>
    <n v="0.402846600045449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Garden"/>
    <s v="I"/>
    <x v="0"/>
    <s v="neutral"/>
    <s v="red"/>
    <s v="r"/>
    <n v="182"/>
    <n v="2"/>
    <n v="9"/>
    <s v="y"/>
    <n v="0"/>
    <n v="0.43370059999870098"/>
    <s v="None"/>
    <n v="9"/>
    <n v="2"/>
    <n v="182"/>
    <n v="16"/>
    <n v="240.21488300000701"/>
    <m/>
    <m/>
    <m/>
    <m/>
    <n v="240.20677790004899"/>
    <n v="240.21488300000701"/>
    <n v="240.71322500001401"/>
    <n v="240.71322500001401"/>
    <n v="240.71322500001401"/>
    <n v="241.15139650000401"/>
    <s v="y"/>
    <n v="0"/>
    <n v="0.43370059999870098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encil"/>
    <s v="I"/>
    <x v="0"/>
    <s v="neutral"/>
    <s v="green"/>
    <s v="g"/>
    <n v="183"/>
    <n v="3"/>
    <n v="9"/>
    <s v="g"/>
    <n v="1"/>
    <n v="0.97621880000224304"/>
    <s v="None"/>
    <n v="9"/>
    <n v="3"/>
    <n v="183"/>
    <n v="14"/>
    <n v="241.16486630000799"/>
    <m/>
    <m/>
    <m/>
    <m/>
    <n v="241.154077100043"/>
    <n v="241.16486630000799"/>
    <n v="241.66465660004101"/>
    <n v="241.66465660004101"/>
    <n v="241.66465660004101"/>
    <n v="242.652661700034"/>
    <s v="g"/>
    <n v="1"/>
    <n v="0.97621880000224304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ok"/>
    <s v="I"/>
    <x v="0"/>
    <s v="neutral"/>
    <s v="blue"/>
    <s v="b"/>
    <n v="184"/>
    <n v="4"/>
    <n v="9"/>
    <s v="b"/>
    <n v="1"/>
    <n v="0.71755890001077205"/>
    <s v="None"/>
    <n v="9"/>
    <n v="4"/>
    <n v="184"/>
    <n v="17"/>
    <n v="242.66429800004599"/>
    <m/>
    <m/>
    <m/>
    <m/>
    <n v="242.655504600028"/>
    <n v="242.66429800004599"/>
    <n v="243.16479550005101"/>
    <n v="243.16479550005101"/>
    <n v="243.16479550005101"/>
    <n v="243.885315500025"/>
    <s v="b"/>
    <n v="1"/>
    <n v="0.717558900010772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Chair"/>
    <s v="I"/>
    <x v="0"/>
    <s v="neutral"/>
    <s v="green"/>
    <s v="g"/>
    <n v="185"/>
    <n v="5"/>
    <n v="9"/>
    <s v="g"/>
    <n v="1"/>
    <n v="0.80306930001825005"/>
    <s v="None"/>
    <n v="9"/>
    <n v="5"/>
    <n v="185"/>
    <n v="10"/>
    <n v="243.89752690005099"/>
    <m/>
    <m/>
    <m/>
    <m/>
    <n v="243.888416600006"/>
    <n v="243.89752690005099"/>
    <n v="244.39794870000301"/>
    <n v="244.39794870000301"/>
    <n v="244.39794870000301"/>
    <n v="245.20191620004999"/>
    <s v="g"/>
    <n v="1"/>
    <n v="0.803069300018250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Road"/>
    <s v="I"/>
    <x v="0"/>
    <s v="neutral"/>
    <s v="green"/>
    <s v="g"/>
    <n v="186"/>
    <n v="6"/>
    <n v="9"/>
    <s v="g"/>
    <n v="1"/>
    <n v="0.47958649997599401"/>
    <s v="None"/>
    <n v="9"/>
    <n v="6"/>
    <n v="186"/>
    <n v="18"/>
    <n v="245.21449040004501"/>
    <m/>
    <m/>
    <m/>
    <m/>
    <n v="245.20527299999901"/>
    <n v="245.21449040004501"/>
    <n v="245.71450000000101"/>
    <n v="245.71450000000101"/>
    <n v="245.71450000000101"/>
    <n v="246.20189980004201"/>
    <s v="g"/>
    <n v="1"/>
    <n v="0.479586499975994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Bottle"/>
    <s v="I"/>
    <x v="0"/>
    <s v="neutral"/>
    <s v="yellow"/>
    <s v="y"/>
    <n v="187"/>
    <n v="7"/>
    <n v="9"/>
    <s v="y"/>
    <n v="1"/>
    <n v="1.1754523999988999"/>
    <s v="None"/>
    <n v="9"/>
    <n v="7"/>
    <n v="187"/>
    <n v="11"/>
    <n v="246.215058500005"/>
    <m/>
    <m/>
    <m/>
    <m/>
    <n v="246.205020100052"/>
    <n v="246.215058500005"/>
    <n v="246.71554790000599"/>
    <n v="246.71554790000599"/>
    <n v="246.71554790000599"/>
    <n v="247.90073740004999"/>
    <s v="y"/>
    <n v="1"/>
    <n v="1.17545239999889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adness"/>
    <s v="I"/>
    <x v="1"/>
    <s v="emotional"/>
    <s v="yellow"/>
    <s v="y"/>
    <n v="188"/>
    <n v="8"/>
    <n v="9"/>
    <s v="y"/>
    <n v="1"/>
    <n v="0.49117350002052201"/>
    <s v="None"/>
    <n v="9"/>
    <n v="8"/>
    <n v="188"/>
    <n v="7"/>
    <n v="247.914571900037"/>
    <m/>
    <m/>
    <m/>
    <m/>
    <n v="247.90389010001601"/>
    <n v="247.914571900037"/>
    <n v="248.414103900024"/>
    <n v="248.414103900024"/>
    <n v="248.414103900024"/>
    <n v="248.91832260001601"/>
    <s v="y"/>
    <n v="1"/>
    <n v="0.491173500020522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able"/>
    <s v="I"/>
    <x v="0"/>
    <s v="neutral"/>
    <s v="blue"/>
    <s v="b"/>
    <n v="189"/>
    <n v="9"/>
    <n v="9"/>
    <s v="b"/>
    <n v="1"/>
    <n v="2.1326577000436302"/>
    <s v="None"/>
    <n v="9"/>
    <n v="9"/>
    <n v="189"/>
    <n v="13"/>
    <n v="248.93088820000401"/>
    <m/>
    <m/>
    <m/>
    <m/>
    <n v="248.92174260003901"/>
    <n v="248.93088820000401"/>
    <n v="249.430870500043"/>
    <n v="249.430870500043"/>
    <n v="249.430870500043"/>
    <n v="251.56768730003299"/>
    <s v="b"/>
    <n v="1"/>
    <n v="2.13265770004363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nic"/>
    <s v="I"/>
    <x v="1"/>
    <s v="emotional"/>
    <s v="yellow"/>
    <s v="y"/>
    <n v="190"/>
    <n v="10"/>
    <n v="9"/>
    <s v="y"/>
    <n v="1"/>
    <n v="1.09508110000751"/>
    <s v="None"/>
    <n v="9"/>
    <n v="10"/>
    <n v="190"/>
    <n v="3"/>
    <n v="251.579756100021"/>
    <m/>
    <m/>
    <m/>
    <m/>
    <n v="251.57085800002"/>
    <n v="251.579756100021"/>
    <n v="252.07934260001599"/>
    <n v="252.07934260001599"/>
    <n v="252.07934260001599"/>
    <n v="253.183603000012"/>
    <s v="y"/>
    <n v="1"/>
    <n v="1.0950811000075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Window"/>
    <s v="I"/>
    <x v="0"/>
    <s v="neutral"/>
    <s v="red"/>
    <s v="r"/>
    <n v="191"/>
    <n v="11"/>
    <n v="9"/>
    <s v="r"/>
    <n v="1"/>
    <n v="0.58006840001325999"/>
    <s v="None"/>
    <n v="9"/>
    <n v="11"/>
    <n v="191"/>
    <n v="12"/>
    <n v="253.19643350003699"/>
    <m/>
    <m/>
    <m/>
    <m/>
    <n v="253.186757100047"/>
    <n v="253.19643350003699"/>
    <n v="253.69636580004499"/>
    <n v="253.69636580004499"/>
    <n v="253.69636580004499"/>
    <n v="254.28296070004501"/>
    <s v="r"/>
    <n v="1"/>
    <n v="0.58006840001325999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Injury"/>
    <s v="I"/>
    <x v="1"/>
    <s v="emotional"/>
    <s v="green"/>
    <s v="g"/>
    <n v="192"/>
    <n v="12"/>
    <n v="9"/>
    <s v="g"/>
    <n v="1"/>
    <n v="0.95323340001050305"/>
    <s v="None"/>
    <n v="9"/>
    <n v="12"/>
    <n v="192"/>
    <n v="6"/>
    <n v="254.29673330002601"/>
    <m/>
    <m/>
    <m/>
    <m/>
    <n v="254.28596040001099"/>
    <n v="254.29673330002601"/>
    <n v="254.79637860000301"/>
    <n v="254.79637860000301"/>
    <n v="254.79637860000301"/>
    <n v="255.753508200054"/>
    <s v="g"/>
    <n v="1"/>
    <n v="0.953233400010503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Death"/>
    <s v="I"/>
    <x v="1"/>
    <s v="emotional"/>
    <s v="green"/>
    <s v="g"/>
    <n v="193"/>
    <n v="13"/>
    <n v="9"/>
    <s v="g"/>
    <n v="1"/>
    <n v="0.508270899998024"/>
    <s v="None"/>
    <n v="9"/>
    <n v="13"/>
    <n v="193"/>
    <n v="2"/>
    <n v="255.762727699999"/>
    <m/>
    <m/>
    <m/>
    <m/>
    <n v="255.75653730001"/>
    <n v="255.762727699999"/>
    <n v="256.26257190003503"/>
    <n v="256.26257190003503"/>
    <n v="256.26257190003503"/>
    <n v="256.78238070005301"/>
    <s v="g"/>
    <n v="1"/>
    <n v="0.508270899998024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Pain"/>
    <s v="I"/>
    <x v="1"/>
    <s v="emotional"/>
    <s v="blue"/>
    <s v="b"/>
    <n v="194"/>
    <n v="14"/>
    <n v="9"/>
    <s v="r"/>
    <n v="0"/>
    <n v="0.57927120005479005"/>
    <s v="None"/>
    <n v="9"/>
    <n v="14"/>
    <n v="194"/>
    <n v="1"/>
    <n v="256.79616760002602"/>
    <m/>
    <m/>
    <m/>
    <m/>
    <n v="256.78429999999901"/>
    <n v="256.79616760002602"/>
    <n v="257.29751500004198"/>
    <n v="257.29751500004198"/>
    <n v="257.29751500004198"/>
    <n v="257.88543260004298"/>
    <s v="r"/>
    <n v="0"/>
    <n v="0.579271200054790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Stone"/>
    <s v="I"/>
    <x v="0"/>
    <s v="neutral"/>
    <s v="yellow"/>
    <s v="y"/>
    <n v="195"/>
    <n v="15"/>
    <n v="9"/>
    <s v="y"/>
    <n v="1"/>
    <n v="1.0858431999804401"/>
    <s v="None"/>
    <n v="9"/>
    <n v="15"/>
    <n v="195"/>
    <n v="19"/>
    <n v="257.897377400018"/>
    <m/>
    <m/>
    <m/>
    <m/>
    <n v="257.888426800025"/>
    <n v="257.897377400018"/>
    <n v="258.39807750005201"/>
    <n v="258.39807750005201"/>
    <n v="258.39807750005201"/>
    <n v="259.484331900021"/>
    <s v="y"/>
    <n v="1"/>
    <n v="1.0858431999804401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Violence"/>
    <s v="I"/>
    <x v="1"/>
    <s v="emotional"/>
    <s v="blue"/>
    <s v="b"/>
    <n v="196"/>
    <n v="16"/>
    <n v="9"/>
    <s v="b"/>
    <n v="1"/>
    <n v="0.77401940000709102"/>
    <s v="None"/>
    <n v="9"/>
    <n v="16"/>
    <n v="196"/>
    <n v="9"/>
    <n v="259.49690460000397"/>
    <m/>
    <m/>
    <m/>
    <m/>
    <n v="259.48710490000599"/>
    <n v="259.49690460000397"/>
    <n v="259.998041400045"/>
    <n v="259.998041400045"/>
    <n v="259.998041400045"/>
    <n v="260.78414350002998"/>
    <s v="b"/>
    <n v="1"/>
    <n v="0.77401940000709102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Fear"/>
    <s v="C"/>
    <x v="2"/>
    <s v="emotional"/>
    <s v="red"/>
    <s v="r"/>
    <n v="197"/>
    <n v="17"/>
    <n v="9"/>
    <s v="r"/>
    <n v="1"/>
    <n v="0.585521399974823"/>
    <s v="None"/>
    <n v="9"/>
    <n v="17"/>
    <n v="197"/>
    <n v="0"/>
    <n v="260.797421900031"/>
    <m/>
    <m/>
    <m/>
    <m/>
    <n v="260.78662060003199"/>
    <n v="260.797421900031"/>
    <n v="261.297520800028"/>
    <n v="261.297520800028"/>
    <n v="261.297520800028"/>
    <n v="261.886449400044"/>
    <s v="r"/>
    <n v="1"/>
    <n v="0.585521399974823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Threat"/>
    <s v="I"/>
    <x v="1"/>
    <s v="emotional"/>
    <s v="blue"/>
    <s v="b"/>
    <n v="198"/>
    <n v="18"/>
    <n v="9"/>
    <s v="b"/>
    <n v="1"/>
    <n v="0.75339630001690205"/>
    <s v="None"/>
    <n v="9"/>
    <n v="18"/>
    <n v="198"/>
    <n v="5"/>
    <n v="261.89686700003199"/>
    <m/>
    <m/>
    <m/>
    <m/>
    <n v="261.88939040002799"/>
    <n v="261.89686700003199"/>
    <n v="262.39724890002901"/>
    <n v="262.39724890002901"/>
    <n v="262.39724890002901"/>
    <n v="263.16727890004398"/>
    <s v="b"/>
    <n v="1"/>
    <n v="0.75339630001690205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s v="Abuse"/>
    <s v="C"/>
    <x v="2"/>
    <s v="emotional"/>
    <s v="red"/>
    <s v="r"/>
    <n v="199"/>
    <n v="19"/>
    <n v="9"/>
    <s v="r"/>
    <n v="1"/>
    <n v="0.52074990002438404"/>
    <s v="None"/>
    <n v="9"/>
    <n v="19"/>
    <n v="199"/>
    <n v="4"/>
    <n v="263.17988780001099"/>
    <m/>
    <m/>
    <m/>
    <m/>
    <n v="263.17134870000802"/>
    <n v="263.17988780001099"/>
    <n v="263.68017720000302"/>
    <n v="263.68017720000302"/>
    <n v="263.68017720000302"/>
    <n v="264.20239360001801"/>
    <s v="r"/>
    <n v="1"/>
    <n v="0.52074990002438404"/>
    <s v="None"/>
    <m/>
    <m/>
    <m/>
    <x v="2"/>
    <n v="1"/>
    <s v="2025-11-18_20h25.15.667"/>
    <s v="emotional stroop_untitled"/>
    <m/>
    <s v="2025.1.1"/>
    <n v="60.124517886762398"/>
    <s v="2025-11-18 20h25.20.723610 +0530"/>
    <m/>
    <m/>
  </r>
  <r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n v="264.20258100004799"/>
    <n v="264.213627700053"/>
    <n v="265.20031470002101"/>
    <x v="2"/>
    <n v="1"/>
    <s v="2025-11-18_20h25.15.667"/>
    <s v="emotional stroop_untitled"/>
    <m/>
    <s v="2025.1.1"/>
    <n v="60.124517886762398"/>
    <s v="2025-11-18 20h25.20.723610 +0530"/>
    <n v="265.21383640001199"/>
    <m/>
  </r>
  <r>
    <m/>
    <m/>
    <x v="3"/>
    <m/>
    <m/>
    <m/>
    <m/>
    <m/>
    <m/>
    <m/>
    <m/>
    <m/>
    <m/>
    <m/>
    <m/>
    <m/>
    <m/>
    <m/>
    <m/>
    <n v="1.60787000204436E-2"/>
    <n v="2.9646600014530101E-2"/>
    <n v="2.0157962000230301"/>
    <m/>
    <m/>
    <m/>
    <m/>
    <m/>
    <m/>
    <m/>
    <m/>
    <m/>
    <m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Road"/>
    <s v="I"/>
    <x v="0"/>
    <s v="neutral"/>
    <s v="green"/>
    <s v="g"/>
    <n v="0"/>
    <n v="0"/>
    <n v="0"/>
    <s v="g"/>
    <n v="1"/>
    <n v="1.3293216000310999"/>
    <s v="None"/>
    <n v="0"/>
    <n v="0"/>
    <n v="0"/>
    <n v="18"/>
    <n v="2.0618351000011899"/>
    <m/>
    <m/>
    <m/>
    <m/>
    <n v="2.0535404999973199"/>
    <n v="2.0618351000011899"/>
    <n v="2.5118483999976799"/>
    <n v="2.5118483999976799"/>
    <n v="2.5118483999976799"/>
    <n v="3.8489572000107701"/>
    <s v="g"/>
    <n v="1"/>
    <n v="1.32932160003109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per"/>
    <s v="I"/>
    <x v="0"/>
    <s v="neutral"/>
    <s v="yellow"/>
    <s v="y"/>
    <n v="1"/>
    <n v="1"/>
    <n v="0"/>
    <s v="y"/>
    <n v="1"/>
    <n v="0.804908999998588"/>
    <s v="None"/>
    <n v="0"/>
    <n v="1"/>
    <n v="1"/>
    <n v="15"/>
    <n v="3.8621560999890701"/>
    <m/>
    <m/>
    <m/>
    <m/>
    <n v="3.8517926000058602"/>
    <n v="3.8621560999890701"/>
    <n v="4.3621658000047301"/>
    <n v="4.3621658000047301"/>
    <n v="4.3621658000047301"/>
    <n v="5.1829789999756004"/>
    <s v="y"/>
    <n v="1"/>
    <n v="0.80490899999858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tone"/>
    <s v="I"/>
    <x v="0"/>
    <s v="neutral"/>
    <s v="yellow"/>
    <s v="y"/>
    <n v="2"/>
    <n v="2"/>
    <n v="0"/>
    <s v="y"/>
    <n v="1"/>
    <n v="0.474719499994535"/>
    <s v="None"/>
    <n v="0"/>
    <n v="2"/>
    <n v="2"/>
    <n v="19"/>
    <n v="5.19536870002048"/>
    <m/>
    <m/>
    <m/>
    <m/>
    <n v="5.1859134000260303"/>
    <n v="5.19536870002048"/>
    <n v="5.6960300999926403"/>
    <n v="5.6960300999926403"/>
    <n v="5.6960300999926403"/>
    <n v="6.1824280000291703"/>
    <s v="y"/>
    <n v="1"/>
    <n v="0.47471949999453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in"/>
    <s v="I"/>
    <x v="1"/>
    <s v="emotional"/>
    <s v="blue"/>
    <s v="b"/>
    <n v="3"/>
    <n v="3"/>
    <n v="0"/>
    <s v="b"/>
    <n v="1"/>
    <n v="0.73664860002463595"/>
    <s v="None"/>
    <n v="0"/>
    <n v="3"/>
    <n v="3"/>
    <n v="1"/>
    <n v="6.1955314999795501"/>
    <m/>
    <m/>
    <m/>
    <m/>
    <n v="6.1851587999844897"/>
    <n v="6.1955314999795501"/>
    <n v="6.6951182999764498"/>
    <n v="6.6951182999764498"/>
    <n v="6.6951182999764498"/>
    <n v="7.4328152000089096"/>
    <s v="b"/>
    <n v="1"/>
    <n v="0.7366486000246359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encil"/>
    <s v="I"/>
    <x v="0"/>
    <s v="neutral"/>
    <s v="green"/>
    <s v="g"/>
    <n v="4"/>
    <n v="4"/>
    <n v="0"/>
    <s v="g"/>
    <n v="1"/>
    <n v="0.76859029999468398"/>
    <s v="None"/>
    <n v="0"/>
    <n v="4"/>
    <n v="4"/>
    <n v="14"/>
    <n v="7.4449816999840497"/>
    <m/>
    <m/>
    <m/>
    <m/>
    <n v="7.43618770001921"/>
    <n v="7.4449816999840497"/>
    <n v="7.94558549998328"/>
    <n v="7.94558549998328"/>
    <n v="7.94558549998328"/>
    <n v="8.7158271999796799"/>
    <s v="g"/>
    <n v="1"/>
    <n v="0.7685902999946839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Death"/>
    <s v="I"/>
    <x v="1"/>
    <s v="emotional"/>
    <s v="green"/>
    <s v="g"/>
    <n v="5"/>
    <n v="5"/>
    <n v="0"/>
    <s v="g"/>
    <n v="1"/>
    <n v="0.55863420001696795"/>
    <s v="None"/>
    <n v="0"/>
    <n v="5"/>
    <n v="5"/>
    <n v="2"/>
    <n v="8.7282178000314108"/>
    <m/>
    <m/>
    <m/>
    <m/>
    <n v="8.7209510999964497"/>
    <n v="8.7282178000314108"/>
    <n v="9.2296793999848799"/>
    <n v="9.2296793999848799"/>
    <n v="9.2296793999848799"/>
    <n v="9.7994531000149401"/>
    <s v="g"/>
    <n v="1"/>
    <n v="0.5586342000169679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Chair"/>
    <s v="I"/>
    <x v="0"/>
    <s v="neutral"/>
    <s v="green"/>
    <s v="g"/>
    <n v="6"/>
    <n v="6"/>
    <n v="0"/>
    <s v="g"/>
    <n v="1"/>
    <n v="0.45438259997172198"/>
    <s v="None"/>
    <n v="0"/>
    <n v="6"/>
    <n v="6"/>
    <n v="10"/>
    <n v="9.8119314999785203"/>
    <m/>
    <m/>
    <m/>
    <m/>
    <n v="9.8041382000083104"/>
    <n v="9.8119314999785203"/>
    <n v="10.3122069999808"/>
    <n v="10.3122069999808"/>
    <n v="10.3122069999808"/>
    <n v="10.7825233999756"/>
    <s v="g"/>
    <n v="1"/>
    <n v="0.4543825999717219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buse"/>
    <s v="C"/>
    <x v="2"/>
    <s v="emotional"/>
    <s v="red"/>
    <s v="r"/>
    <n v="7"/>
    <n v="7"/>
    <n v="0"/>
    <s v="r"/>
    <n v="1"/>
    <n v="0.45179670001380101"/>
    <s v="None"/>
    <n v="0"/>
    <n v="7"/>
    <n v="7"/>
    <n v="4"/>
    <n v="10.794912800018199"/>
    <m/>
    <m/>
    <m/>
    <m/>
    <n v="10.7860158000257"/>
    <n v="10.794912800018199"/>
    <n v="11.294972600007799"/>
    <n v="11.294972600007799"/>
    <n v="11.294972600007799"/>
    <n v="11.7475246000103"/>
    <s v="r"/>
    <n v="1"/>
    <n v="0.451796700013801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Fear"/>
    <s v="C"/>
    <x v="2"/>
    <s v="emotional"/>
    <s v="red"/>
    <s v="r"/>
    <n v="8"/>
    <n v="8"/>
    <n v="0"/>
    <s v="r"/>
    <n v="1"/>
    <n v="0.49364589998731301"/>
    <s v="None"/>
    <n v="0"/>
    <n v="8"/>
    <n v="8"/>
    <n v="0"/>
    <n v="11.7603188999928"/>
    <m/>
    <m/>
    <m/>
    <m/>
    <n v="11.7516123999957"/>
    <n v="11.7603188999928"/>
    <n v="12.2617229000316"/>
    <n v="12.2617229000316"/>
    <n v="12.2617229000316"/>
    <n v="12.7654292000224"/>
    <s v="r"/>
    <n v="1"/>
    <n v="0.493645899987313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ok"/>
    <s v="I"/>
    <x v="0"/>
    <s v="neutral"/>
    <s v="blue"/>
    <s v="b"/>
    <n v="9"/>
    <n v="9"/>
    <n v="0"/>
    <s v="b"/>
    <n v="1"/>
    <n v="0.84643269999651205"/>
    <s v="None"/>
    <n v="0"/>
    <n v="9"/>
    <n v="9"/>
    <n v="17"/>
    <n v="12.7783100000233"/>
    <m/>
    <m/>
    <m/>
    <m/>
    <n v="12.7681599999777"/>
    <n v="12.7783100000233"/>
    <n v="13.2770620000083"/>
    <n v="13.2770620000083"/>
    <n v="13.2770620000083"/>
    <n v="14.130831599992201"/>
    <s v="b"/>
    <n v="1"/>
    <n v="0.846432699996512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ttle"/>
    <s v="I"/>
    <x v="0"/>
    <s v="neutral"/>
    <s v="yellow"/>
    <s v="y"/>
    <n v="10"/>
    <n v="10"/>
    <n v="0"/>
    <s v="y"/>
    <n v="1"/>
    <n v="0.75849959999322802"/>
    <s v="None"/>
    <n v="0"/>
    <n v="10"/>
    <n v="10"/>
    <n v="11"/>
    <n v="14.144047699985"/>
    <m/>
    <m/>
    <m/>
    <m/>
    <n v="14.133444099978"/>
    <n v="14.144047699985"/>
    <n v="14.643705499998701"/>
    <n v="14.643705499998701"/>
    <n v="14.643705499998701"/>
    <n v="15.413905200024599"/>
    <s v="y"/>
    <n v="1"/>
    <n v="0.7584995999932280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Violence"/>
    <s v="I"/>
    <x v="1"/>
    <s v="emotional"/>
    <s v="blue"/>
    <s v="b"/>
    <n v="11"/>
    <n v="11"/>
    <n v="0"/>
    <s v="r"/>
    <n v="0"/>
    <n v="1.2932846999610701"/>
    <s v="None"/>
    <n v="0"/>
    <n v="11"/>
    <n v="11"/>
    <n v="9"/>
    <n v="15.4277170000132"/>
    <m/>
    <m/>
    <m/>
    <m/>
    <n v="15.417971000017101"/>
    <n v="15.4277170000132"/>
    <n v="15.9269311000243"/>
    <n v="15.9269311000243"/>
    <n v="15.9269311000243"/>
    <n v="17.230580000032202"/>
    <s v="r"/>
    <n v="0"/>
    <n v="1.29328469996107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hreat"/>
    <s v="I"/>
    <x v="1"/>
    <s v="emotional"/>
    <s v="blue"/>
    <s v="b"/>
    <n v="12"/>
    <n v="12"/>
    <n v="0"/>
    <s v="b"/>
    <n v="1"/>
    <n v="0.88036830001510602"/>
    <s v="None"/>
    <n v="0"/>
    <n v="12"/>
    <n v="12"/>
    <n v="5"/>
    <n v="17.243832200008899"/>
    <m/>
    <m/>
    <m/>
    <m/>
    <n v="17.2330263999756"/>
    <n v="17.243832200008899"/>
    <n v="17.744936999981199"/>
    <n v="17.744936999981199"/>
    <n v="17.744936999981199"/>
    <n v="18.632121199974701"/>
    <s v="b"/>
    <n v="1"/>
    <n v="0.8803683000151060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Window"/>
    <s v="I"/>
    <x v="0"/>
    <s v="neutral"/>
    <s v="red"/>
    <s v="r"/>
    <n v="13"/>
    <n v="13"/>
    <n v="0"/>
    <s v="r"/>
    <n v="1"/>
    <n v="0.58007490000454698"/>
    <s v="None"/>
    <n v="0"/>
    <n v="13"/>
    <n v="13"/>
    <n v="12"/>
    <n v="18.645008500025099"/>
    <m/>
    <m/>
    <m/>
    <m/>
    <n v="18.6348029000218"/>
    <n v="18.645008500025099"/>
    <n v="19.144608100003001"/>
    <n v="19.144608100003001"/>
    <n v="19.144608100003001"/>
    <n v="19.735525500029301"/>
    <s v="r"/>
    <n v="1"/>
    <n v="0.5800749000045469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Injury"/>
    <s v="I"/>
    <x v="1"/>
    <s v="emotional"/>
    <s v="green"/>
    <s v="g"/>
    <n v="14"/>
    <n v="14"/>
    <n v="0"/>
    <s v="g"/>
    <n v="1"/>
    <n v="6.2667314999853199"/>
    <s v="None"/>
    <n v="0"/>
    <n v="14"/>
    <n v="14"/>
    <n v="6"/>
    <n v="19.7632229999871"/>
    <m/>
    <m/>
    <m/>
    <m/>
    <n v="19.745404599991101"/>
    <n v="19.7632229999871"/>
    <n v="20.245104100031298"/>
    <n v="20.245104100031298"/>
    <n v="20.245104100031298"/>
    <n v="26.5286047999979"/>
    <s v="g"/>
    <n v="1"/>
    <n v="6.26673149998531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n v="24.7436424000188"/>
  </r>
  <r>
    <s v="Panic"/>
    <s v="I"/>
    <x v="1"/>
    <s v="emotional"/>
    <s v="yellow"/>
    <s v="y"/>
    <n v="15"/>
    <n v="15"/>
    <n v="0"/>
    <s v="y"/>
    <n v="1"/>
    <n v="1.11940820002928"/>
    <s v="None"/>
    <n v="0"/>
    <n v="15"/>
    <n v="15"/>
    <n v="3"/>
    <n v="26.542758800031098"/>
    <m/>
    <m/>
    <m/>
    <m/>
    <n v="26.5306350000319"/>
    <n v="26.542758800031098"/>
    <n v="27.043158499989602"/>
    <n v="27.043158499989602"/>
    <n v="27.043158499989602"/>
    <n v="28.1785350000136"/>
    <s v="y"/>
    <n v="1"/>
    <n v="1.1194082000292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Garden"/>
    <s v="I"/>
    <x v="0"/>
    <s v="neutral"/>
    <s v="red"/>
    <s v="r"/>
    <n v="16"/>
    <n v="16"/>
    <n v="0"/>
    <s v="r"/>
    <n v="1"/>
    <n v="0.67668199999025003"/>
    <s v="None"/>
    <n v="0"/>
    <n v="16"/>
    <n v="16"/>
    <n v="16"/>
    <n v="28.1925775000127"/>
    <m/>
    <m/>
    <m/>
    <m/>
    <n v="28.180298299994298"/>
    <n v="28.1925775000127"/>
    <n v="28.6928227000171"/>
    <n v="28.6928227000171"/>
    <n v="28.6928227000171"/>
    <n v="29.377971899986701"/>
    <s v="r"/>
    <n v="1"/>
    <n v="0.67668199999025003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able"/>
    <s v="I"/>
    <x v="0"/>
    <s v="neutral"/>
    <s v="blue"/>
    <s v="b"/>
    <n v="17"/>
    <n v="17"/>
    <n v="0"/>
    <s v="b"/>
    <n v="1"/>
    <n v="1.6939309000153999"/>
    <s v="None"/>
    <n v="0"/>
    <n v="17"/>
    <n v="17"/>
    <n v="13"/>
    <n v="29.3931083999923"/>
    <m/>
    <m/>
    <m/>
    <m/>
    <n v="29.379678700002799"/>
    <n v="29.3931083999923"/>
    <n v="29.892969799984701"/>
    <n v="29.892969799984701"/>
    <n v="29.892969799984701"/>
    <n v="31.594986499985598"/>
    <s v="b"/>
    <n v="1"/>
    <n v="1.69393090001539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adness"/>
    <s v="I"/>
    <x v="1"/>
    <s v="emotional"/>
    <s v="yellow"/>
    <s v="y"/>
    <n v="18"/>
    <n v="18"/>
    <n v="0"/>
    <s v="y"/>
    <n v="1"/>
    <n v="0.76237050001509399"/>
    <s v="None"/>
    <n v="0"/>
    <n v="18"/>
    <n v="18"/>
    <n v="7"/>
    <n v="31.609599600022101"/>
    <m/>
    <m/>
    <m/>
    <m/>
    <n v="31.597202299977599"/>
    <n v="31.609599600022101"/>
    <n v="32.109715899976401"/>
    <n v="32.109715899976401"/>
    <n v="32.109715899976401"/>
    <n v="32.877603699977001"/>
    <s v="y"/>
    <n v="1"/>
    <n v="0.762370500015093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nger"/>
    <s v="C"/>
    <x v="2"/>
    <s v="emotional"/>
    <s v="red"/>
    <s v="r"/>
    <n v="19"/>
    <n v="19"/>
    <n v="0"/>
    <s v="r"/>
    <n v="1"/>
    <n v="0.60483680001925599"/>
    <s v="None"/>
    <n v="0"/>
    <n v="19"/>
    <n v="19"/>
    <n v="8"/>
    <n v="32.892594599979901"/>
    <m/>
    <m/>
    <m/>
    <m/>
    <n v="32.879303800000301"/>
    <n v="32.892594599979901"/>
    <n v="33.392521000001501"/>
    <n v="33.392521000001501"/>
    <n v="33.392521000001501"/>
    <n v="34.011315100011402"/>
    <s v="r"/>
    <n v="1"/>
    <n v="0.604836800019255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in"/>
    <s v="I"/>
    <x v="1"/>
    <s v="emotional"/>
    <s v="blue"/>
    <s v="b"/>
    <n v="20"/>
    <n v="0"/>
    <n v="1"/>
    <s v="b"/>
    <n v="1"/>
    <n v="0.72160699998494204"/>
    <s v="None"/>
    <n v="1"/>
    <n v="0"/>
    <n v="20"/>
    <n v="1"/>
    <n v="34.026534800010197"/>
    <m/>
    <m/>
    <m/>
    <m/>
    <n v="34.012655000027699"/>
    <n v="34.026534800010197"/>
    <n v="34.526002699974903"/>
    <n v="34.526002699974903"/>
    <n v="34.526002699974903"/>
    <n v="35.261167499993398"/>
    <s v="b"/>
    <n v="1"/>
    <n v="0.72160699998494204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Injury"/>
    <s v="I"/>
    <x v="1"/>
    <s v="emotional"/>
    <s v="green"/>
    <s v="g"/>
    <n v="21"/>
    <n v="1"/>
    <n v="1"/>
    <s v="g"/>
    <n v="1"/>
    <n v="0.76921579998452205"/>
    <s v="None"/>
    <n v="1"/>
    <n v="1"/>
    <n v="21"/>
    <n v="6"/>
    <n v="35.276094899978403"/>
    <m/>
    <m/>
    <m/>
    <m/>
    <n v="35.263157000008498"/>
    <n v="35.276094899978403"/>
    <n v="35.775918599974801"/>
    <n v="35.775918599974801"/>
    <n v="35.775918599974801"/>
    <n v="36.562048199994003"/>
    <s v="g"/>
    <n v="1"/>
    <n v="0.769215799984522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nic"/>
    <s v="I"/>
    <x v="1"/>
    <s v="emotional"/>
    <s v="yellow"/>
    <s v="y"/>
    <n v="22"/>
    <n v="2"/>
    <n v="1"/>
    <s v="y"/>
    <n v="1"/>
    <n v="0.60974960000021305"/>
    <s v="None"/>
    <n v="1"/>
    <n v="2"/>
    <n v="22"/>
    <n v="3"/>
    <n v="36.576062100008102"/>
    <m/>
    <m/>
    <m/>
    <m/>
    <n v="36.5642472999752"/>
    <n v="36.576062100008102"/>
    <n v="37.075983699993202"/>
    <n v="37.075983699993202"/>
    <n v="37.075983699993202"/>
    <n v="37.695214000006601"/>
    <s v="y"/>
    <n v="1"/>
    <n v="0.609749600000213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Chair"/>
    <s v="I"/>
    <x v="0"/>
    <s v="neutral"/>
    <s v="green"/>
    <s v="g"/>
    <n v="23"/>
    <n v="3"/>
    <n v="1"/>
    <s v="g"/>
    <n v="1"/>
    <n v="0.64120610000099898"/>
    <s v="None"/>
    <n v="1"/>
    <n v="3"/>
    <n v="23"/>
    <n v="10"/>
    <n v="37.7095349000301"/>
    <m/>
    <m/>
    <m/>
    <m/>
    <n v="37.696984899987001"/>
    <n v="37.7095349000301"/>
    <n v="38.209384199988499"/>
    <n v="38.209384199988499"/>
    <n v="38.209384199988499"/>
    <n v="38.861672400031203"/>
    <s v="g"/>
    <n v="1"/>
    <n v="0.6412061000009989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hreat"/>
    <s v="I"/>
    <x v="1"/>
    <s v="emotional"/>
    <s v="blue"/>
    <s v="b"/>
    <n v="24"/>
    <n v="4"/>
    <n v="1"/>
    <s v="b"/>
    <n v="1"/>
    <n v="1.3204508000053401"/>
    <s v="None"/>
    <n v="1"/>
    <n v="4"/>
    <n v="24"/>
    <n v="5"/>
    <n v="38.876662200025699"/>
    <m/>
    <m/>
    <m/>
    <m/>
    <n v="38.8639292999869"/>
    <n v="38.876662200025699"/>
    <n v="39.376081700029303"/>
    <n v="39.376081700029303"/>
    <n v="39.376081700029303"/>
    <n v="40.711248999985401"/>
    <s v="b"/>
    <n v="1"/>
    <n v="1.32045080000534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tone"/>
    <s v="I"/>
    <x v="0"/>
    <s v="neutral"/>
    <s v="yellow"/>
    <s v="y"/>
    <n v="25"/>
    <n v="5"/>
    <n v="1"/>
    <s v="y"/>
    <n v="1"/>
    <n v="0.99954400002025001"/>
    <s v="None"/>
    <n v="1"/>
    <n v="5"/>
    <n v="25"/>
    <n v="19"/>
    <n v="40.725603500031802"/>
    <m/>
    <m/>
    <m/>
    <m/>
    <n v="40.712957500014397"/>
    <n v="40.725603500031802"/>
    <n v="41.2256909999996"/>
    <n v="41.2256909999996"/>
    <n v="41.2256909999996"/>
    <n v="42.228746599983403"/>
    <s v="y"/>
    <n v="1"/>
    <n v="0.999544000020250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ttle"/>
    <s v="I"/>
    <x v="0"/>
    <s v="neutral"/>
    <s v="yellow"/>
    <s v="y"/>
    <n v="26"/>
    <n v="6"/>
    <n v="1"/>
    <s v="y"/>
    <n v="1"/>
    <n v="0.50198280002223306"/>
    <s v="None"/>
    <n v="1"/>
    <n v="6"/>
    <n v="26"/>
    <n v="11"/>
    <n v="42.242713399988098"/>
    <m/>
    <m/>
    <m/>
    <m/>
    <n v="42.230700400017597"/>
    <n v="42.242713399988098"/>
    <n v="42.742327400017501"/>
    <n v="42.742327400017501"/>
    <n v="42.742327400017501"/>
    <n v="43.261805200017903"/>
    <s v="y"/>
    <n v="1"/>
    <n v="0.5019828000222330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Window"/>
    <s v="I"/>
    <x v="0"/>
    <s v="neutral"/>
    <s v="red"/>
    <s v="r"/>
    <n v="27"/>
    <n v="7"/>
    <n v="1"/>
    <s v="r"/>
    <n v="1"/>
    <n v="0.64625540003180504"/>
    <s v="None"/>
    <n v="1"/>
    <n v="7"/>
    <n v="27"/>
    <n v="12"/>
    <n v="43.275576399988402"/>
    <m/>
    <m/>
    <m/>
    <m/>
    <n v="43.263991600018898"/>
    <n v="43.275576399988402"/>
    <n v="43.775904599984599"/>
    <n v="43.775904599984599"/>
    <n v="43.775904599984599"/>
    <n v="44.427840000018399"/>
    <s v="r"/>
    <n v="1"/>
    <n v="0.64625540003180504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per"/>
    <s v="I"/>
    <x v="0"/>
    <s v="neutral"/>
    <s v="yellow"/>
    <s v="y"/>
    <n v="28"/>
    <n v="8"/>
    <n v="1"/>
    <s v="y"/>
    <n v="1"/>
    <n v="0.87070219998713505"/>
    <s v="None"/>
    <n v="1"/>
    <n v="8"/>
    <n v="28"/>
    <n v="15"/>
    <n v="44.442539000010498"/>
    <m/>
    <m/>
    <m/>
    <m/>
    <n v="44.429789600020698"/>
    <n v="44.442539000010498"/>
    <n v="44.942437199992099"/>
    <n v="44.942437199992099"/>
    <n v="44.942437199992099"/>
    <n v="45.827292000001698"/>
    <s v="y"/>
    <n v="1"/>
    <n v="0.870702199987135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nger"/>
    <s v="C"/>
    <x v="2"/>
    <s v="emotional"/>
    <s v="red"/>
    <s v="r"/>
    <n v="29"/>
    <n v="9"/>
    <n v="1"/>
    <s v="r"/>
    <n v="1"/>
    <n v="0.60543649998726301"/>
    <s v="None"/>
    <n v="1"/>
    <n v="9"/>
    <n v="29"/>
    <n v="8"/>
    <n v="45.842263200029201"/>
    <m/>
    <m/>
    <m/>
    <m/>
    <n v="45.828767600003602"/>
    <n v="45.842263200029201"/>
    <n v="46.342238600016501"/>
    <n v="46.342238600016501"/>
    <n v="46.342238600016501"/>
    <n v="46.960997499991201"/>
    <s v="r"/>
    <n v="1"/>
    <n v="0.605436499987263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able"/>
    <s v="I"/>
    <x v="0"/>
    <s v="neutral"/>
    <s v="blue"/>
    <s v="b"/>
    <n v="30"/>
    <n v="10"/>
    <n v="1"/>
    <s v="b"/>
    <n v="1"/>
    <n v="0.82922339998185601"/>
    <s v="None"/>
    <n v="1"/>
    <n v="10"/>
    <n v="30"/>
    <n v="13"/>
    <n v="46.975575799995497"/>
    <m/>
    <m/>
    <m/>
    <m/>
    <n v="46.963203300023402"/>
    <n v="46.975575799995497"/>
    <n v="47.475382199976501"/>
    <n v="47.475382199976501"/>
    <n v="47.475382199976501"/>
    <n v="48.310887500003403"/>
    <s v="b"/>
    <n v="1"/>
    <n v="0.829223399981856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Road"/>
    <s v="I"/>
    <x v="0"/>
    <s v="neutral"/>
    <s v="green"/>
    <s v="g"/>
    <n v="31"/>
    <n v="11"/>
    <n v="1"/>
    <s v="g"/>
    <n v="1"/>
    <n v="0.75141169998096302"/>
    <s v="None"/>
    <n v="1"/>
    <n v="11"/>
    <n v="31"/>
    <n v="18"/>
    <n v="48.325650100014101"/>
    <m/>
    <m/>
    <m/>
    <m/>
    <n v="48.312531700008499"/>
    <n v="48.325650100014101"/>
    <n v="48.8253527000197"/>
    <n v="48.8253527000197"/>
    <n v="48.8253527000197"/>
    <n v="49.577561700018101"/>
    <s v="g"/>
    <n v="1"/>
    <n v="0.7514116999809630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ok"/>
    <s v="I"/>
    <x v="0"/>
    <s v="neutral"/>
    <s v="blue"/>
    <s v="b"/>
    <n v="32"/>
    <n v="12"/>
    <n v="1"/>
    <s v="b"/>
    <n v="1"/>
    <n v="0.7906057999935"/>
    <s v="None"/>
    <n v="1"/>
    <n v="12"/>
    <n v="32"/>
    <n v="17"/>
    <n v="49.592637900030198"/>
    <m/>
    <m/>
    <m/>
    <m/>
    <n v="49.578903799992901"/>
    <n v="49.592637900030198"/>
    <n v="50.091895800025597"/>
    <n v="50.091895800025597"/>
    <n v="50.091895800025597"/>
    <n v="50.894144300022099"/>
    <s v="b"/>
    <n v="1"/>
    <n v="0.790605799993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Death"/>
    <s v="I"/>
    <x v="1"/>
    <s v="emotional"/>
    <s v="green"/>
    <s v="g"/>
    <n v="33"/>
    <n v="13"/>
    <n v="1"/>
    <s v="g"/>
    <n v="1"/>
    <n v="1.0398826000164201"/>
    <s v="None"/>
    <n v="1"/>
    <n v="13"/>
    <n v="33"/>
    <n v="2"/>
    <n v="50.908742500003399"/>
    <m/>
    <m/>
    <m/>
    <m/>
    <n v="50.895661099988502"/>
    <n v="50.908742500003399"/>
    <n v="51.408906800032099"/>
    <n v="51.408906800032099"/>
    <n v="51.408906800032099"/>
    <n v="52.460746199998503"/>
    <s v="g"/>
    <n v="1"/>
    <n v="1.03988260001642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Garden"/>
    <s v="I"/>
    <x v="0"/>
    <s v="neutral"/>
    <s v="red"/>
    <s v="r"/>
    <n v="34"/>
    <n v="14"/>
    <n v="1"/>
    <s v="r"/>
    <n v="1"/>
    <n v="0.98065719997975898"/>
    <s v="None"/>
    <n v="1"/>
    <n v="14"/>
    <n v="34"/>
    <n v="16"/>
    <n v="52.475276599987403"/>
    <m/>
    <m/>
    <m/>
    <m/>
    <n v="52.462442799995102"/>
    <n v="52.475276599987403"/>
    <n v="52.975146899989298"/>
    <n v="52.975146899989298"/>
    <n v="52.975146899989298"/>
    <n v="53.960415399982502"/>
    <s v="r"/>
    <n v="1"/>
    <n v="0.9806571999797589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buse"/>
    <s v="C"/>
    <x v="2"/>
    <s v="emotional"/>
    <s v="red"/>
    <s v="r"/>
    <n v="35"/>
    <n v="15"/>
    <n v="1"/>
    <s v="r"/>
    <n v="1"/>
    <n v="0.53055779996793695"/>
    <s v="None"/>
    <n v="1"/>
    <n v="15"/>
    <n v="35"/>
    <n v="4"/>
    <n v="53.975257400015799"/>
    <m/>
    <m/>
    <m/>
    <m/>
    <n v="53.961823999998103"/>
    <n v="53.975257400015799"/>
    <n v="54.474933399993397"/>
    <n v="54.474933399993397"/>
    <n v="54.474933399993397"/>
    <n v="55.011750400008097"/>
    <s v="r"/>
    <n v="1"/>
    <n v="0.5305577999679369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Violence"/>
    <s v="I"/>
    <x v="1"/>
    <s v="emotional"/>
    <s v="blue"/>
    <s v="b"/>
    <n v="36"/>
    <n v="16"/>
    <n v="1"/>
    <s v="b"/>
    <n v="1"/>
    <n v="0.79727300000376999"/>
    <s v="None"/>
    <n v="1"/>
    <n v="16"/>
    <n v="36"/>
    <n v="9"/>
    <n v="55.0249630000325"/>
    <m/>
    <m/>
    <m/>
    <m/>
    <n v="55.014358700020203"/>
    <n v="55.0249630000325"/>
    <n v="55.524973499996101"/>
    <n v="55.524973499996101"/>
    <n v="55.524973499996101"/>
    <n v="56.3288022999768"/>
    <s v="b"/>
    <n v="1"/>
    <n v="0.797273000003769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adness"/>
    <s v="I"/>
    <x v="1"/>
    <s v="emotional"/>
    <s v="yellow"/>
    <s v="y"/>
    <n v="37"/>
    <n v="17"/>
    <n v="1"/>
    <s v="y"/>
    <n v="1"/>
    <n v="0.77685750002274201"/>
    <s v="None"/>
    <n v="1"/>
    <n v="17"/>
    <n v="37"/>
    <n v="7"/>
    <n v="56.3422404000302"/>
    <m/>
    <m/>
    <m/>
    <m/>
    <n v="56.3313777000294"/>
    <n v="56.3422404000302"/>
    <n v="56.842082299990501"/>
    <n v="56.842082299990501"/>
    <n v="56.842082299990501"/>
    <n v="57.628961900016201"/>
    <s v="y"/>
    <n v="1"/>
    <n v="0.776857500022742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Fear"/>
    <s v="C"/>
    <x v="2"/>
    <s v="emotional"/>
    <s v="red"/>
    <s v="r"/>
    <n v="38"/>
    <n v="18"/>
    <n v="1"/>
    <s v="r"/>
    <n v="1"/>
    <n v="0.65935309999622405"/>
    <s v="None"/>
    <n v="1"/>
    <n v="18"/>
    <n v="38"/>
    <n v="0"/>
    <n v="57.641951400029903"/>
    <m/>
    <m/>
    <m/>
    <m/>
    <n v="57.631140800018301"/>
    <n v="57.641951400029903"/>
    <n v="58.142327899986398"/>
    <n v="58.142327899986398"/>
    <n v="58.142327899986398"/>
    <n v="58.812436899985101"/>
    <s v="r"/>
    <n v="1"/>
    <n v="0.659353099996224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encil"/>
    <s v="I"/>
    <x v="0"/>
    <s v="neutral"/>
    <s v="green"/>
    <s v="g"/>
    <n v="39"/>
    <n v="19"/>
    <n v="1"/>
    <s v="g"/>
    <n v="1"/>
    <n v="0.98113929998362404"/>
    <s v="None"/>
    <n v="1"/>
    <n v="19"/>
    <n v="39"/>
    <n v="14"/>
    <n v="58.825652400031601"/>
    <m/>
    <m/>
    <m/>
    <m/>
    <n v="58.815124300017402"/>
    <n v="58.825652400031601"/>
    <n v="59.325310499989399"/>
    <n v="59.325310499989399"/>
    <n v="59.325310499989399"/>
    <n v="60.313429200032203"/>
    <s v="g"/>
    <n v="1"/>
    <n v="0.98113929998362404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Fear"/>
    <s v="C"/>
    <x v="2"/>
    <s v="emotional"/>
    <s v="red"/>
    <s v="r"/>
    <n v="40"/>
    <n v="0"/>
    <n v="2"/>
    <s v="r"/>
    <n v="1"/>
    <n v="0.57776660000672497"/>
    <s v="None"/>
    <n v="2"/>
    <n v="0"/>
    <n v="40"/>
    <n v="0"/>
    <n v="60.325207000016199"/>
    <m/>
    <m/>
    <m/>
    <m/>
    <n v="60.315887300006501"/>
    <n v="60.325207000016199"/>
    <n v="60.8252478999784"/>
    <n v="60.8252478999784"/>
    <n v="60.8252478999784"/>
    <n v="61.412219299992998"/>
    <s v="r"/>
    <n v="1"/>
    <n v="0.5777666000067249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buse"/>
    <s v="C"/>
    <x v="2"/>
    <s v="emotional"/>
    <s v="red"/>
    <s v="r"/>
    <n v="41"/>
    <n v="1"/>
    <n v="2"/>
    <s v="r"/>
    <n v="1"/>
    <n v="0.56156489998102099"/>
    <s v="None"/>
    <n v="2"/>
    <n v="1"/>
    <n v="41"/>
    <n v="4"/>
    <n v="61.425751900009303"/>
    <m/>
    <m/>
    <m/>
    <m/>
    <n v="61.414541399979498"/>
    <n v="61.425751900009303"/>
    <n v="61.925201700010803"/>
    <n v="61.925201700010803"/>
    <n v="61.925201700010803"/>
    <n v="62.495233100024002"/>
    <s v="r"/>
    <n v="1"/>
    <n v="0.561564899981020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nic"/>
    <s v="I"/>
    <x v="1"/>
    <s v="emotional"/>
    <s v="yellow"/>
    <s v="y"/>
    <n v="42"/>
    <n v="2"/>
    <n v="2"/>
    <s v="b"/>
    <n v="0"/>
    <n v="0.72918770002433997"/>
    <s v="None"/>
    <n v="2"/>
    <n v="2"/>
    <n v="42"/>
    <n v="3"/>
    <n v="62.508249700011199"/>
    <m/>
    <m/>
    <m/>
    <m/>
    <n v="62.498238100029901"/>
    <n v="62.508249700011199"/>
    <n v="63.0088016000227"/>
    <n v="63.0088016000227"/>
    <n v="63.0088016000227"/>
    <n v="63.745346700015901"/>
    <s v="b"/>
    <n v="0"/>
    <n v="0.7291877000243399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Death"/>
    <s v="I"/>
    <x v="1"/>
    <s v="emotional"/>
    <s v="green"/>
    <s v="g"/>
    <n v="43"/>
    <n v="3"/>
    <n v="2"/>
    <s v="g"/>
    <n v="1"/>
    <n v="0.77791549998801202"/>
    <s v="None"/>
    <n v="2"/>
    <n v="3"/>
    <n v="43"/>
    <n v="2"/>
    <n v="63.758399099984601"/>
    <m/>
    <m/>
    <m/>
    <m/>
    <n v="63.747861900017597"/>
    <n v="63.758399099984601"/>
    <n v="64.258455900009693"/>
    <n v="64.258455900009693"/>
    <n v="64.258455900009693"/>
    <n v="65.045757899992097"/>
    <s v="g"/>
    <n v="1"/>
    <n v="0.7779154999880120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able"/>
    <s v="I"/>
    <x v="0"/>
    <s v="neutral"/>
    <s v="blue"/>
    <s v="b"/>
    <n v="44"/>
    <n v="4"/>
    <n v="2"/>
    <s v="b"/>
    <n v="1"/>
    <n v="0.95712340000318297"/>
    <s v="None"/>
    <n v="2"/>
    <n v="4"/>
    <n v="44"/>
    <n v="13"/>
    <n v="65.058557600015703"/>
    <m/>
    <m/>
    <m/>
    <m/>
    <n v="65.049093600013293"/>
    <n v="65.058557600015703"/>
    <n v="65.558416699990602"/>
    <n v="65.558416699990602"/>
    <n v="65.558416699990602"/>
    <n v="66.529772099980605"/>
    <s v="b"/>
    <n v="1"/>
    <n v="0.9571234000031829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ok"/>
    <s v="I"/>
    <x v="0"/>
    <s v="neutral"/>
    <s v="blue"/>
    <s v="b"/>
    <n v="45"/>
    <n v="5"/>
    <n v="2"/>
    <s v="r"/>
    <n v="0"/>
    <n v="0.77052419999381505"/>
    <s v="None"/>
    <n v="2"/>
    <n v="5"/>
    <n v="45"/>
    <n v="17"/>
    <n v="66.5413050000206"/>
    <m/>
    <m/>
    <m/>
    <m/>
    <n v="66.532533099991198"/>
    <n v="66.5413050000206"/>
    <n v="67.042655800003502"/>
    <n v="67.042655800003502"/>
    <n v="67.042655800003502"/>
    <n v="67.8289458000217"/>
    <s v="r"/>
    <n v="0"/>
    <n v="0.770524199993815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nger"/>
    <s v="C"/>
    <x v="2"/>
    <s v="emotional"/>
    <s v="red"/>
    <s v="r"/>
    <n v="46"/>
    <n v="6"/>
    <n v="2"/>
    <s v="r"/>
    <n v="1"/>
    <n v="0.53022070002043598"/>
    <s v="None"/>
    <n v="2"/>
    <n v="6"/>
    <n v="46"/>
    <n v="8"/>
    <n v="67.842245500010904"/>
    <m/>
    <m/>
    <m/>
    <m/>
    <n v="67.832124000007695"/>
    <n v="67.842245500010904"/>
    <n v="68.341479499998897"/>
    <n v="68.341479499998897"/>
    <n v="68.341479499998897"/>
    <n v="68.879183900018603"/>
    <s v="r"/>
    <n v="1"/>
    <n v="0.5302207000204359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Window"/>
    <s v="I"/>
    <x v="0"/>
    <s v="neutral"/>
    <s v="red"/>
    <s v="r"/>
    <n v="47"/>
    <n v="7"/>
    <n v="2"/>
    <s v="r"/>
    <n v="1"/>
    <n v="0.366891099954955"/>
    <s v="None"/>
    <n v="2"/>
    <n v="7"/>
    <n v="47"/>
    <n v="12"/>
    <n v="68.891866000019903"/>
    <m/>
    <m/>
    <m/>
    <m/>
    <n v="68.882774600002406"/>
    <n v="68.891866000019903"/>
    <n v="69.391593599982997"/>
    <n v="69.391593599982997"/>
    <n v="69.391593599982997"/>
    <n v="69.761658200004604"/>
    <s v="r"/>
    <n v="1"/>
    <n v="0.36689109995495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Violence"/>
    <s v="I"/>
    <x v="1"/>
    <s v="emotional"/>
    <s v="blue"/>
    <s v="b"/>
    <n v="48"/>
    <n v="8"/>
    <n v="2"/>
    <s v="b"/>
    <n v="1"/>
    <n v="0.693160799972247"/>
    <s v="None"/>
    <n v="2"/>
    <n v="8"/>
    <n v="48"/>
    <n v="9"/>
    <n v="69.774863699974901"/>
    <m/>
    <m/>
    <m/>
    <m/>
    <n v="69.765221300011007"/>
    <n v="69.774863699974901"/>
    <n v="70.274693100014701"/>
    <n v="70.274693100014701"/>
    <n v="70.274693100014701"/>
    <n v="70.978853599983196"/>
    <s v="b"/>
    <n v="1"/>
    <n v="0.69316079997224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hreat"/>
    <s v="I"/>
    <x v="1"/>
    <s v="emotional"/>
    <s v="blue"/>
    <s v="b"/>
    <n v="49"/>
    <n v="9"/>
    <n v="2"/>
    <s v="b"/>
    <n v="1"/>
    <n v="1.0865412999992199"/>
    <s v="None"/>
    <n v="2"/>
    <n v="9"/>
    <n v="49"/>
    <n v="5"/>
    <n v="70.991587999975295"/>
    <m/>
    <m/>
    <m/>
    <m/>
    <n v="70.982713799981795"/>
    <n v="70.991587999975295"/>
    <n v="71.491290199977797"/>
    <n v="71.491290199977797"/>
    <n v="71.491290199977797"/>
    <n v="72.578217700007301"/>
    <s v="b"/>
    <n v="1"/>
    <n v="1.08654129999921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encil"/>
    <s v="I"/>
    <x v="0"/>
    <s v="neutral"/>
    <s v="green"/>
    <s v="g"/>
    <n v="50"/>
    <n v="10"/>
    <n v="2"/>
    <s v="g"/>
    <n v="1"/>
    <n v="0.67173040000488904"/>
    <s v="None"/>
    <n v="2"/>
    <n v="10"/>
    <n v="50"/>
    <n v="14"/>
    <n v="72.591306700021903"/>
    <m/>
    <m/>
    <m/>
    <m/>
    <n v="72.581427299999604"/>
    <n v="72.591306700021903"/>
    <n v="73.091208100027799"/>
    <n v="73.091208100027799"/>
    <n v="73.091208100027799"/>
    <n v="73.778169299999703"/>
    <s v="g"/>
    <n v="1"/>
    <n v="0.67173040000488904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in"/>
    <s v="I"/>
    <x v="1"/>
    <s v="emotional"/>
    <s v="blue"/>
    <s v="b"/>
    <n v="51"/>
    <n v="11"/>
    <n v="2"/>
    <s v="b"/>
    <n v="1"/>
    <n v="0.85491759999422301"/>
    <s v="None"/>
    <n v="2"/>
    <n v="11"/>
    <n v="51"/>
    <n v="1"/>
    <n v="73.791702500020605"/>
    <m/>
    <m/>
    <m/>
    <m/>
    <n v="73.780714599997694"/>
    <n v="73.791702500020605"/>
    <n v="74.291416399995796"/>
    <n v="74.291416399995796"/>
    <n v="74.291416399995796"/>
    <n v="75.161478499998296"/>
    <s v="b"/>
    <n v="1"/>
    <n v="0.854917599994223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Road"/>
    <s v="I"/>
    <x v="0"/>
    <s v="neutral"/>
    <s v="green"/>
    <s v="g"/>
    <n v="52"/>
    <n v="12"/>
    <n v="2"/>
    <s v="g"/>
    <n v="1"/>
    <n v="1.42252079996978"/>
    <s v="None"/>
    <n v="2"/>
    <n v="12"/>
    <n v="52"/>
    <n v="18"/>
    <n v="75.175102700013596"/>
    <m/>
    <m/>
    <m/>
    <m/>
    <n v="75.163862699991995"/>
    <n v="75.175102700013596"/>
    <n v="75.674556599988094"/>
    <n v="75.674556599988094"/>
    <n v="75.674556599988094"/>
    <n v="77.113217999984002"/>
    <s v="g"/>
    <n v="1"/>
    <n v="1.4225207999697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tone"/>
    <s v="I"/>
    <x v="0"/>
    <s v="neutral"/>
    <s v="yellow"/>
    <s v="y"/>
    <n v="53"/>
    <n v="13"/>
    <n v="2"/>
    <s v="y"/>
    <n v="1"/>
    <n v="0.84413089998997703"/>
    <s v="None"/>
    <n v="2"/>
    <n v="13"/>
    <n v="53"/>
    <n v="19"/>
    <n v="77.125854799989597"/>
    <m/>
    <m/>
    <m/>
    <m/>
    <n v="77.116895999992195"/>
    <n v="77.125854799989597"/>
    <n v="77.624675300030503"/>
    <n v="77.624675300030503"/>
    <n v="77.624675300030503"/>
    <n v="78.477898399985804"/>
    <s v="y"/>
    <n v="1"/>
    <n v="0.84413089998997703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Garden"/>
    <s v="I"/>
    <x v="0"/>
    <s v="neutral"/>
    <s v="red"/>
    <s v="r"/>
    <n v="54"/>
    <n v="14"/>
    <n v="2"/>
    <s v="r"/>
    <n v="1"/>
    <n v="0.64040319999912698"/>
    <s v="None"/>
    <n v="2"/>
    <n v="14"/>
    <n v="54"/>
    <n v="16"/>
    <n v="78.491096000012405"/>
    <m/>
    <m/>
    <m/>
    <m/>
    <n v="78.480270700005306"/>
    <n v="78.491096000012405"/>
    <n v="78.9913954000221"/>
    <n v="78.9913954000221"/>
    <n v="78.9913954000221"/>
    <n v="79.644956999982199"/>
    <s v="r"/>
    <n v="1"/>
    <n v="0.6404031999991269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Injury"/>
    <s v="I"/>
    <x v="1"/>
    <s v="emotional"/>
    <s v="green"/>
    <s v="g"/>
    <n v="55"/>
    <n v="15"/>
    <n v="2"/>
    <s v="g"/>
    <n v="1"/>
    <n v="0.84014300000853803"/>
    <s v="None"/>
    <n v="2"/>
    <n v="15"/>
    <n v="55"/>
    <n v="6"/>
    <n v="79.657459600013595"/>
    <m/>
    <m/>
    <m/>
    <m/>
    <n v="79.648164600017395"/>
    <n v="79.657459600013595"/>
    <n v="80.157935300027006"/>
    <n v="80.157935300027006"/>
    <n v="80.157935300027006"/>
    <n v="81.011157300032195"/>
    <s v="g"/>
    <n v="1"/>
    <n v="0.84014300000853803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adness"/>
    <s v="I"/>
    <x v="1"/>
    <s v="emotional"/>
    <s v="yellow"/>
    <s v="y"/>
    <n v="56"/>
    <n v="16"/>
    <n v="2"/>
    <s v="y"/>
    <n v="1"/>
    <n v="0.83044669998344001"/>
    <s v="None"/>
    <n v="2"/>
    <n v="16"/>
    <n v="56"/>
    <n v="7"/>
    <n v="81.0250052000046"/>
    <m/>
    <m/>
    <m/>
    <m/>
    <n v="81.013883400009902"/>
    <n v="81.0250052000046"/>
    <n v="81.524684800009695"/>
    <n v="81.524684800009695"/>
    <n v="81.524684800009695"/>
    <n v="82.361323699995395"/>
    <s v="y"/>
    <n v="1"/>
    <n v="0.830446699983440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Chair"/>
    <s v="I"/>
    <x v="0"/>
    <s v="neutral"/>
    <s v="green"/>
    <s v="g"/>
    <n v="57"/>
    <n v="17"/>
    <n v="2"/>
    <s v="g"/>
    <n v="1"/>
    <n v="0.79632580000907105"/>
    <s v="None"/>
    <n v="2"/>
    <n v="17"/>
    <n v="57"/>
    <n v="10"/>
    <n v="82.374602199997696"/>
    <m/>
    <m/>
    <m/>
    <m/>
    <n v="82.363841300015295"/>
    <n v="82.374602199997696"/>
    <n v="82.874548499996294"/>
    <n v="82.874548499996294"/>
    <n v="82.874548499996294"/>
    <n v="83.677900300011899"/>
    <s v="g"/>
    <n v="1"/>
    <n v="0.796325800009071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per"/>
    <s v="I"/>
    <x v="0"/>
    <s v="neutral"/>
    <s v="yellow"/>
    <s v="y"/>
    <n v="58"/>
    <n v="18"/>
    <n v="2"/>
    <s v="y"/>
    <n v="1"/>
    <n v="0.93522879999363795"/>
    <s v="None"/>
    <n v="2"/>
    <n v="18"/>
    <n v="58"/>
    <n v="15"/>
    <n v="83.691385500016594"/>
    <m/>
    <m/>
    <m/>
    <m/>
    <n v="83.680732799984895"/>
    <n v="83.691385500016594"/>
    <n v="84.190643100009694"/>
    <n v="84.190643100009694"/>
    <n v="84.190643100009694"/>
    <n v="85.127754300017799"/>
    <s v="y"/>
    <n v="1"/>
    <n v="0.9352287999936379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ttle"/>
    <s v="I"/>
    <x v="0"/>
    <s v="neutral"/>
    <s v="yellow"/>
    <s v="y"/>
    <n v="59"/>
    <n v="19"/>
    <n v="2"/>
    <s v="y"/>
    <n v="1"/>
    <n v="0.46373600000515502"/>
    <s v="None"/>
    <n v="2"/>
    <n v="19"/>
    <n v="59"/>
    <n v="11"/>
    <n v="85.140550300013203"/>
    <m/>
    <m/>
    <m/>
    <m/>
    <n v="85.130849500012104"/>
    <n v="85.140550300013203"/>
    <n v="85.640851099975393"/>
    <n v="85.640851099975393"/>
    <n v="85.640851099975393"/>
    <n v="86.110969699977403"/>
    <s v="y"/>
    <n v="1"/>
    <n v="0.4637360000051550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tone"/>
    <s v="I"/>
    <x v="0"/>
    <s v="neutral"/>
    <s v="yellow"/>
    <s v="y"/>
    <n v="60"/>
    <n v="0"/>
    <n v="3"/>
    <s v="y"/>
    <n v="1"/>
    <n v="0.46756799996364801"/>
    <s v="None"/>
    <n v="3"/>
    <n v="0"/>
    <n v="60"/>
    <n v="19"/>
    <n v="86.124205600004601"/>
    <m/>
    <m/>
    <m/>
    <m/>
    <n v="86.114042699977205"/>
    <n v="86.124205600004601"/>
    <n v="86.624579499999498"/>
    <n v="86.624579499999498"/>
    <n v="86.624579499999498"/>
    <n v="87.094266999978501"/>
    <s v="y"/>
    <n v="1"/>
    <n v="0.467567999963648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able"/>
    <s v="I"/>
    <x v="0"/>
    <s v="neutral"/>
    <s v="blue"/>
    <s v="b"/>
    <n v="61"/>
    <n v="1"/>
    <n v="3"/>
    <s v="g"/>
    <n v="0"/>
    <n v="0.69957510003587198"/>
    <s v="None"/>
    <n v="3"/>
    <n v="1"/>
    <n v="61"/>
    <n v="13"/>
    <n v="87.107280900003303"/>
    <m/>
    <m/>
    <m/>
    <m/>
    <n v="87.096933800028594"/>
    <n v="87.107280900003303"/>
    <n v="87.607438899984103"/>
    <n v="87.607438899984103"/>
    <n v="87.607438899984103"/>
    <n v="88.312116299988702"/>
    <s v="g"/>
    <n v="0"/>
    <n v="0.6995751000358719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Window"/>
    <s v="I"/>
    <x v="0"/>
    <s v="neutral"/>
    <s v="red"/>
    <s v="r"/>
    <n v="62"/>
    <n v="2"/>
    <n v="3"/>
    <s v="r"/>
    <n v="1"/>
    <n v="0.64872410002863001"/>
    <s v="None"/>
    <n v="3"/>
    <n v="2"/>
    <n v="62"/>
    <n v="12"/>
    <n v="88.323703999980296"/>
    <m/>
    <m/>
    <m/>
    <m/>
    <n v="88.314825600013094"/>
    <n v="88.323703999980296"/>
    <n v="88.8237845000112"/>
    <n v="88.8237845000112"/>
    <n v="88.8237845000112"/>
    <n v="89.477806399983805"/>
    <s v="r"/>
    <n v="1"/>
    <n v="0.648724100028630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Violence"/>
    <s v="I"/>
    <x v="1"/>
    <s v="emotional"/>
    <s v="blue"/>
    <s v="b"/>
    <n v="63"/>
    <n v="3"/>
    <n v="3"/>
    <s v="b"/>
    <n v="1"/>
    <n v="1.03936860000249"/>
    <s v="None"/>
    <n v="3"/>
    <n v="3"/>
    <n v="63"/>
    <n v="9"/>
    <n v="89.491840699978596"/>
    <m/>
    <m/>
    <m/>
    <m/>
    <n v="89.4803925000014"/>
    <n v="89.491840699978596"/>
    <n v="89.990855499985599"/>
    <n v="89.990855499985599"/>
    <n v="89.990855499985599"/>
    <n v="91.045921400014706"/>
    <s v="b"/>
    <n v="1"/>
    <n v="1.0393686000024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nic"/>
    <s v="I"/>
    <x v="1"/>
    <s v="emotional"/>
    <s v="yellow"/>
    <s v="y"/>
    <n v="64"/>
    <n v="4"/>
    <n v="3"/>
    <s v="y"/>
    <n v="1"/>
    <n v="1.04481240001041"/>
    <s v="None"/>
    <n v="3"/>
    <n v="4"/>
    <n v="64"/>
    <n v="3"/>
    <n v="91.058702300011603"/>
    <m/>
    <m/>
    <m/>
    <m/>
    <n v="91.048546999983898"/>
    <n v="91.058702300011603"/>
    <n v="91.558962000009998"/>
    <n v="91.558962000009998"/>
    <n v="91.558962000009998"/>
    <n v="92.612177399976602"/>
    <s v="y"/>
    <n v="1"/>
    <n v="1.0448124000104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Death"/>
    <s v="I"/>
    <x v="1"/>
    <s v="emotional"/>
    <s v="green"/>
    <s v="g"/>
    <n v="65"/>
    <n v="5"/>
    <n v="3"/>
    <s v="g"/>
    <n v="1"/>
    <n v="1.52983220003079"/>
    <s v="None"/>
    <n v="3"/>
    <n v="5"/>
    <n v="65"/>
    <n v="2"/>
    <n v="92.630067399994005"/>
    <m/>
    <m/>
    <m/>
    <m/>
    <n v="92.614812200015805"/>
    <n v="92.630067399994005"/>
    <n v="93.124932400009101"/>
    <n v="93.124932400009101"/>
    <n v="93.124932400009101"/>
    <n v="94.663107400003298"/>
    <s v="g"/>
    <n v="1"/>
    <n v="1.5298322000307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Injury"/>
    <s v="I"/>
    <x v="1"/>
    <s v="emotional"/>
    <s v="green"/>
    <s v="g"/>
    <n v="66"/>
    <n v="6"/>
    <n v="3"/>
    <s v="g"/>
    <n v="1"/>
    <n v="0.61253189999843005"/>
    <s v="None"/>
    <n v="3"/>
    <n v="6"/>
    <n v="66"/>
    <n v="6"/>
    <n v="94.675358999986202"/>
    <m/>
    <m/>
    <m/>
    <m/>
    <n v="94.6656115999794"/>
    <n v="94.675358999986202"/>
    <n v="95.176567099988404"/>
    <n v="95.176567099988404"/>
    <n v="95.176567099988404"/>
    <n v="95.795443399983895"/>
    <s v="g"/>
    <n v="1"/>
    <n v="0.612531899998430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Road"/>
    <s v="I"/>
    <x v="0"/>
    <s v="neutral"/>
    <s v="green"/>
    <s v="g"/>
    <n v="67"/>
    <n v="7"/>
    <n v="3"/>
    <s v="g"/>
    <n v="1"/>
    <n v="0.49875070003326899"/>
    <s v="None"/>
    <n v="3"/>
    <n v="7"/>
    <n v="67"/>
    <n v="18"/>
    <n v="95.808879600022905"/>
    <m/>
    <m/>
    <m/>
    <m/>
    <n v="95.798611200007102"/>
    <n v="95.808879600022905"/>
    <n v="96.308643400028799"/>
    <n v="96.308643400028799"/>
    <n v="96.308643400028799"/>
    <n v="96.813326700008403"/>
    <s v="g"/>
    <n v="1"/>
    <n v="0.498750700033268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ttle"/>
    <s v="I"/>
    <x v="0"/>
    <s v="neutral"/>
    <s v="yellow"/>
    <s v="y"/>
    <n v="68"/>
    <n v="8"/>
    <n v="3"/>
    <s v="y"/>
    <n v="1"/>
    <n v="0.84326400002464597"/>
    <s v="None"/>
    <n v="3"/>
    <n v="8"/>
    <n v="68"/>
    <n v="11"/>
    <n v="96.824868199997496"/>
    <m/>
    <m/>
    <m/>
    <m/>
    <n v="96.817437499994398"/>
    <n v="96.824868199997496"/>
    <n v="97.325423999980501"/>
    <n v="97.325423999980501"/>
    <n v="97.325423999980501"/>
    <n v="98.178698399977193"/>
    <s v="y"/>
    <n v="1"/>
    <n v="0.8432640000246459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in"/>
    <s v="I"/>
    <x v="1"/>
    <s v="emotional"/>
    <s v="blue"/>
    <s v="b"/>
    <n v="69"/>
    <n v="9"/>
    <n v="3"/>
    <s v="b"/>
    <n v="1"/>
    <n v="0.87362869997741599"/>
    <s v="None"/>
    <n v="3"/>
    <n v="9"/>
    <n v="69"/>
    <n v="1"/>
    <n v="98.191524000023406"/>
    <m/>
    <m/>
    <m/>
    <m/>
    <n v="98.181897700007497"/>
    <n v="98.191524000023406"/>
    <n v="98.691848499991394"/>
    <n v="98.691848499991394"/>
    <n v="98.691848499991394"/>
    <n v="99.579063299985094"/>
    <s v="b"/>
    <n v="1"/>
    <n v="0.873628699977415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Fear"/>
    <s v="C"/>
    <x v="2"/>
    <s v="emotional"/>
    <s v="red"/>
    <s v="r"/>
    <n v="70"/>
    <n v="10"/>
    <n v="3"/>
    <s v="r"/>
    <n v="1"/>
    <n v="0.83119050000095696"/>
    <s v="None"/>
    <n v="3"/>
    <n v="10"/>
    <n v="70"/>
    <n v="0"/>
    <n v="99.591882599983293"/>
    <m/>
    <m/>
    <m/>
    <m/>
    <n v="99.581588400003895"/>
    <n v="99.591882599983293"/>
    <n v="100.091512800019"/>
    <n v="100.091512800019"/>
    <n v="100.091512800019"/>
    <n v="100.9286709"/>
    <s v="r"/>
    <n v="1"/>
    <n v="0.8311905000009569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buse"/>
    <s v="C"/>
    <x v="2"/>
    <s v="emotional"/>
    <s v="red"/>
    <s v="r"/>
    <n v="71"/>
    <n v="11"/>
    <n v="3"/>
    <s v="r"/>
    <n v="1"/>
    <n v="0.46516530000371797"/>
    <s v="None"/>
    <n v="3"/>
    <n v="11"/>
    <n v="71"/>
    <n v="4"/>
    <n v="100.94138670002501"/>
    <m/>
    <m/>
    <m/>
    <m/>
    <n v="100.931454800011"/>
    <n v="100.94138670002501"/>
    <n v="101.44160189997601"/>
    <n v="101.44160189997601"/>
    <n v="101.44160189997601"/>
    <n v="101.912925400014"/>
    <s v="r"/>
    <n v="1"/>
    <n v="0.4651653000037179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nger"/>
    <s v="C"/>
    <x v="2"/>
    <s v="emotional"/>
    <s v="red"/>
    <s v="r"/>
    <n v="72"/>
    <n v="12"/>
    <n v="3"/>
    <s v="r"/>
    <n v="1"/>
    <n v="0.43837280001025603"/>
    <s v="None"/>
    <n v="3"/>
    <n v="12"/>
    <n v="72"/>
    <n v="8"/>
    <n v="101.924754699983"/>
    <m/>
    <m/>
    <m/>
    <m/>
    <n v="101.91630510002101"/>
    <n v="101.924754699983"/>
    <n v="102.425335199979"/>
    <n v="102.425335199979"/>
    <n v="102.425335199979"/>
    <n v="102.878727399976"/>
    <s v="r"/>
    <n v="1"/>
    <n v="0.43837280001025603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adness"/>
    <s v="I"/>
    <x v="1"/>
    <s v="emotional"/>
    <s v="yellow"/>
    <s v="y"/>
    <n v="73"/>
    <n v="13"/>
    <n v="3"/>
    <s v="y"/>
    <n v="1"/>
    <n v="0.68386430002283305"/>
    <s v="None"/>
    <n v="3"/>
    <n v="13"/>
    <n v="73"/>
    <n v="7"/>
    <n v="102.891384300019"/>
    <m/>
    <m/>
    <m/>
    <m/>
    <n v="102.881429200002"/>
    <n v="102.891384300019"/>
    <n v="103.391267099999"/>
    <n v="103.391267099999"/>
    <n v="103.391267099999"/>
    <n v="104.07849769998499"/>
    <s v="y"/>
    <n v="1"/>
    <n v="0.683864300022833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Garden"/>
    <s v="I"/>
    <x v="0"/>
    <s v="neutral"/>
    <s v="red"/>
    <s v="r"/>
    <n v="74"/>
    <n v="14"/>
    <n v="3"/>
    <s v="r"/>
    <n v="1"/>
    <n v="0.63033010001527101"/>
    <s v="None"/>
    <n v="3"/>
    <n v="14"/>
    <n v="74"/>
    <n v="16"/>
    <n v="104.091480600007"/>
    <m/>
    <m/>
    <m/>
    <m/>
    <n v="104.08126419998"/>
    <n v="104.091480600007"/>
    <n v="104.59114510001299"/>
    <n v="104.59114510001299"/>
    <n v="104.59114510001299"/>
    <n v="105.229039800004"/>
    <s v="r"/>
    <n v="1"/>
    <n v="0.630330100015271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per"/>
    <s v="I"/>
    <x v="0"/>
    <s v="neutral"/>
    <s v="yellow"/>
    <s v="y"/>
    <n v="75"/>
    <n v="15"/>
    <n v="3"/>
    <s v="y"/>
    <n v="1"/>
    <n v="0.66497869999147896"/>
    <s v="None"/>
    <n v="3"/>
    <n v="15"/>
    <n v="75"/>
    <n v="15"/>
    <n v="105.241866099997"/>
    <m/>
    <m/>
    <m/>
    <m/>
    <n v="105.231695100024"/>
    <n v="105.241866099997"/>
    <n v="105.74169679998801"/>
    <n v="105.74169679998801"/>
    <n v="105.74169679998801"/>
    <n v="106.411967699998"/>
    <s v="y"/>
    <n v="1"/>
    <n v="0.6649786999914789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ok"/>
    <s v="I"/>
    <x v="0"/>
    <s v="neutral"/>
    <s v="blue"/>
    <s v="b"/>
    <n v="76"/>
    <n v="16"/>
    <n v="3"/>
    <s v="b"/>
    <n v="1"/>
    <n v="0.97042039997177199"/>
    <s v="None"/>
    <n v="3"/>
    <n v="16"/>
    <n v="76"/>
    <n v="17"/>
    <n v="106.424981900025"/>
    <m/>
    <m/>
    <m/>
    <m/>
    <n v="106.414806500019"/>
    <n v="106.424981900025"/>
    <n v="106.924586399982"/>
    <n v="106.924586399982"/>
    <n v="106.924586399982"/>
    <n v="107.911709700012"/>
    <s v="b"/>
    <n v="1"/>
    <n v="0.970420399971771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Chair"/>
    <s v="I"/>
    <x v="0"/>
    <s v="neutral"/>
    <s v="green"/>
    <s v="g"/>
    <n v="77"/>
    <n v="17"/>
    <n v="3"/>
    <s v="g"/>
    <n v="1"/>
    <n v="0.69643349997932003"/>
    <s v="None"/>
    <n v="3"/>
    <n v="17"/>
    <n v="77"/>
    <n v="10"/>
    <n v="107.92432470002601"/>
    <m/>
    <m/>
    <m/>
    <m/>
    <n v="107.914339400012"/>
    <n v="107.92432470002601"/>
    <n v="108.42425219999799"/>
    <n v="108.42425219999799"/>
    <n v="108.42425219999799"/>
    <n v="109.12820570002"/>
    <s v="g"/>
    <n v="1"/>
    <n v="0.69643349997932003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encil"/>
    <s v="I"/>
    <x v="0"/>
    <s v="neutral"/>
    <s v="green"/>
    <s v="g"/>
    <n v="78"/>
    <n v="18"/>
    <n v="3"/>
    <s v="g"/>
    <n v="1"/>
    <n v="0.49359560001175801"/>
    <s v="None"/>
    <n v="3"/>
    <n v="18"/>
    <n v="78"/>
    <n v="14"/>
    <n v="109.142121499986"/>
    <m/>
    <m/>
    <m/>
    <m/>
    <n v="109.130876199982"/>
    <n v="109.142121499986"/>
    <n v="109.641120399988"/>
    <n v="109.641120399988"/>
    <n v="109.641120399988"/>
    <n v="110.14458110003"/>
    <s v="g"/>
    <n v="1"/>
    <n v="0.493595600011758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hreat"/>
    <s v="I"/>
    <x v="1"/>
    <s v="emotional"/>
    <s v="blue"/>
    <s v="b"/>
    <n v="79"/>
    <n v="19"/>
    <n v="3"/>
    <s v="b"/>
    <n v="1"/>
    <n v="1.0763615000178099"/>
    <s v="None"/>
    <n v="3"/>
    <n v="19"/>
    <n v="79"/>
    <n v="5"/>
    <n v="110.157714300032"/>
    <m/>
    <m/>
    <m/>
    <m/>
    <n v="110.147223600011"/>
    <n v="110.157714300032"/>
    <n v="110.658132100012"/>
    <n v="110.658132100012"/>
    <n v="110.658132100012"/>
    <n v="111.745928800024"/>
    <s v="b"/>
    <n v="1"/>
    <n v="1.07636150001780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buse"/>
    <s v="C"/>
    <x v="2"/>
    <s v="emotional"/>
    <s v="red"/>
    <s v="r"/>
    <n v="80"/>
    <n v="0"/>
    <n v="4"/>
    <s v="r"/>
    <n v="1"/>
    <n v="0.599536199995782"/>
    <s v="None"/>
    <n v="4"/>
    <n v="0"/>
    <n v="80"/>
    <n v="4"/>
    <n v="111.757929600018"/>
    <m/>
    <m/>
    <m/>
    <m/>
    <n v="111.749162300024"/>
    <n v="111.757929600018"/>
    <n v="112.257721100002"/>
    <n v="112.257721100002"/>
    <n v="112.257721100002"/>
    <n v="112.86178209999299"/>
    <s v="r"/>
    <n v="1"/>
    <n v="0.59953619999578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hreat"/>
    <s v="I"/>
    <x v="1"/>
    <s v="emotional"/>
    <s v="blue"/>
    <s v="b"/>
    <n v="81"/>
    <n v="1"/>
    <n v="4"/>
    <s v="b"/>
    <n v="1"/>
    <n v="1.21846679999725"/>
    <s v="None"/>
    <n v="4"/>
    <n v="1"/>
    <n v="81"/>
    <n v="5"/>
    <n v="112.87408819998301"/>
    <m/>
    <m/>
    <m/>
    <m/>
    <n v="112.86481180001201"/>
    <n v="112.87408819998301"/>
    <n v="113.37456919997901"/>
    <n v="113.37456919997901"/>
    <n v="113.37456919997901"/>
    <n v="114.594705900002"/>
    <s v="b"/>
    <n v="1"/>
    <n v="1.2184667999972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Road"/>
    <s v="I"/>
    <x v="0"/>
    <s v="neutral"/>
    <s v="green"/>
    <s v="g"/>
    <n v="82"/>
    <n v="2"/>
    <n v="4"/>
    <s v="g"/>
    <n v="1"/>
    <n v="1.2195034000324001"/>
    <s v="None"/>
    <n v="4"/>
    <n v="2"/>
    <n v="82"/>
    <n v="18"/>
    <n v="114.608274500002"/>
    <m/>
    <m/>
    <m/>
    <m/>
    <n v="114.597170900029"/>
    <n v="114.608274500002"/>
    <n v="115.10821089998301"/>
    <n v="115.10821089998301"/>
    <n v="115.10821089998301"/>
    <n v="116.328657299978"/>
    <s v="g"/>
    <n v="1"/>
    <n v="1.21950340003240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encil"/>
    <s v="I"/>
    <x v="0"/>
    <s v="neutral"/>
    <s v="green"/>
    <s v="g"/>
    <n v="83"/>
    <n v="3"/>
    <n v="4"/>
    <s v="g"/>
    <n v="1"/>
    <n v="0.53257260000100304"/>
    <s v="None"/>
    <n v="4"/>
    <n v="3"/>
    <n v="83"/>
    <n v="14"/>
    <n v="116.340954000013"/>
    <m/>
    <m/>
    <m/>
    <m/>
    <n v="116.33133630000501"/>
    <n v="116.340954000013"/>
    <n v="116.841447899991"/>
    <n v="116.841447899991"/>
    <n v="116.841447899991"/>
    <n v="117.379401299986"/>
    <s v="g"/>
    <n v="1"/>
    <n v="0.53257260000100304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ttle"/>
    <s v="I"/>
    <x v="0"/>
    <s v="neutral"/>
    <s v="yellow"/>
    <s v="y"/>
    <n v="84"/>
    <n v="4"/>
    <n v="4"/>
    <s v="y"/>
    <n v="1"/>
    <n v="2.2882200000458299"/>
    <s v="None"/>
    <n v="4"/>
    <n v="4"/>
    <n v="84"/>
    <n v="11"/>
    <n v="117.390962100005"/>
    <m/>
    <m/>
    <m/>
    <m/>
    <n v="117.38210990000501"/>
    <n v="117.390962100005"/>
    <n v="117.890788300021"/>
    <n v="117.890788300021"/>
    <n v="117.890788300021"/>
    <n v="120.194414100027"/>
    <s v="y"/>
    <n v="1"/>
    <n v="2.28822000004582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Violence"/>
    <s v="I"/>
    <x v="1"/>
    <s v="emotional"/>
    <s v="blue"/>
    <s v="b"/>
    <n v="85"/>
    <n v="5"/>
    <n v="4"/>
    <s v="b"/>
    <n v="1"/>
    <n v="0.82002709998050705"/>
    <s v="None"/>
    <n v="4"/>
    <n v="5"/>
    <n v="85"/>
    <n v="9"/>
    <n v="120.207353200006"/>
    <m/>
    <m/>
    <m/>
    <m/>
    <n v="120.197214299987"/>
    <n v="120.207353200006"/>
    <n v="120.707289999991"/>
    <n v="120.707289999991"/>
    <n v="120.707289999991"/>
    <n v="121.528206199989"/>
    <s v="b"/>
    <n v="1"/>
    <n v="0.820027099980507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ok"/>
    <s v="I"/>
    <x v="0"/>
    <s v="neutral"/>
    <s v="blue"/>
    <s v="b"/>
    <n v="86"/>
    <n v="6"/>
    <n v="4"/>
    <s v="b"/>
    <n v="1"/>
    <n v="0.71335420000832495"/>
    <s v="None"/>
    <n v="4"/>
    <n v="6"/>
    <n v="86"/>
    <n v="17"/>
    <n v="121.541450700024"/>
    <m/>
    <m/>
    <m/>
    <m/>
    <n v="121.531754399999"/>
    <n v="121.541450700024"/>
    <n v="122.04095970001001"/>
    <n v="122.04095970001001"/>
    <n v="122.04095970001001"/>
    <n v="122.76104240002999"/>
    <s v="b"/>
    <n v="1"/>
    <n v="0.7133542000083249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adness"/>
    <s v="I"/>
    <x v="1"/>
    <s v="emotional"/>
    <s v="yellow"/>
    <s v="y"/>
    <n v="87"/>
    <n v="7"/>
    <n v="4"/>
    <s v="y"/>
    <n v="1"/>
    <n v="0.86942110001109496"/>
    <s v="None"/>
    <n v="4"/>
    <n v="7"/>
    <n v="87"/>
    <n v="7"/>
    <n v="122.774376699991"/>
    <m/>
    <m/>
    <m/>
    <m/>
    <n v="122.763863000029"/>
    <n v="122.774376699991"/>
    <n v="123.273795099987"/>
    <n v="123.273795099987"/>
    <n v="123.273795099987"/>
    <n v="124.144676399999"/>
    <s v="y"/>
    <n v="1"/>
    <n v="0.8694211000110949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Injury"/>
    <s v="I"/>
    <x v="1"/>
    <s v="emotional"/>
    <s v="green"/>
    <s v="g"/>
    <n v="88"/>
    <n v="8"/>
    <n v="4"/>
    <s v="g"/>
    <n v="1"/>
    <n v="0.88416150002740301"/>
    <s v="None"/>
    <n v="4"/>
    <n v="8"/>
    <n v="88"/>
    <n v="6"/>
    <n v="124.15706040000001"/>
    <m/>
    <m/>
    <m/>
    <m/>
    <n v="124.14736900001201"/>
    <n v="124.15706040000001"/>
    <n v="124.657018899975"/>
    <n v="124.657018899975"/>
    <n v="124.657018899975"/>
    <n v="125.544871499994"/>
    <s v="g"/>
    <n v="1"/>
    <n v="0.884161500027403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per"/>
    <s v="I"/>
    <x v="0"/>
    <s v="neutral"/>
    <s v="yellow"/>
    <s v="y"/>
    <n v="89"/>
    <n v="9"/>
    <n v="4"/>
    <s v="y"/>
    <n v="1"/>
    <n v="1.31851220002863"/>
    <s v="None"/>
    <n v="4"/>
    <n v="9"/>
    <n v="89"/>
    <n v="15"/>
    <n v="125.55700640002"/>
    <m/>
    <m/>
    <m/>
    <m/>
    <n v="125.54760360001799"/>
    <n v="125.55700640002"/>
    <n v="126.05752450000701"/>
    <n v="126.05752450000701"/>
    <n v="126.05752450000701"/>
    <n v="127.377782399998"/>
    <s v="y"/>
    <n v="1"/>
    <n v="1.31851220002863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nger"/>
    <s v="C"/>
    <x v="2"/>
    <s v="emotional"/>
    <s v="red"/>
    <s v="r"/>
    <n v="90"/>
    <n v="10"/>
    <n v="4"/>
    <s v="r"/>
    <n v="1"/>
    <n v="0.660410200012847"/>
    <s v="None"/>
    <n v="4"/>
    <n v="10"/>
    <n v="90"/>
    <n v="8"/>
    <n v="127.390355399984"/>
    <m/>
    <m/>
    <m/>
    <m/>
    <n v="127.381447700026"/>
    <n v="127.390355399984"/>
    <n v="127.890576799982"/>
    <n v="127.890576799982"/>
    <n v="127.890576799982"/>
    <n v="128.560973300016"/>
    <s v="r"/>
    <n v="1"/>
    <n v="0.66041020001284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Chair"/>
    <s v="I"/>
    <x v="0"/>
    <s v="neutral"/>
    <s v="green"/>
    <s v="g"/>
    <n v="91"/>
    <n v="11"/>
    <n v="4"/>
    <s v="g"/>
    <n v="1"/>
    <n v="0.76956929999869295"/>
    <s v="None"/>
    <n v="4"/>
    <n v="11"/>
    <n v="91"/>
    <n v="10"/>
    <n v="128.57347930001501"/>
    <m/>
    <m/>
    <m/>
    <m/>
    <n v="128.56356350000701"/>
    <n v="128.57347930001501"/>
    <n v="129.07370379997801"/>
    <n v="129.07370379997801"/>
    <n v="129.07370379997801"/>
    <n v="129.84417840000199"/>
    <s v="g"/>
    <n v="1"/>
    <n v="0.7695692999986929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Window"/>
    <s v="I"/>
    <x v="0"/>
    <s v="neutral"/>
    <s v="red"/>
    <s v="r"/>
    <n v="92"/>
    <n v="12"/>
    <n v="4"/>
    <s v="r"/>
    <n v="1"/>
    <n v="0.79475280002225102"/>
    <s v="None"/>
    <n v="4"/>
    <n v="12"/>
    <n v="92"/>
    <n v="12"/>
    <n v="129.856952000001"/>
    <m/>
    <m/>
    <m/>
    <m/>
    <n v="129.84722009999601"/>
    <n v="129.856952000001"/>
    <n v="130.35698650003101"/>
    <n v="130.35698650003101"/>
    <n v="130.35698650003101"/>
    <n v="131.160433100012"/>
    <s v="r"/>
    <n v="1"/>
    <n v="0.7947528000222510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in"/>
    <s v="I"/>
    <x v="1"/>
    <s v="emotional"/>
    <s v="blue"/>
    <s v="b"/>
    <n v="93"/>
    <n v="13"/>
    <n v="4"/>
    <s v="b"/>
    <n v="1"/>
    <n v="0.67508880002424099"/>
    <s v="None"/>
    <n v="4"/>
    <n v="13"/>
    <n v="93"/>
    <n v="1"/>
    <n v="131.17392540001299"/>
    <m/>
    <m/>
    <m/>
    <m/>
    <n v="131.163097899989"/>
    <n v="131.17392540001299"/>
    <n v="131.67369530000701"/>
    <n v="131.67369530000701"/>
    <n v="131.67369530000701"/>
    <n v="132.361565599974"/>
    <s v="b"/>
    <n v="1"/>
    <n v="0.675088800024240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tone"/>
    <s v="I"/>
    <x v="0"/>
    <s v="neutral"/>
    <s v="yellow"/>
    <s v="y"/>
    <n v="94"/>
    <n v="14"/>
    <n v="4"/>
    <s v="y"/>
    <n v="1"/>
    <n v="0.83827820001169995"/>
    <s v="None"/>
    <n v="4"/>
    <n v="14"/>
    <n v="94"/>
    <n v="19"/>
    <n v="132.374490400019"/>
    <m/>
    <m/>
    <m/>
    <m/>
    <n v="132.36540140002"/>
    <n v="132.374490400019"/>
    <n v="132.87382520001799"/>
    <n v="132.87382520001799"/>
    <n v="132.87382520001799"/>
    <n v="133.72790970001299"/>
    <s v="y"/>
    <n v="1"/>
    <n v="0.8382782000116999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Fear"/>
    <s v="C"/>
    <x v="2"/>
    <s v="emotional"/>
    <s v="red"/>
    <s v="r"/>
    <n v="95"/>
    <n v="15"/>
    <n v="4"/>
    <s v="r"/>
    <n v="1"/>
    <n v="0.97618420002981998"/>
    <s v="None"/>
    <n v="4"/>
    <n v="15"/>
    <n v="95"/>
    <n v="0"/>
    <n v="133.73989159998001"/>
    <m/>
    <m/>
    <m/>
    <m/>
    <n v="133.73096170002799"/>
    <n v="133.73989159998001"/>
    <n v="134.24037810001701"/>
    <n v="134.24037810001701"/>
    <n v="134.24037810001701"/>
    <n v="135.226892800012"/>
    <s v="r"/>
    <n v="1"/>
    <n v="0.9761842000298199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nic"/>
    <s v="I"/>
    <x v="1"/>
    <s v="emotional"/>
    <s v="yellow"/>
    <s v="y"/>
    <n v="96"/>
    <n v="16"/>
    <n v="4"/>
    <s v="y"/>
    <n v="1"/>
    <n v="0.67389320000074804"/>
    <s v="None"/>
    <n v="4"/>
    <n v="16"/>
    <n v="96"/>
    <n v="3"/>
    <n v="135.23995509999801"/>
    <m/>
    <m/>
    <m/>
    <m/>
    <n v="135.230043800023"/>
    <n v="135.23995509999801"/>
    <n v="135.740429500001"/>
    <n v="135.740429500001"/>
    <n v="135.740429500001"/>
    <n v="136.428683199977"/>
    <s v="y"/>
    <n v="1"/>
    <n v="0.67389320000074804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Death"/>
    <s v="I"/>
    <x v="1"/>
    <s v="emotional"/>
    <s v="green"/>
    <s v="g"/>
    <n v="97"/>
    <n v="17"/>
    <n v="4"/>
    <s v="g"/>
    <n v="1"/>
    <n v="0.46736430004238999"/>
    <s v="None"/>
    <n v="4"/>
    <n v="17"/>
    <n v="97"/>
    <n v="2"/>
    <n v="136.43963789998"/>
    <m/>
    <m/>
    <m/>
    <m/>
    <n v="136.43204560002701"/>
    <n v="136.43963789998"/>
    <n v="136.94044049998001"/>
    <n v="136.94044049998001"/>
    <n v="136.94044049998001"/>
    <n v="137.41107780003199"/>
    <s v="g"/>
    <n v="1"/>
    <n v="0.467364300042389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able"/>
    <s v="I"/>
    <x v="0"/>
    <s v="neutral"/>
    <s v="blue"/>
    <s v="b"/>
    <n v="98"/>
    <n v="18"/>
    <n v="4"/>
    <s v="b"/>
    <n v="1"/>
    <n v="0.42361409997101801"/>
    <s v="None"/>
    <n v="4"/>
    <n v="18"/>
    <n v="98"/>
    <n v="13"/>
    <n v="137.42340889997999"/>
    <m/>
    <m/>
    <m/>
    <m/>
    <n v="137.41368430003001"/>
    <n v="137.42340889997999"/>
    <n v="137.92323770001499"/>
    <n v="137.92323770001499"/>
    <n v="137.92323770001499"/>
    <n v="138.36021020001499"/>
    <s v="b"/>
    <n v="1"/>
    <n v="0.423614099971018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Garden"/>
    <s v="I"/>
    <x v="0"/>
    <s v="neutral"/>
    <s v="red"/>
    <s v="r"/>
    <n v="99"/>
    <n v="19"/>
    <n v="4"/>
    <s v="r"/>
    <n v="1"/>
    <n v="0.56528869998874098"/>
    <s v="None"/>
    <n v="4"/>
    <n v="19"/>
    <n v="99"/>
    <n v="16"/>
    <n v="138.3731272"/>
    <m/>
    <m/>
    <m/>
    <m/>
    <n v="138.36269869998699"/>
    <n v="138.3731272"/>
    <n v="138.87299589999"/>
    <n v="138.87299589999"/>
    <n v="138.87299589999"/>
    <n v="139.444588300015"/>
    <s v="r"/>
    <n v="1"/>
    <n v="0.5652886999887409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hreat"/>
    <s v="I"/>
    <x v="1"/>
    <s v="emotional"/>
    <s v="blue"/>
    <s v="b"/>
    <n v="100"/>
    <n v="0"/>
    <n v="5"/>
    <s v="b"/>
    <n v="1"/>
    <n v="0.517036300036124"/>
    <s v="None"/>
    <n v="5"/>
    <n v="0"/>
    <n v="100"/>
    <n v="5"/>
    <n v="139.456600499979"/>
    <m/>
    <m/>
    <m/>
    <m/>
    <n v="139.44810869998699"/>
    <n v="139.456600499979"/>
    <n v="139.956332899979"/>
    <n v="139.956332899979"/>
    <n v="139.956332899979"/>
    <n v="140.47660910000499"/>
    <s v="b"/>
    <n v="1"/>
    <n v="0.517036300036124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Death"/>
    <s v="I"/>
    <x v="1"/>
    <s v="emotional"/>
    <s v="green"/>
    <s v="g"/>
    <n v="101"/>
    <n v="1"/>
    <n v="5"/>
    <s v="g"/>
    <n v="1"/>
    <n v="0.58903390000341405"/>
    <s v="None"/>
    <n v="5"/>
    <n v="1"/>
    <n v="101"/>
    <n v="2"/>
    <n v="140.48974140000001"/>
    <m/>
    <m/>
    <m/>
    <m/>
    <n v="140.479336999997"/>
    <n v="140.48974140000001"/>
    <n v="140.99019709997799"/>
    <n v="140.99019709997799"/>
    <n v="140.99019709997799"/>
    <n v="141.593556999985"/>
    <s v="g"/>
    <n v="1"/>
    <n v="0.589033900003414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tone"/>
    <s v="I"/>
    <x v="0"/>
    <s v="neutral"/>
    <s v="yellow"/>
    <s v="y"/>
    <n v="102"/>
    <n v="2"/>
    <n v="5"/>
    <s v="y"/>
    <n v="1"/>
    <n v="0.503504800028167"/>
    <s v="None"/>
    <n v="5"/>
    <n v="2"/>
    <n v="102"/>
    <n v="19"/>
    <n v="141.60683940001701"/>
    <m/>
    <m/>
    <m/>
    <m/>
    <n v="141.596284999977"/>
    <n v="141.60683940001701"/>
    <n v="142.10638870002001"/>
    <n v="142.10638870002001"/>
    <n v="142.10638870002001"/>
    <n v="142.61084799998201"/>
    <s v="y"/>
    <n v="1"/>
    <n v="0.50350480002816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Window"/>
    <s v="I"/>
    <x v="0"/>
    <s v="neutral"/>
    <s v="red"/>
    <s v="r"/>
    <n v="103"/>
    <n v="3"/>
    <n v="5"/>
    <s v="r"/>
    <n v="1"/>
    <n v="0.71419450000394102"/>
    <s v="None"/>
    <n v="5"/>
    <n v="3"/>
    <n v="103"/>
    <n v="12"/>
    <n v="142.62299689999699"/>
    <m/>
    <m/>
    <m/>
    <m/>
    <n v="142.61372810002601"/>
    <n v="142.62299689999699"/>
    <n v="143.12329319998301"/>
    <n v="143.12329319998301"/>
    <n v="143.12329319998301"/>
    <n v="143.84457050001899"/>
    <s v="r"/>
    <n v="1"/>
    <n v="0.7141945000039410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ok"/>
    <s v="I"/>
    <x v="0"/>
    <s v="neutral"/>
    <s v="blue"/>
    <s v="b"/>
    <n v="104"/>
    <n v="4"/>
    <n v="5"/>
    <s v="b"/>
    <n v="1"/>
    <n v="0.798559200018644"/>
    <s v="None"/>
    <n v="5"/>
    <n v="4"/>
    <n v="104"/>
    <n v="17"/>
    <n v="143.85640540003001"/>
    <m/>
    <m/>
    <m/>
    <m/>
    <n v="143.84784390003099"/>
    <n v="143.85640540003001"/>
    <n v="144.35650150000501"/>
    <n v="144.35650150000501"/>
    <n v="144.35650150000501"/>
    <n v="145.160690199991"/>
    <s v="b"/>
    <n v="1"/>
    <n v="0.798559200018644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Fear"/>
    <s v="C"/>
    <x v="2"/>
    <s v="emotional"/>
    <s v="red"/>
    <s v="r"/>
    <n v="105"/>
    <n v="5"/>
    <n v="5"/>
    <s v="r"/>
    <n v="1"/>
    <n v="0.74298929999349606"/>
    <s v="None"/>
    <n v="5"/>
    <n v="5"/>
    <n v="105"/>
    <n v="0"/>
    <n v="145.17362299998001"/>
    <m/>
    <m/>
    <m/>
    <m/>
    <n v="145.163317799975"/>
    <n v="145.17362299998001"/>
    <n v="145.67416900000501"/>
    <n v="145.67416900000501"/>
    <n v="145.67416900000501"/>
    <n v="146.42655550001601"/>
    <s v="r"/>
    <n v="1"/>
    <n v="0.7429892999934960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ttle"/>
    <s v="I"/>
    <x v="0"/>
    <s v="neutral"/>
    <s v="yellow"/>
    <s v="y"/>
    <n v="106"/>
    <n v="6"/>
    <n v="5"/>
    <s v="y"/>
    <n v="1"/>
    <n v="0.99858529999619305"/>
    <s v="None"/>
    <n v="5"/>
    <n v="6"/>
    <n v="106"/>
    <n v="11"/>
    <n v="146.43947979999899"/>
    <m/>
    <m/>
    <m/>
    <m/>
    <n v="146.42961450002599"/>
    <n v="146.43947979999899"/>
    <n v="146.93936389998899"/>
    <n v="146.93936389998899"/>
    <n v="146.93936389998899"/>
    <n v="147.944251800014"/>
    <s v="y"/>
    <n v="1"/>
    <n v="0.998585299996193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in"/>
    <s v="I"/>
    <x v="1"/>
    <s v="emotional"/>
    <s v="blue"/>
    <s v="b"/>
    <n v="107"/>
    <n v="7"/>
    <n v="5"/>
    <s v="b"/>
    <n v="1"/>
    <n v="0.93180880002910205"/>
    <s v="None"/>
    <n v="5"/>
    <n v="7"/>
    <n v="107"/>
    <n v="1"/>
    <n v="147.95610499999"/>
    <m/>
    <m/>
    <m/>
    <m/>
    <n v="147.94669449998699"/>
    <n v="147.95610499999"/>
    <n v="148.45610640000001"/>
    <n v="148.45610640000001"/>
    <n v="148.45610640000001"/>
    <n v="149.393271700013"/>
    <s v="b"/>
    <n v="1"/>
    <n v="0.931808800029102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nic"/>
    <s v="I"/>
    <x v="1"/>
    <s v="emotional"/>
    <s v="yellow"/>
    <s v="y"/>
    <n v="108"/>
    <n v="8"/>
    <n v="5"/>
    <s v="y"/>
    <n v="1"/>
    <n v="0.88460189994657401"/>
    <s v="None"/>
    <n v="5"/>
    <n v="8"/>
    <n v="108"/>
    <n v="3"/>
    <n v="149.40655740001199"/>
    <m/>
    <m/>
    <m/>
    <m/>
    <n v="149.39599930000199"/>
    <n v="149.40655740001199"/>
    <n v="149.90674970002101"/>
    <n v="149.90674970002101"/>
    <n v="149.90674970002101"/>
    <n v="150.79291130002801"/>
    <s v="y"/>
    <n v="1"/>
    <n v="0.884601899946574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Garden"/>
    <s v="I"/>
    <x v="0"/>
    <s v="neutral"/>
    <s v="red"/>
    <s v="r"/>
    <n v="109"/>
    <n v="9"/>
    <n v="5"/>
    <s v="r"/>
    <n v="1"/>
    <n v="0.59713770000962496"/>
    <s v="None"/>
    <n v="5"/>
    <n v="9"/>
    <n v="109"/>
    <n v="16"/>
    <n v="150.80680429999401"/>
    <m/>
    <m/>
    <m/>
    <m/>
    <n v="150.79557469999401"/>
    <n v="150.80680429999401"/>
    <n v="151.306356300017"/>
    <n v="151.306356300017"/>
    <n v="151.306356300017"/>
    <n v="151.909981300006"/>
    <s v="r"/>
    <n v="1"/>
    <n v="0.5971377000096249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able"/>
    <s v="I"/>
    <x v="0"/>
    <s v="neutral"/>
    <s v="blue"/>
    <s v="b"/>
    <n v="110"/>
    <n v="10"/>
    <n v="5"/>
    <s v="b"/>
    <n v="1"/>
    <n v="0.652935199963394"/>
    <s v="None"/>
    <n v="5"/>
    <n v="10"/>
    <n v="110"/>
    <n v="13"/>
    <n v="151.92264619999301"/>
    <m/>
    <m/>
    <m/>
    <m/>
    <n v="151.91259620001"/>
    <n v="151.92264619999301"/>
    <n v="152.422626500017"/>
    <n v="152.422626500017"/>
    <n v="152.422626500017"/>
    <n v="153.07845640002"/>
    <s v="b"/>
    <n v="1"/>
    <n v="0.652935199963394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encil"/>
    <s v="I"/>
    <x v="0"/>
    <s v="neutral"/>
    <s v="green"/>
    <s v="g"/>
    <n v="111"/>
    <n v="11"/>
    <n v="5"/>
    <s v="g"/>
    <n v="1"/>
    <n v="0.48822669999208301"/>
    <s v="None"/>
    <n v="5"/>
    <n v="11"/>
    <n v="111"/>
    <n v="14"/>
    <n v="153.09060940000899"/>
    <m/>
    <m/>
    <m/>
    <m/>
    <n v="153.082295400032"/>
    <n v="153.09060940000899"/>
    <n v="153.589496899978"/>
    <n v="153.589496899978"/>
    <n v="153.589496899978"/>
    <n v="154.09275780001099"/>
    <s v="g"/>
    <n v="1"/>
    <n v="0.488226699992083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adness"/>
    <s v="I"/>
    <x v="1"/>
    <s v="emotional"/>
    <s v="yellow"/>
    <s v="y"/>
    <n v="112"/>
    <n v="12"/>
    <n v="5"/>
    <s v="y"/>
    <n v="1"/>
    <n v="0.70689979998860497"/>
    <s v="None"/>
    <n v="5"/>
    <n v="12"/>
    <n v="112"/>
    <n v="7"/>
    <n v="154.10574169998199"/>
    <m/>
    <m/>
    <m/>
    <m/>
    <n v="154.09571600000999"/>
    <n v="154.10574169998199"/>
    <n v="154.605911399994"/>
    <n v="154.605911399994"/>
    <n v="154.605911399994"/>
    <n v="155.32601800002101"/>
    <s v="y"/>
    <n v="1"/>
    <n v="0.7068997999886049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buse"/>
    <s v="C"/>
    <x v="2"/>
    <s v="emotional"/>
    <s v="red"/>
    <s v="r"/>
    <n v="113"/>
    <n v="13"/>
    <n v="5"/>
    <s v="r"/>
    <n v="1"/>
    <n v="0.86195150000276"/>
    <s v="None"/>
    <n v="5"/>
    <n v="13"/>
    <n v="113"/>
    <n v="4"/>
    <n v="155.33902389998499"/>
    <m/>
    <m/>
    <m/>
    <m/>
    <n v="155.32897000003101"/>
    <n v="155.33902389998499"/>
    <n v="155.83894980000301"/>
    <n v="155.83894980000301"/>
    <n v="155.83894980000301"/>
    <n v="156.709201899997"/>
    <s v="r"/>
    <n v="1"/>
    <n v="0.8619515000027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Injury"/>
    <s v="I"/>
    <x v="1"/>
    <s v="emotional"/>
    <s v="green"/>
    <s v="g"/>
    <n v="114"/>
    <n v="14"/>
    <n v="5"/>
    <s v="g"/>
    <n v="1"/>
    <n v="0.86312319996068199"/>
    <s v="None"/>
    <n v="5"/>
    <n v="14"/>
    <n v="114"/>
    <n v="6"/>
    <n v="156.72240119997801"/>
    <m/>
    <m/>
    <m/>
    <m/>
    <n v="156.71203960001"/>
    <n v="156.72240119997801"/>
    <n v="157.222829899983"/>
    <n v="157.222829899983"/>
    <n v="157.222829899983"/>
    <n v="158.09326230001099"/>
    <s v="g"/>
    <n v="1"/>
    <n v="0.863123199960681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nger"/>
    <s v="C"/>
    <x v="2"/>
    <s v="emotional"/>
    <s v="red"/>
    <s v="r"/>
    <n v="115"/>
    <n v="15"/>
    <n v="5"/>
    <s v="r"/>
    <n v="1"/>
    <n v="0.702574700000695"/>
    <s v="None"/>
    <n v="5"/>
    <n v="15"/>
    <n v="115"/>
    <n v="8"/>
    <n v="158.105925299983"/>
    <m/>
    <m/>
    <m/>
    <m/>
    <n v="158.09622469998399"/>
    <n v="158.105925299983"/>
    <n v="158.60547359997801"/>
    <n v="158.60547359997801"/>
    <n v="158.60547359997801"/>
    <n v="159.309394099982"/>
    <s v="r"/>
    <n v="1"/>
    <n v="0.70257470000069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per"/>
    <s v="I"/>
    <x v="0"/>
    <s v="neutral"/>
    <s v="yellow"/>
    <s v="y"/>
    <n v="116"/>
    <n v="16"/>
    <n v="5"/>
    <s v="y"/>
    <n v="1"/>
    <n v="0.69910920003894705"/>
    <s v="None"/>
    <n v="5"/>
    <n v="16"/>
    <n v="116"/>
    <n v="15"/>
    <n v="159.32292710000101"/>
    <m/>
    <m/>
    <m/>
    <m/>
    <n v="159.31243009999099"/>
    <n v="159.32292710000101"/>
    <n v="159.82220430002701"/>
    <n v="159.82220430002701"/>
    <n v="159.82220430002701"/>
    <n v="160.52642509998901"/>
    <s v="y"/>
    <n v="1"/>
    <n v="0.699109200038947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Violence"/>
    <s v="I"/>
    <x v="1"/>
    <s v="emotional"/>
    <s v="blue"/>
    <s v="b"/>
    <n v="117"/>
    <n v="17"/>
    <n v="5"/>
    <s v="b"/>
    <n v="1"/>
    <n v="0.81965660001151197"/>
    <s v="None"/>
    <n v="5"/>
    <n v="17"/>
    <n v="117"/>
    <n v="9"/>
    <n v="160.54059400002001"/>
    <m/>
    <m/>
    <m/>
    <m/>
    <n v="160.52916039997899"/>
    <n v="160.54059400002001"/>
    <n v="161.03918229998001"/>
    <n v="161.03918229998001"/>
    <n v="161.03918229998001"/>
    <n v="161.860120300028"/>
    <s v="b"/>
    <n v="1"/>
    <n v="0.8196566000115119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Chair"/>
    <s v="I"/>
    <x v="0"/>
    <s v="neutral"/>
    <s v="green"/>
    <s v="g"/>
    <n v="118"/>
    <n v="18"/>
    <n v="5"/>
    <s v="r"/>
    <n v="0"/>
    <n v="0.64732960000401296"/>
    <s v="None"/>
    <n v="5"/>
    <n v="18"/>
    <n v="118"/>
    <n v="10"/>
    <n v="161.87309639999799"/>
    <m/>
    <m/>
    <m/>
    <m/>
    <n v="161.863379799993"/>
    <n v="161.87309639999799"/>
    <n v="162.37275530002"/>
    <n v="162.37275530002"/>
    <n v="162.37275530002"/>
    <n v="163.027293200022"/>
    <s v="r"/>
    <n v="0"/>
    <n v="0.6473296000040129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Road"/>
    <s v="I"/>
    <x v="0"/>
    <s v="neutral"/>
    <s v="green"/>
    <s v="g"/>
    <n v="119"/>
    <n v="19"/>
    <n v="5"/>
    <s v="g"/>
    <n v="1"/>
    <n v="0.89667099999496702"/>
    <s v="None"/>
    <n v="5"/>
    <n v="19"/>
    <n v="119"/>
    <n v="18"/>
    <n v="163.039065100019"/>
    <m/>
    <m/>
    <m/>
    <m/>
    <n v="163.031464600004"/>
    <n v="163.039065100019"/>
    <n v="163.538847399991"/>
    <n v="163.538847399991"/>
    <n v="163.538847399991"/>
    <n v="164.44325890002"/>
    <s v="g"/>
    <n v="1"/>
    <n v="0.8966709999949670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adness"/>
    <s v="I"/>
    <x v="1"/>
    <s v="emotional"/>
    <s v="yellow"/>
    <s v="y"/>
    <n v="120"/>
    <n v="0"/>
    <n v="6"/>
    <s v="y"/>
    <n v="1"/>
    <n v="0.75208359997486696"/>
    <s v="None"/>
    <n v="6"/>
    <n v="0"/>
    <n v="120"/>
    <n v="7"/>
    <n v="164.45590890001"/>
    <m/>
    <m/>
    <m/>
    <m/>
    <n v="164.445936399977"/>
    <n v="164.45590890001"/>
    <n v="164.955866099975"/>
    <n v="164.955866099975"/>
    <n v="164.955866099975"/>
    <n v="165.710577499994"/>
    <s v="y"/>
    <n v="1"/>
    <n v="0.7520835999748669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nger"/>
    <s v="C"/>
    <x v="2"/>
    <s v="emotional"/>
    <s v="red"/>
    <s v="r"/>
    <n v="121"/>
    <n v="1"/>
    <n v="6"/>
    <s v="r"/>
    <n v="1"/>
    <n v="0.69367280002916198"/>
    <s v="None"/>
    <n v="6"/>
    <n v="1"/>
    <n v="121"/>
    <n v="8"/>
    <n v="165.72229090001201"/>
    <m/>
    <m/>
    <m/>
    <m/>
    <n v="165.71327090001401"/>
    <n v="165.72229090001201"/>
    <n v="166.22304860001799"/>
    <n v="166.22304860001799"/>
    <n v="166.22304860001799"/>
    <n v="166.925301800016"/>
    <s v="r"/>
    <n v="1"/>
    <n v="0.6936728000291619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able"/>
    <s v="I"/>
    <x v="0"/>
    <s v="neutral"/>
    <s v="blue"/>
    <s v="b"/>
    <n v="122"/>
    <n v="2"/>
    <n v="6"/>
    <s v="b"/>
    <n v="1"/>
    <n v="0.90314740000758298"/>
    <s v="None"/>
    <n v="6"/>
    <n v="2"/>
    <n v="122"/>
    <n v="13"/>
    <n v="166.93897840002299"/>
    <m/>
    <m/>
    <m/>
    <m/>
    <n v="166.927922700007"/>
    <n v="166.93897840002299"/>
    <n v="167.43948160001301"/>
    <n v="167.43948160001301"/>
    <n v="167.43948160001301"/>
    <n v="168.34357450000201"/>
    <s v="b"/>
    <n v="1"/>
    <n v="0.9031474000075829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Garden"/>
    <s v="I"/>
    <x v="0"/>
    <s v="neutral"/>
    <s v="red"/>
    <s v="r"/>
    <n v="123"/>
    <n v="3"/>
    <n v="6"/>
    <s v="r"/>
    <n v="1"/>
    <n v="0.67433540005004"/>
    <s v="None"/>
    <n v="6"/>
    <n v="3"/>
    <n v="123"/>
    <n v="16"/>
    <n v="168.35589960002099"/>
    <m/>
    <m/>
    <m/>
    <m/>
    <n v="168.34667100000601"/>
    <n v="168.35589960002099"/>
    <n v="168.85578119999201"/>
    <n v="168.85578119999201"/>
    <n v="168.85578119999201"/>
    <n v="169.541646900004"/>
    <s v="r"/>
    <n v="1"/>
    <n v="0.67433540005004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nic"/>
    <s v="I"/>
    <x v="1"/>
    <s v="emotional"/>
    <s v="yellow"/>
    <s v="y"/>
    <n v="124"/>
    <n v="4"/>
    <n v="6"/>
    <s v="y"/>
    <n v="1"/>
    <n v="1.6011296999640701"/>
    <s v="None"/>
    <n v="6"/>
    <n v="4"/>
    <n v="124"/>
    <n v="3"/>
    <n v="169.55534439999599"/>
    <m/>
    <m/>
    <m/>
    <m/>
    <n v="169.54410320002299"/>
    <n v="169.55534439999599"/>
    <n v="170.05541740002801"/>
    <n v="170.05541740002801"/>
    <n v="170.05541740002801"/>
    <n v="171.65884109999701"/>
    <s v="y"/>
    <n v="1"/>
    <n v="1.60112969996407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encil"/>
    <s v="I"/>
    <x v="0"/>
    <s v="neutral"/>
    <s v="green"/>
    <s v="g"/>
    <n v="125"/>
    <n v="5"/>
    <n v="6"/>
    <s v="g"/>
    <n v="1"/>
    <n v="0.94628159998683203"/>
    <s v="None"/>
    <n v="6"/>
    <n v="5"/>
    <n v="125"/>
    <n v="14"/>
    <n v="171.67198679997799"/>
    <m/>
    <m/>
    <m/>
    <m/>
    <n v="171.66132329998001"/>
    <n v="171.67198679997799"/>
    <n v="172.171493500005"/>
    <n v="172.171493500005"/>
    <n v="172.171493500005"/>
    <n v="173.12539419997401"/>
    <s v="g"/>
    <n v="1"/>
    <n v="0.94628159998683203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buse"/>
    <s v="C"/>
    <x v="2"/>
    <s v="emotional"/>
    <s v="red"/>
    <s v="r"/>
    <n v="126"/>
    <n v="6"/>
    <n v="6"/>
    <s v="b"/>
    <n v="0"/>
    <n v="0.89250730001367595"/>
    <s v="None"/>
    <n v="6"/>
    <n v="6"/>
    <n v="126"/>
    <n v="4"/>
    <n v="173.13825449999399"/>
    <m/>
    <m/>
    <m/>
    <m/>
    <n v="173.12806080002301"/>
    <n v="173.13825449999399"/>
    <n v="173.63852610002499"/>
    <n v="173.63852610002499"/>
    <n v="173.63852610002499"/>
    <n v="174.54324550001101"/>
    <s v="b"/>
    <n v="0"/>
    <n v="0.8925073000136759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per"/>
    <s v="I"/>
    <x v="0"/>
    <s v="neutral"/>
    <s v="yellow"/>
    <s v="y"/>
    <n v="127"/>
    <n v="7"/>
    <n v="6"/>
    <s v="y"/>
    <n v="1"/>
    <n v="0.70783080003457099"/>
    <s v="None"/>
    <n v="6"/>
    <n v="7"/>
    <n v="127"/>
    <n v="15"/>
    <n v="174.55503089999499"/>
    <m/>
    <m/>
    <m/>
    <m/>
    <n v="174.546202600002"/>
    <n v="174.55503089999499"/>
    <n v="175.05508680001299"/>
    <n v="175.05508680001299"/>
    <n v="175.05508680001299"/>
    <n v="175.77560480003001"/>
    <s v="y"/>
    <n v="1"/>
    <n v="0.707830800034570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hreat"/>
    <s v="I"/>
    <x v="1"/>
    <s v="emotional"/>
    <s v="blue"/>
    <s v="b"/>
    <n v="128"/>
    <n v="8"/>
    <n v="6"/>
    <s v="b"/>
    <n v="1"/>
    <n v="0.98288870003307205"/>
    <s v="None"/>
    <n v="6"/>
    <n v="8"/>
    <n v="128"/>
    <n v="5"/>
    <n v="175.78830409998699"/>
    <m/>
    <m/>
    <m/>
    <m/>
    <n v="175.77904260001301"/>
    <n v="175.78830409998699"/>
    <n v="176.28916960000001"/>
    <n v="176.28916960000001"/>
    <n v="176.28916960000001"/>
    <n v="177.275636899983"/>
    <s v="b"/>
    <n v="1"/>
    <n v="0.982888700033072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Road"/>
    <s v="I"/>
    <x v="0"/>
    <s v="neutral"/>
    <s v="green"/>
    <s v="g"/>
    <n v="129"/>
    <n v="9"/>
    <n v="6"/>
    <s v="g"/>
    <n v="1"/>
    <n v="1.9289894999819801"/>
    <s v="None"/>
    <n v="6"/>
    <n v="9"/>
    <n v="129"/>
    <n v="18"/>
    <n v="177.28808670001999"/>
    <m/>
    <m/>
    <m/>
    <m/>
    <n v="177.27808820002201"/>
    <n v="177.28808670001999"/>
    <n v="177.78888439998201"/>
    <n v="177.78888439998201"/>
    <n v="177.78888439998201"/>
    <n v="179.725533900025"/>
    <s v="g"/>
    <n v="1"/>
    <n v="1.92898949998198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tone"/>
    <s v="I"/>
    <x v="0"/>
    <s v="neutral"/>
    <s v="yellow"/>
    <s v="y"/>
    <n v="130"/>
    <n v="10"/>
    <n v="6"/>
    <s v="y"/>
    <n v="1"/>
    <n v="1.45297590002883"/>
    <s v="None"/>
    <n v="6"/>
    <n v="10"/>
    <n v="130"/>
    <n v="19"/>
    <n v="179.73810209997399"/>
    <m/>
    <m/>
    <m/>
    <m/>
    <n v="179.72845679998801"/>
    <n v="179.73810209997399"/>
    <n v="180.23866189998799"/>
    <n v="180.23866189998799"/>
    <n v="180.23866189998799"/>
    <n v="181.70827559998699"/>
    <s v="y"/>
    <n v="1"/>
    <n v="1.45297590002883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Window"/>
    <s v="I"/>
    <x v="0"/>
    <s v="neutral"/>
    <s v="red"/>
    <s v="r"/>
    <n v="131"/>
    <n v="11"/>
    <n v="6"/>
    <s v="r"/>
    <n v="1"/>
    <n v="0.73400709999259495"/>
    <s v="None"/>
    <n v="6"/>
    <n v="11"/>
    <n v="131"/>
    <n v="12"/>
    <n v="181.722208800027"/>
    <m/>
    <m/>
    <m/>
    <m/>
    <n v="181.71077330003001"/>
    <n v="181.722208800027"/>
    <n v="182.22112240001999"/>
    <n v="182.22112240001999"/>
    <n v="182.22112240001999"/>
    <n v="182.95893179997799"/>
    <s v="r"/>
    <n v="1"/>
    <n v="0.7340070999925949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Violence"/>
    <s v="I"/>
    <x v="1"/>
    <s v="emotional"/>
    <s v="blue"/>
    <s v="b"/>
    <n v="132"/>
    <n v="12"/>
    <n v="6"/>
    <s v="b"/>
    <n v="1"/>
    <n v="1.2702166999806599"/>
    <s v="None"/>
    <n v="6"/>
    <n v="12"/>
    <n v="132"/>
    <n v="9"/>
    <n v="182.97114490001599"/>
    <m/>
    <m/>
    <m/>
    <m/>
    <n v="182.96203410002599"/>
    <n v="182.97114490001599"/>
    <n v="183.47242990002201"/>
    <n v="183.47242990002201"/>
    <n v="183.47242990002201"/>
    <n v="184.75856799998999"/>
    <s v="b"/>
    <n v="1"/>
    <n v="1.27021669998065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ok"/>
    <s v="I"/>
    <x v="0"/>
    <s v="neutral"/>
    <s v="blue"/>
    <s v="b"/>
    <n v="133"/>
    <n v="13"/>
    <n v="6"/>
    <s v="b"/>
    <n v="1"/>
    <n v="0.56307430000742897"/>
    <s v="None"/>
    <n v="6"/>
    <n v="13"/>
    <n v="133"/>
    <n v="17"/>
    <n v="184.771500599978"/>
    <m/>
    <m/>
    <m/>
    <m/>
    <n v="184.76110960001799"/>
    <n v="184.771500599978"/>
    <n v="185.27133630000699"/>
    <n v="185.27133630000699"/>
    <n v="185.27133630000699"/>
    <n v="185.842478099977"/>
    <s v="b"/>
    <n v="1"/>
    <n v="0.5630743000074289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Fear"/>
    <s v="C"/>
    <x v="2"/>
    <s v="emotional"/>
    <s v="red"/>
    <s v="r"/>
    <n v="134"/>
    <n v="14"/>
    <n v="6"/>
    <s v="r"/>
    <n v="1"/>
    <n v="1.2469727999996301"/>
    <s v="None"/>
    <n v="6"/>
    <n v="14"/>
    <n v="134"/>
    <n v="0"/>
    <n v="185.85452370002099"/>
    <m/>
    <m/>
    <m/>
    <m/>
    <n v="185.84516550000899"/>
    <n v="185.85452370002099"/>
    <n v="186.355224300001"/>
    <n v="186.355224300001"/>
    <n v="186.355224300001"/>
    <n v="187.60881469998199"/>
    <s v="r"/>
    <n v="1"/>
    <n v="1.24697279999963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in"/>
    <s v="I"/>
    <x v="1"/>
    <s v="emotional"/>
    <s v="blue"/>
    <s v="b"/>
    <n v="135"/>
    <n v="15"/>
    <n v="6"/>
    <s v="b"/>
    <n v="1"/>
    <n v="0.93467079999390901"/>
    <s v="None"/>
    <n v="6"/>
    <n v="15"/>
    <n v="135"/>
    <n v="1"/>
    <n v="187.62336349999501"/>
    <m/>
    <m/>
    <m/>
    <m/>
    <n v="187.612178699986"/>
    <n v="187.62336349999501"/>
    <n v="188.12145769997699"/>
    <n v="188.12145769997699"/>
    <n v="188.12145769997699"/>
    <n v="189.05838010000201"/>
    <s v="b"/>
    <n v="1"/>
    <n v="0.934670799993909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Injury"/>
    <s v="I"/>
    <x v="1"/>
    <s v="emotional"/>
    <s v="green"/>
    <s v="g"/>
    <n v="136"/>
    <n v="16"/>
    <n v="6"/>
    <s v="g"/>
    <n v="1"/>
    <n v="0.76330910000251595"/>
    <s v="None"/>
    <n v="6"/>
    <n v="16"/>
    <n v="136"/>
    <n v="6"/>
    <n v="189.07143270003101"/>
    <m/>
    <m/>
    <m/>
    <m/>
    <n v="189.06101990002199"/>
    <n v="189.07143270003101"/>
    <n v="189.571140200016"/>
    <n v="189.571140200016"/>
    <n v="189.571140200016"/>
    <n v="190.342277700023"/>
    <s v="g"/>
    <n v="1"/>
    <n v="0.7633091000025159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Death"/>
    <s v="I"/>
    <x v="1"/>
    <s v="emotional"/>
    <s v="green"/>
    <s v="g"/>
    <n v="137"/>
    <n v="17"/>
    <n v="6"/>
    <s v="g"/>
    <n v="1"/>
    <n v="0.56673710001632505"/>
    <s v="None"/>
    <n v="6"/>
    <n v="17"/>
    <n v="137"/>
    <n v="2"/>
    <n v="190.354858900012"/>
    <m/>
    <m/>
    <m/>
    <m/>
    <n v="190.344883300014"/>
    <n v="190.354858900012"/>
    <n v="190.85438510001401"/>
    <n v="190.85438510001401"/>
    <n v="190.85438510001401"/>
    <n v="191.42485160002201"/>
    <s v="g"/>
    <n v="1"/>
    <n v="0.566737100016325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Chair"/>
    <s v="I"/>
    <x v="0"/>
    <s v="neutral"/>
    <s v="green"/>
    <s v="g"/>
    <n v="138"/>
    <n v="18"/>
    <n v="6"/>
    <s v="g"/>
    <n v="1"/>
    <n v="0.49799859995255202"/>
    <s v="None"/>
    <n v="6"/>
    <n v="18"/>
    <n v="138"/>
    <n v="10"/>
    <n v="191.43761979998001"/>
    <m/>
    <m/>
    <m/>
    <m/>
    <n v="191.42870260000899"/>
    <n v="191.43761979998001"/>
    <n v="191.93775739998"/>
    <n v="191.93775739998"/>
    <n v="191.93775739998"/>
    <n v="192.44196379999599"/>
    <s v="g"/>
    <n v="1"/>
    <n v="0.4979985999525520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ttle"/>
    <s v="I"/>
    <x v="0"/>
    <s v="neutral"/>
    <s v="yellow"/>
    <s v="y"/>
    <n v="139"/>
    <n v="19"/>
    <n v="6"/>
    <s v="y"/>
    <n v="1"/>
    <n v="0.66056620003655497"/>
    <s v="None"/>
    <n v="6"/>
    <n v="19"/>
    <n v="139"/>
    <n v="11"/>
    <n v="192.45515619998301"/>
    <m/>
    <m/>
    <m/>
    <m/>
    <n v="192.44494960002999"/>
    <n v="192.45515619998301"/>
    <n v="192.955053700017"/>
    <n v="192.955053700017"/>
    <n v="192.955053700017"/>
    <n v="193.624882399977"/>
    <s v="y"/>
    <n v="1"/>
    <n v="0.6605662000365549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tone"/>
    <s v="I"/>
    <x v="0"/>
    <s v="neutral"/>
    <s v="yellow"/>
    <s v="y"/>
    <n v="140"/>
    <n v="0"/>
    <n v="7"/>
    <s v="y"/>
    <n v="1"/>
    <n v="0.54139500000746899"/>
    <s v="None"/>
    <n v="7"/>
    <n v="0"/>
    <n v="140"/>
    <n v="19"/>
    <n v="193.638113300025"/>
    <m/>
    <m/>
    <m/>
    <m/>
    <n v="193.627847400028"/>
    <n v="193.638113300025"/>
    <n v="194.13784999999899"/>
    <n v="194.13784999999899"/>
    <n v="194.13784999999899"/>
    <n v="194.69107810000401"/>
    <s v="y"/>
    <n v="1"/>
    <n v="0.541395000007468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able"/>
    <s v="I"/>
    <x v="0"/>
    <s v="neutral"/>
    <s v="blue"/>
    <s v="b"/>
    <n v="141"/>
    <n v="1"/>
    <n v="7"/>
    <s v="b"/>
    <n v="1"/>
    <n v="0.73760569997830305"/>
    <s v="None"/>
    <n v="7"/>
    <n v="1"/>
    <n v="141"/>
    <n v="13"/>
    <n v="194.704127100005"/>
    <m/>
    <m/>
    <m/>
    <m/>
    <n v="194.69419609999699"/>
    <n v="194.704127100005"/>
    <n v="195.20454080001201"/>
    <n v="195.20454080001201"/>
    <n v="195.20454080001201"/>
    <n v="195.95877419999999"/>
    <s v="b"/>
    <n v="1"/>
    <n v="0.737605699978303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Garden"/>
    <s v="I"/>
    <x v="0"/>
    <s v="neutral"/>
    <s v="red"/>
    <s v="r"/>
    <n v="142"/>
    <n v="2"/>
    <n v="7"/>
    <s v="r"/>
    <n v="1"/>
    <n v="0.56995279999682602"/>
    <s v="None"/>
    <n v="7"/>
    <n v="2"/>
    <n v="142"/>
    <n v="16"/>
    <n v="195.97052620002"/>
    <m/>
    <m/>
    <m/>
    <m/>
    <n v="195.962105099984"/>
    <n v="195.97052620002"/>
    <n v="196.47083810000899"/>
    <n v="196.47083810000899"/>
    <n v="196.47083810000899"/>
    <n v="197.057767299993"/>
    <s v="r"/>
    <n v="1"/>
    <n v="0.5699527999968260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ttle"/>
    <s v="I"/>
    <x v="0"/>
    <s v="neutral"/>
    <s v="yellow"/>
    <s v="y"/>
    <n v="143"/>
    <n v="3"/>
    <n v="7"/>
    <s v="y"/>
    <n v="1"/>
    <n v="1.0233076000004"/>
    <s v="None"/>
    <n v="7"/>
    <n v="3"/>
    <n v="143"/>
    <n v="11"/>
    <n v="197.07057849998799"/>
    <m/>
    <m/>
    <m/>
    <m/>
    <n v="197.061048400006"/>
    <n v="197.07057849998799"/>
    <n v="197.570724999997"/>
    <n v="197.570724999997"/>
    <n v="197.570724999997"/>
    <n v="198.607884299999"/>
    <s v="y"/>
    <n v="1"/>
    <n v="1.0233076000004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nic"/>
    <s v="I"/>
    <x v="1"/>
    <s v="emotional"/>
    <s v="yellow"/>
    <s v="y"/>
    <n v="144"/>
    <n v="4"/>
    <n v="7"/>
    <s v="y"/>
    <n v="1"/>
    <n v="0.49827589996857502"/>
    <s v="None"/>
    <n v="7"/>
    <n v="4"/>
    <n v="144"/>
    <n v="3"/>
    <n v="198.621182599978"/>
    <m/>
    <m/>
    <m/>
    <m/>
    <n v="198.61052410001801"/>
    <n v="198.621182599978"/>
    <n v="199.12080939998799"/>
    <n v="199.12080939998799"/>
    <n v="199.12080939998799"/>
    <n v="199.625009100011"/>
    <s v="y"/>
    <n v="1"/>
    <n v="0.4982758999685750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Window"/>
    <s v="I"/>
    <x v="0"/>
    <s v="neutral"/>
    <s v="red"/>
    <s v="r"/>
    <n v="145"/>
    <n v="5"/>
    <n v="7"/>
    <s v="r"/>
    <n v="1"/>
    <n v="0.61274730000877697"/>
    <s v="None"/>
    <n v="7"/>
    <n v="5"/>
    <n v="145"/>
    <n v="12"/>
    <n v="199.63755290000699"/>
    <m/>
    <m/>
    <m/>
    <m/>
    <n v="199.62775400001499"/>
    <n v="199.63755290000699"/>
    <n v="200.13786570000201"/>
    <n v="200.13786570000201"/>
    <n v="200.13786570000201"/>
    <n v="200.75804350001201"/>
    <s v="r"/>
    <n v="1"/>
    <n v="0.6127473000087769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encil"/>
    <s v="I"/>
    <x v="0"/>
    <s v="neutral"/>
    <s v="green"/>
    <s v="g"/>
    <n v="146"/>
    <n v="6"/>
    <n v="7"/>
    <s v="g"/>
    <n v="1"/>
    <n v="0.74859109998214901"/>
    <s v="None"/>
    <n v="7"/>
    <n v="6"/>
    <n v="146"/>
    <n v="14"/>
    <n v="200.77110710000801"/>
    <m/>
    <m/>
    <m/>
    <m/>
    <n v="200.76092989998801"/>
    <n v="200.77110710000801"/>
    <n v="201.270890299987"/>
    <n v="201.270890299987"/>
    <n v="201.270890299987"/>
    <n v="202.02525960002001"/>
    <s v="g"/>
    <n v="1"/>
    <n v="0.748591099982149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Road"/>
    <s v="I"/>
    <x v="0"/>
    <s v="neutral"/>
    <s v="green"/>
    <s v="g"/>
    <n v="147"/>
    <n v="7"/>
    <n v="7"/>
    <s v="g"/>
    <n v="1"/>
    <n v="0.51781659998232499"/>
    <s v="None"/>
    <n v="7"/>
    <n v="7"/>
    <n v="147"/>
    <n v="18"/>
    <n v="202.03723770001599"/>
    <m/>
    <m/>
    <m/>
    <m/>
    <n v="202.02753060002499"/>
    <n v="202.03723770001599"/>
    <n v="202.537231100024"/>
    <n v="202.537231100024"/>
    <n v="202.537231100024"/>
    <n v="203.058526200009"/>
    <s v="g"/>
    <n v="1"/>
    <n v="0.517816599982324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buse"/>
    <s v="C"/>
    <x v="2"/>
    <s v="emotional"/>
    <s v="red"/>
    <s v="r"/>
    <n v="148"/>
    <n v="8"/>
    <n v="7"/>
    <s v="r"/>
    <n v="1"/>
    <n v="0.72962380002718397"/>
    <s v="None"/>
    <n v="7"/>
    <n v="8"/>
    <n v="148"/>
    <n v="4"/>
    <n v="203.07045310002201"/>
    <m/>
    <m/>
    <m/>
    <m/>
    <n v="203.06106179999099"/>
    <n v="203.07045310002201"/>
    <n v="203.57135530002401"/>
    <n v="203.57135530002401"/>
    <n v="203.57135530002401"/>
    <n v="204.307622199994"/>
    <s v="r"/>
    <n v="1"/>
    <n v="0.7296238000271839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adness"/>
    <s v="I"/>
    <x v="1"/>
    <s v="emotional"/>
    <s v="yellow"/>
    <s v="y"/>
    <n v="149"/>
    <n v="9"/>
    <n v="7"/>
    <s v="y"/>
    <n v="1"/>
    <n v="0.77510839997557901"/>
    <s v="None"/>
    <n v="7"/>
    <n v="9"/>
    <n v="149"/>
    <n v="7"/>
    <n v="204.32062589999899"/>
    <m/>
    <m/>
    <m/>
    <m/>
    <n v="204.31054829998101"/>
    <n v="204.32062589999899"/>
    <n v="204.82034710003001"/>
    <n v="204.82034710003001"/>
    <n v="204.82034710003001"/>
    <n v="205.607801800011"/>
    <s v="y"/>
    <n v="1"/>
    <n v="0.775108399975579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hreat"/>
    <s v="I"/>
    <x v="1"/>
    <s v="emotional"/>
    <s v="blue"/>
    <s v="b"/>
    <n v="150"/>
    <n v="10"/>
    <n v="7"/>
    <s v="r"/>
    <n v="0"/>
    <n v="0.80137579998699904"/>
    <s v="None"/>
    <n v="7"/>
    <n v="10"/>
    <n v="150"/>
    <n v="5"/>
    <n v="205.62054640002299"/>
    <m/>
    <m/>
    <m/>
    <m/>
    <n v="205.610364300024"/>
    <n v="205.62054640002299"/>
    <n v="206.12035699997699"/>
    <n v="206.12035699997699"/>
    <n v="206.12035699997699"/>
    <n v="206.92445579997701"/>
    <s v="r"/>
    <n v="0"/>
    <n v="0.80137579998699904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Chair"/>
    <s v="I"/>
    <x v="0"/>
    <s v="neutral"/>
    <s v="green"/>
    <s v="g"/>
    <n v="151"/>
    <n v="11"/>
    <n v="7"/>
    <s v="g"/>
    <n v="1"/>
    <n v="1.02710319997277"/>
    <s v="None"/>
    <n v="7"/>
    <n v="11"/>
    <n v="151"/>
    <n v="10"/>
    <n v="206.93706299998999"/>
    <m/>
    <m/>
    <m/>
    <m/>
    <n v="206.92737360001701"/>
    <n v="206.93706299998999"/>
    <n v="207.436939599982"/>
    <n v="207.436939599982"/>
    <n v="207.436939599982"/>
    <n v="208.473921800032"/>
    <s v="g"/>
    <n v="1"/>
    <n v="1.0271031999727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ok"/>
    <s v="I"/>
    <x v="0"/>
    <s v="neutral"/>
    <s v="blue"/>
    <s v="b"/>
    <n v="152"/>
    <n v="12"/>
    <n v="7"/>
    <s v="b"/>
    <n v="1"/>
    <n v="0.62255199998617095"/>
    <s v="None"/>
    <n v="7"/>
    <n v="12"/>
    <n v="152"/>
    <n v="17"/>
    <n v="208.486851900001"/>
    <m/>
    <m/>
    <m/>
    <m/>
    <n v="208.47633839998099"/>
    <n v="208.486851900001"/>
    <n v="208.98670790001"/>
    <n v="208.98670790001"/>
    <n v="208.98670790001"/>
    <n v="209.62443080003101"/>
    <s v="b"/>
    <n v="1"/>
    <n v="0.6225519999861709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nger"/>
    <s v="C"/>
    <x v="2"/>
    <s v="emotional"/>
    <s v="red"/>
    <s v="r"/>
    <n v="153"/>
    <n v="13"/>
    <n v="7"/>
    <s v="r"/>
    <n v="1"/>
    <n v="0.58771449996856895"/>
    <s v="None"/>
    <n v="7"/>
    <n v="13"/>
    <n v="153"/>
    <n v="8"/>
    <n v="209.63684300001401"/>
    <m/>
    <m/>
    <m/>
    <m/>
    <n v="209.62770250003001"/>
    <n v="209.63684300001401"/>
    <n v="210.13759270001901"/>
    <n v="210.13759270001901"/>
    <n v="210.13759270001901"/>
    <n v="210.740494200028"/>
    <s v="r"/>
    <n v="1"/>
    <n v="0.5877144999685689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Fear"/>
    <s v="C"/>
    <x v="2"/>
    <s v="emotional"/>
    <s v="red"/>
    <s v="r"/>
    <n v="154"/>
    <n v="14"/>
    <n v="7"/>
    <s v="b"/>
    <n v="0"/>
    <n v="0.44683650002116299"/>
    <s v="None"/>
    <n v="7"/>
    <n v="14"/>
    <n v="154"/>
    <n v="0"/>
    <n v="210.75474160001599"/>
    <m/>
    <m/>
    <m/>
    <m/>
    <n v="210.743159800011"/>
    <n v="210.75474160001599"/>
    <n v="211.253678800014"/>
    <n v="211.253678800014"/>
    <n v="211.253678800014"/>
    <n v="211.70725630002499"/>
    <s v="b"/>
    <n v="0"/>
    <n v="0.446836500021162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Injury"/>
    <s v="I"/>
    <x v="1"/>
    <s v="emotional"/>
    <s v="green"/>
    <s v="g"/>
    <n v="155"/>
    <n v="15"/>
    <n v="7"/>
    <s v="g"/>
    <n v="1"/>
    <n v="0.76708520000101998"/>
    <s v="None"/>
    <n v="7"/>
    <n v="15"/>
    <n v="155"/>
    <n v="6"/>
    <n v="211.72034509997999"/>
    <m/>
    <m/>
    <m/>
    <m/>
    <n v="211.70984909997699"/>
    <n v="211.72034509997999"/>
    <n v="212.220146899984"/>
    <n v="212.220146899984"/>
    <n v="212.220146899984"/>
    <n v="212.990279900026"/>
    <s v="g"/>
    <n v="1"/>
    <n v="0.7670852000010199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Death"/>
    <s v="I"/>
    <x v="1"/>
    <s v="emotional"/>
    <s v="green"/>
    <s v="g"/>
    <n v="156"/>
    <n v="16"/>
    <n v="7"/>
    <s v="g"/>
    <n v="1"/>
    <n v="1.1108100999845101"/>
    <s v="None"/>
    <n v="7"/>
    <n v="16"/>
    <n v="156"/>
    <n v="2"/>
    <n v="213.00322060001699"/>
    <m/>
    <m/>
    <m/>
    <m/>
    <n v="212.993215700029"/>
    <n v="213.00322060001699"/>
    <n v="213.50387740001301"/>
    <n v="213.50387740001301"/>
    <n v="213.50387740001301"/>
    <n v="214.62324320000999"/>
    <s v="g"/>
    <n v="1"/>
    <n v="1.11081009998451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per"/>
    <s v="I"/>
    <x v="0"/>
    <s v="neutral"/>
    <s v="yellow"/>
    <s v="y"/>
    <n v="157"/>
    <n v="17"/>
    <n v="7"/>
    <s v="y"/>
    <n v="1"/>
    <n v="0.52850179997039903"/>
    <s v="None"/>
    <n v="7"/>
    <n v="17"/>
    <n v="157"/>
    <n v="15"/>
    <n v="214.63722440000799"/>
    <m/>
    <m/>
    <m/>
    <m/>
    <n v="214.62587200000399"/>
    <n v="214.63722440000799"/>
    <n v="215.136564399988"/>
    <n v="215.136564399988"/>
    <n v="215.136564399988"/>
    <n v="215.673848200007"/>
    <s v="y"/>
    <n v="1"/>
    <n v="0.52850179997039903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Violence"/>
    <s v="I"/>
    <x v="1"/>
    <s v="emotional"/>
    <s v="blue"/>
    <s v="b"/>
    <n v="158"/>
    <n v="18"/>
    <n v="7"/>
    <s v="b"/>
    <n v="1"/>
    <n v="0.62134900002274596"/>
    <s v="None"/>
    <n v="7"/>
    <n v="18"/>
    <n v="158"/>
    <n v="9"/>
    <n v="215.686788799997"/>
    <m/>
    <m/>
    <m/>
    <m/>
    <n v="215.676590099988"/>
    <n v="215.686788799997"/>
    <n v="216.187225100002"/>
    <n v="216.187225100002"/>
    <n v="216.187225100002"/>
    <n v="216.824158600007"/>
    <s v="b"/>
    <n v="1"/>
    <n v="0.6213490000227459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in"/>
    <s v="I"/>
    <x v="1"/>
    <s v="emotional"/>
    <s v="blue"/>
    <s v="b"/>
    <n v="159"/>
    <n v="19"/>
    <n v="7"/>
    <s v="b"/>
    <n v="1"/>
    <n v="0.58317659999010996"/>
    <s v="None"/>
    <n v="7"/>
    <n v="19"/>
    <n v="159"/>
    <n v="1"/>
    <n v="216.838254600006"/>
    <m/>
    <m/>
    <m/>
    <m/>
    <n v="216.82671220001001"/>
    <n v="216.838254600006"/>
    <n v="217.337653100024"/>
    <n v="217.337653100024"/>
    <n v="217.337653100024"/>
    <n v="217.923642400011"/>
    <s v="b"/>
    <n v="1"/>
    <n v="0.5831765999901099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Violence"/>
    <s v="I"/>
    <x v="1"/>
    <s v="emotional"/>
    <s v="blue"/>
    <s v="b"/>
    <n v="160"/>
    <n v="0"/>
    <n v="8"/>
    <s v="b"/>
    <n v="1"/>
    <n v="0.415267899981699"/>
    <s v="None"/>
    <n v="8"/>
    <n v="0"/>
    <n v="160"/>
    <n v="9"/>
    <n v="217.936692200019"/>
    <m/>
    <m/>
    <m/>
    <m/>
    <n v="217.926360499986"/>
    <n v="217.936692200019"/>
    <n v="218.437795699981"/>
    <n v="218.437795699981"/>
    <n v="218.437795699981"/>
    <n v="218.85743119998301"/>
    <s v="b"/>
    <n v="1"/>
    <n v="0.4152678999816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ttle"/>
    <s v="I"/>
    <x v="0"/>
    <s v="neutral"/>
    <s v="yellow"/>
    <s v="y"/>
    <n v="161"/>
    <n v="1"/>
    <n v="8"/>
    <s v="y"/>
    <n v="1"/>
    <n v="1.04733269999269"/>
    <s v="None"/>
    <n v="8"/>
    <n v="1"/>
    <n v="161"/>
    <n v="11"/>
    <n v="218.86982070002699"/>
    <m/>
    <m/>
    <m/>
    <m/>
    <n v="218.86169980000699"/>
    <n v="218.86982070002699"/>
    <n v="219.37036840000599"/>
    <n v="219.37036840000599"/>
    <n v="219.37036840000599"/>
    <n v="220.42469730001099"/>
    <s v="y"/>
    <n v="1"/>
    <n v="1.0473326999926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Road"/>
    <s v="I"/>
    <x v="0"/>
    <s v="neutral"/>
    <s v="green"/>
    <s v="g"/>
    <n v="162"/>
    <n v="2"/>
    <n v="8"/>
    <s v="g"/>
    <n v="1"/>
    <n v="0.49031189997913299"/>
    <s v="None"/>
    <n v="8"/>
    <n v="2"/>
    <n v="162"/>
    <n v="18"/>
    <n v="220.43723450001499"/>
    <m/>
    <m/>
    <m/>
    <m/>
    <n v="220.42713879997601"/>
    <n v="220.43723450001499"/>
    <n v="220.937118500005"/>
    <n v="220.937118500005"/>
    <n v="220.937118500005"/>
    <n v="221.440214400005"/>
    <s v="g"/>
    <n v="1"/>
    <n v="0.490311899979132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Death"/>
    <s v="I"/>
    <x v="1"/>
    <s v="emotional"/>
    <s v="green"/>
    <s v="g"/>
    <n v="163"/>
    <n v="3"/>
    <n v="8"/>
    <s v="g"/>
    <n v="1"/>
    <n v="0.46427870000479698"/>
    <s v="None"/>
    <n v="8"/>
    <n v="3"/>
    <n v="163"/>
    <n v="2"/>
    <n v="221.45332620001801"/>
    <m/>
    <m/>
    <m/>
    <m/>
    <n v="221.443682299985"/>
    <n v="221.45332620001801"/>
    <n v="221.952867400017"/>
    <n v="221.952867400017"/>
    <n v="221.952867400017"/>
    <n v="222.42376869998401"/>
    <s v="g"/>
    <n v="1"/>
    <n v="0.4642787000047969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Fear"/>
    <s v="C"/>
    <x v="2"/>
    <s v="emotional"/>
    <s v="red"/>
    <s v="r"/>
    <n v="164"/>
    <n v="4"/>
    <n v="8"/>
    <s v="r"/>
    <n v="1"/>
    <n v="0.54781700001331002"/>
    <s v="None"/>
    <n v="8"/>
    <n v="4"/>
    <n v="164"/>
    <n v="0"/>
    <n v="222.43618640000901"/>
    <m/>
    <m/>
    <m/>
    <m/>
    <n v="222.426090100023"/>
    <n v="222.43618640000901"/>
    <n v="222.93575509998399"/>
    <n v="222.93575509998399"/>
    <n v="222.93575509998399"/>
    <n v="223.49011409998599"/>
    <s v="r"/>
    <n v="1"/>
    <n v="0.5478170000133100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adness"/>
    <s v="I"/>
    <x v="1"/>
    <s v="emotional"/>
    <s v="yellow"/>
    <s v="y"/>
    <n v="165"/>
    <n v="5"/>
    <n v="8"/>
    <s v="y"/>
    <n v="1"/>
    <n v="0.677437500038649"/>
    <s v="None"/>
    <n v="8"/>
    <n v="5"/>
    <n v="165"/>
    <n v="7"/>
    <n v="223.50353530002701"/>
    <m/>
    <m/>
    <m/>
    <m/>
    <n v="223.493242900003"/>
    <n v="223.50353530002701"/>
    <n v="224.00372149999001"/>
    <n v="224.00372149999001"/>
    <n v="224.00372149999001"/>
    <n v="224.68981180002399"/>
    <s v="y"/>
    <n v="1"/>
    <n v="0.67743750003864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buse"/>
    <s v="C"/>
    <x v="2"/>
    <s v="emotional"/>
    <s v="red"/>
    <s v="r"/>
    <n v="166"/>
    <n v="6"/>
    <n v="8"/>
    <s v="r"/>
    <n v="1"/>
    <n v="0.52257259999169003"/>
    <s v="None"/>
    <n v="8"/>
    <n v="6"/>
    <n v="166"/>
    <n v="4"/>
    <n v="224.70310510002301"/>
    <m/>
    <m/>
    <m/>
    <m/>
    <n v="224.69263459998101"/>
    <n v="224.70310510002301"/>
    <n v="225.203216900001"/>
    <n v="225.203216900001"/>
    <n v="225.203216900001"/>
    <n v="225.740671199979"/>
    <s v="r"/>
    <n v="1"/>
    <n v="0.52257259999169003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tone"/>
    <s v="I"/>
    <x v="0"/>
    <s v="neutral"/>
    <s v="yellow"/>
    <s v="y"/>
    <n v="167"/>
    <n v="7"/>
    <n v="8"/>
    <s v="y"/>
    <n v="1"/>
    <n v="1.1190617000101999"/>
    <s v="None"/>
    <n v="8"/>
    <n v="7"/>
    <n v="167"/>
    <n v="19"/>
    <n v="225.752980899997"/>
    <m/>
    <m/>
    <m/>
    <m/>
    <n v="225.743171699985"/>
    <n v="225.752980899997"/>
    <n v="226.253425400005"/>
    <n v="226.253425400005"/>
    <n v="226.253425400005"/>
    <n v="227.37380000000101"/>
    <s v="y"/>
    <n v="1"/>
    <n v="1.11906170001019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Chair"/>
    <s v="I"/>
    <x v="0"/>
    <s v="neutral"/>
    <s v="green"/>
    <s v="g"/>
    <n v="168"/>
    <n v="8"/>
    <n v="8"/>
    <s v="g"/>
    <n v="1"/>
    <n v="0.76330660004168704"/>
    <s v="None"/>
    <n v="8"/>
    <n v="8"/>
    <n v="168"/>
    <n v="10"/>
    <n v="227.38629210001"/>
    <m/>
    <m/>
    <m/>
    <m/>
    <n v="227.37709100003099"/>
    <n v="227.38629210001"/>
    <n v="227.88645270001101"/>
    <n v="227.88645270001101"/>
    <n v="227.88645270001101"/>
    <n v="228.656375900027"/>
    <s v="g"/>
    <n v="1"/>
    <n v="0.76330660004168704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Injury"/>
    <s v="I"/>
    <x v="1"/>
    <s v="emotional"/>
    <s v="green"/>
    <s v="g"/>
    <n v="169"/>
    <n v="9"/>
    <n v="8"/>
    <s v="g"/>
    <n v="1"/>
    <n v="0.50593770004343197"/>
    <s v="None"/>
    <n v="8"/>
    <n v="9"/>
    <n v="169"/>
    <n v="6"/>
    <n v="228.66977510001701"/>
    <m/>
    <m/>
    <m/>
    <m/>
    <n v="228.65900849999099"/>
    <n v="228.66977510001701"/>
    <n v="229.16941269999299"/>
    <n v="229.16941269999299"/>
    <n v="229.16941269999299"/>
    <n v="229.69002739997799"/>
    <s v="g"/>
    <n v="1"/>
    <n v="0.5059377000434319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able"/>
    <s v="I"/>
    <x v="0"/>
    <s v="neutral"/>
    <s v="blue"/>
    <s v="b"/>
    <n v="170"/>
    <n v="10"/>
    <n v="8"/>
    <s v="b"/>
    <n v="1"/>
    <n v="0.64916199998697199"/>
    <s v="None"/>
    <n v="8"/>
    <n v="10"/>
    <n v="170"/>
    <n v="13"/>
    <n v="229.70303380000399"/>
    <m/>
    <m/>
    <m/>
    <m/>
    <n v="229.69258799997601"/>
    <n v="229.70303380000399"/>
    <n v="230.20264390000301"/>
    <n v="230.20264390000301"/>
    <n v="230.20264390000301"/>
    <n v="230.85735210002099"/>
    <s v="b"/>
    <n v="1"/>
    <n v="0.649161999986971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nger"/>
    <s v="C"/>
    <x v="2"/>
    <s v="emotional"/>
    <s v="red"/>
    <s v="r"/>
    <n v="171"/>
    <n v="11"/>
    <n v="8"/>
    <s v="r"/>
    <n v="1"/>
    <n v="0.52195170003687896"/>
    <s v="None"/>
    <n v="8"/>
    <n v="11"/>
    <n v="171"/>
    <n v="8"/>
    <n v="230.869710300001"/>
    <m/>
    <m/>
    <m/>
    <m/>
    <n v="230.859965200012"/>
    <n v="230.869710300001"/>
    <n v="231.36950059997599"/>
    <n v="231.36950059997599"/>
    <n v="231.36950059997599"/>
    <n v="231.90621759998601"/>
    <s v="r"/>
    <n v="1"/>
    <n v="0.5219517000368789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in"/>
    <s v="I"/>
    <x v="1"/>
    <s v="emotional"/>
    <s v="blue"/>
    <s v="b"/>
    <n v="172"/>
    <n v="12"/>
    <n v="8"/>
    <s v="b"/>
    <n v="1"/>
    <n v="0.68553009995957803"/>
    <s v="None"/>
    <n v="8"/>
    <n v="12"/>
    <n v="172"/>
    <n v="1"/>
    <n v="231.919116600009"/>
    <m/>
    <m/>
    <m/>
    <m/>
    <n v="231.90862409997499"/>
    <n v="231.919116600009"/>
    <n v="232.41897910000901"/>
    <n v="232.41897910000901"/>
    <n v="232.41897910000901"/>
    <n v="233.10607789998099"/>
    <s v="b"/>
    <n v="1"/>
    <n v="0.68553009995957803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Window"/>
    <s v="I"/>
    <x v="0"/>
    <s v="neutral"/>
    <s v="red"/>
    <s v="r"/>
    <n v="173"/>
    <n v="13"/>
    <n v="8"/>
    <s v="r"/>
    <n v="1"/>
    <n v="0.40430430002743301"/>
    <s v="None"/>
    <n v="8"/>
    <n v="13"/>
    <n v="173"/>
    <n v="12"/>
    <n v="233.11969900003101"/>
    <m/>
    <m/>
    <m/>
    <m/>
    <n v="233.108683100028"/>
    <n v="233.11969900003101"/>
    <n v="233.619471399986"/>
    <n v="233.619471399986"/>
    <n v="233.619471399986"/>
    <n v="234.03913490002699"/>
    <s v="r"/>
    <n v="1"/>
    <n v="0.404304300027433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Garden"/>
    <s v="I"/>
    <x v="0"/>
    <s v="neutral"/>
    <s v="red"/>
    <s v="r"/>
    <n v="174"/>
    <n v="14"/>
    <n v="8"/>
    <s v="r"/>
    <n v="1"/>
    <n v="0.59179720003157799"/>
    <s v="None"/>
    <n v="8"/>
    <n v="14"/>
    <n v="174"/>
    <n v="16"/>
    <n v="234.05248349998101"/>
    <m/>
    <m/>
    <m/>
    <m/>
    <n v="234.04184030002199"/>
    <n v="234.05248349998101"/>
    <n v="234.55250520003"/>
    <n v="234.55250520003"/>
    <n v="234.55250520003"/>
    <n v="235.15649870003099"/>
    <s v="r"/>
    <n v="1"/>
    <n v="0.591797200031577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encil"/>
    <s v="I"/>
    <x v="0"/>
    <s v="neutral"/>
    <s v="green"/>
    <s v="g"/>
    <n v="175"/>
    <n v="15"/>
    <n v="8"/>
    <s v="y"/>
    <n v="0"/>
    <n v="0.895538899989333"/>
    <s v="None"/>
    <n v="8"/>
    <n v="15"/>
    <n v="175"/>
    <n v="14"/>
    <n v="235.170122399984"/>
    <m/>
    <m/>
    <m/>
    <m/>
    <n v="235.15921060001699"/>
    <n v="235.170122399984"/>
    <n v="235.669119699974"/>
    <n v="235.669119699974"/>
    <n v="235.669119699974"/>
    <n v="236.572731100022"/>
    <s v="y"/>
    <n v="0"/>
    <n v="0.895538899989333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ok"/>
    <s v="I"/>
    <x v="0"/>
    <s v="neutral"/>
    <s v="blue"/>
    <s v="b"/>
    <n v="176"/>
    <n v="16"/>
    <n v="8"/>
    <s v="b"/>
    <n v="1"/>
    <n v="0.78021510003600203"/>
    <s v="None"/>
    <n v="8"/>
    <n v="16"/>
    <n v="176"/>
    <n v="17"/>
    <n v="236.585920499986"/>
    <m/>
    <m/>
    <m/>
    <m/>
    <n v="236.575303399993"/>
    <n v="236.585920499986"/>
    <n v="237.08635579998301"/>
    <n v="237.08635579998301"/>
    <n v="237.08635579998301"/>
    <n v="237.873225799994"/>
    <s v="b"/>
    <n v="1"/>
    <n v="0.78021510003600203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nic"/>
    <s v="I"/>
    <x v="1"/>
    <s v="emotional"/>
    <s v="yellow"/>
    <s v="y"/>
    <n v="177"/>
    <n v="17"/>
    <n v="8"/>
    <s v="y"/>
    <n v="1"/>
    <n v="0.84518180001759902"/>
    <s v="None"/>
    <n v="8"/>
    <n v="17"/>
    <n v="177"/>
    <n v="3"/>
    <n v="237.885978800011"/>
    <m/>
    <m/>
    <m/>
    <m/>
    <n v="237.87667570001199"/>
    <n v="237.885978800011"/>
    <n v="238.38611700001599"/>
    <n v="238.38611700001599"/>
    <n v="238.38611700001599"/>
    <n v="239.23890260001599"/>
    <s v="y"/>
    <n v="1"/>
    <n v="0.8451818000175990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per"/>
    <s v="I"/>
    <x v="0"/>
    <s v="neutral"/>
    <s v="yellow"/>
    <s v="y"/>
    <n v="178"/>
    <n v="18"/>
    <n v="8"/>
    <s v="y"/>
    <n v="1"/>
    <n v="0.60449650004738897"/>
    <s v="None"/>
    <n v="8"/>
    <n v="18"/>
    <n v="178"/>
    <n v="15"/>
    <n v="239.25275400001499"/>
    <m/>
    <m/>
    <m/>
    <m/>
    <n v="239.24141780001801"/>
    <n v="239.25275400001499"/>
    <n v="239.75220749998601"/>
    <n v="239.75220749998601"/>
    <n v="239.75220749998601"/>
    <n v="240.372582899988"/>
    <s v="y"/>
    <n v="1"/>
    <n v="0.6044965000473889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hreat"/>
    <s v="I"/>
    <x v="1"/>
    <s v="emotional"/>
    <s v="blue"/>
    <s v="b"/>
    <n v="179"/>
    <n v="19"/>
    <n v="8"/>
    <s v="b"/>
    <n v="1"/>
    <n v="0.81945999996969399"/>
    <s v="None"/>
    <n v="8"/>
    <n v="19"/>
    <n v="179"/>
    <n v="5"/>
    <n v="240.38580879999699"/>
    <m/>
    <m/>
    <m/>
    <m/>
    <n v="240.37540949997401"/>
    <n v="240.38580879999699"/>
    <n v="240.885906199982"/>
    <n v="240.885906199982"/>
    <n v="240.885906199982"/>
    <n v="241.70650540001199"/>
    <s v="b"/>
    <n v="1"/>
    <n v="0.819459999969693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ok"/>
    <s v="I"/>
    <x v="0"/>
    <s v="neutral"/>
    <s v="blue"/>
    <s v="b"/>
    <n v="180"/>
    <n v="0"/>
    <n v="9"/>
    <s v="b"/>
    <n v="1"/>
    <n v="0.44667650002520498"/>
    <s v="None"/>
    <n v="9"/>
    <n v="0"/>
    <n v="180"/>
    <n v="17"/>
    <n v="241.71957170002801"/>
    <m/>
    <m/>
    <m/>
    <m/>
    <n v="241.70893439999699"/>
    <n v="241.71957170002801"/>
    <n v="242.21925500000299"/>
    <n v="242.21925500000299"/>
    <n v="242.21925500000299"/>
    <n v="242.67341940000099"/>
    <s v="b"/>
    <n v="1"/>
    <n v="0.44667650002520498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Road"/>
    <s v="I"/>
    <x v="0"/>
    <s v="neutral"/>
    <s v="green"/>
    <s v="g"/>
    <n v="181"/>
    <n v="1"/>
    <n v="9"/>
    <s v="g"/>
    <n v="1"/>
    <n v="0.99361210002098199"/>
    <s v="None"/>
    <n v="9"/>
    <n v="1"/>
    <n v="181"/>
    <n v="18"/>
    <n v="242.68630110000899"/>
    <m/>
    <m/>
    <m/>
    <m/>
    <n v="242.67669210000801"/>
    <n v="242.68630110000899"/>
    <n v="243.18630180001401"/>
    <n v="243.18630180001401"/>
    <n v="243.18630180001401"/>
    <n v="244.195685299986"/>
    <s v="g"/>
    <n v="1"/>
    <n v="0.993612100020981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Garden"/>
    <s v="I"/>
    <x v="0"/>
    <s v="neutral"/>
    <s v="red"/>
    <s v="r"/>
    <n v="182"/>
    <n v="2"/>
    <n v="9"/>
    <s v="r"/>
    <n v="1"/>
    <n v="0.53437090001534604"/>
    <s v="None"/>
    <n v="9"/>
    <n v="2"/>
    <n v="182"/>
    <n v="16"/>
    <n v="244.21794180001501"/>
    <m/>
    <m/>
    <m/>
    <m/>
    <n v="244.19965030002601"/>
    <n v="244.21794180001501"/>
    <n v="244.70227800001101"/>
    <n v="244.70227800001101"/>
    <n v="244.70227800001101"/>
    <n v="245.24109610001301"/>
    <s v="r"/>
    <n v="1"/>
    <n v="0.53437090001534604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buse"/>
    <s v="C"/>
    <x v="2"/>
    <s v="emotional"/>
    <s v="red"/>
    <s v="r"/>
    <n v="183"/>
    <n v="3"/>
    <n v="9"/>
    <s v="r"/>
    <n v="1"/>
    <n v="0.45794609998119901"/>
    <s v="None"/>
    <n v="9"/>
    <n v="3"/>
    <n v="183"/>
    <n v="4"/>
    <n v="245.25209269998501"/>
    <m/>
    <m/>
    <m/>
    <m/>
    <n v="245.24446299997999"/>
    <n v="245.25209269998501"/>
    <n v="245.75268350000201"/>
    <n v="245.75268350000201"/>
    <n v="245.75268350000201"/>
    <n v="246.22244590002799"/>
    <s v="r"/>
    <n v="1"/>
    <n v="0.457946099981199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nic"/>
    <s v="I"/>
    <x v="1"/>
    <s v="emotional"/>
    <s v="yellow"/>
    <s v="y"/>
    <n v="184"/>
    <n v="4"/>
    <n v="9"/>
    <s v="y"/>
    <n v="1"/>
    <n v="0.636460400011856"/>
    <s v="None"/>
    <n v="9"/>
    <n v="4"/>
    <n v="184"/>
    <n v="3"/>
    <n v="246.23612299998001"/>
    <m/>
    <m/>
    <m/>
    <m/>
    <n v="246.225039199984"/>
    <n v="246.23612299998001"/>
    <n v="246.73512430000099"/>
    <n v="246.73512430000099"/>
    <n v="246.73512430000099"/>
    <n v="247.37308699998499"/>
    <s v="y"/>
    <n v="1"/>
    <n v="0.63646040001185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Injury"/>
    <s v="I"/>
    <x v="1"/>
    <s v="emotional"/>
    <s v="green"/>
    <s v="g"/>
    <n v="185"/>
    <n v="5"/>
    <n v="9"/>
    <s v="g"/>
    <n v="1"/>
    <n v="0.78911309997783896"/>
    <s v="None"/>
    <n v="9"/>
    <n v="5"/>
    <n v="185"/>
    <n v="6"/>
    <n v="247.38543349999199"/>
    <m/>
    <m/>
    <m/>
    <m/>
    <n v="247.37725199997601"/>
    <n v="247.38543349999199"/>
    <n v="247.886390400002"/>
    <n v="247.886390400002"/>
    <n v="247.886390400002"/>
    <n v="248.68850649998001"/>
    <s v="g"/>
    <n v="1"/>
    <n v="0.7891130999778389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tone"/>
    <s v="I"/>
    <x v="0"/>
    <s v="neutral"/>
    <s v="yellow"/>
    <s v="y"/>
    <n v="186"/>
    <n v="6"/>
    <n v="9"/>
    <s v="y"/>
    <n v="1"/>
    <n v="0.74307809997117102"/>
    <s v="None"/>
    <n v="9"/>
    <n v="6"/>
    <n v="186"/>
    <n v="19"/>
    <n v="248.70036850002299"/>
    <m/>
    <m/>
    <m/>
    <m/>
    <n v="248.691474999999"/>
    <n v="248.70036850002299"/>
    <n v="249.20066019997401"/>
    <n v="249.20066019997401"/>
    <n v="249.20066019997401"/>
    <n v="249.95573300000899"/>
    <s v="y"/>
    <n v="1"/>
    <n v="0.7430780999711710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Fear"/>
    <s v="C"/>
    <x v="2"/>
    <s v="emotional"/>
    <s v="red"/>
    <s v="r"/>
    <n v="187"/>
    <n v="7"/>
    <n v="9"/>
    <s v="r"/>
    <n v="1"/>
    <n v="0.48034370003733701"/>
    <s v="None"/>
    <n v="9"/>
    <n v="7"/>
    <n v="187"/>
    <n v="0"/>
    <n v="249.96870630001601"/>
    <m/>
    <m/>
    <m/>
    <m/>
    <n v="249.95818469999301"/>
    <n v="249.96870630001601"/>
    <n v="250.468379799975"/>
    <n v="250.468379799975"/>
    <n v="250.468379799975"/>
    <n v="250.95559299999101"/>
    <s v="r"/>
    <n v="1"/>
    <n v="0.48034370003733701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Death"/>
    <s v="I"/>
    <x v="1"/>
    <s v="emotional"/>
    <s v="green"/>
    <s v="g"/>
    <n v="188"/>
    <n v="8"/>
    <n v="9"/>
    <s v="g"/>
    <n v="1"/>
    <n v="1.01978540001437"/>
    <s v="None"/>
    <n v="9"/>
    <n v="8"/>
    <n v="188"/>
    <n v="2"/>
    <n v="250.96849579998499"/>
    <m/>
    <m/>
    <m/>
    <m/>
    <n v="250.95909090002499"/>
    <n v="250.96849579998499"/>
    <n v="251.468909899995"/>
    <n v="251.468909899995"/>
    <n v="251.468909899995"/>
    <n v="252.506160799996"/>
    <s v="g"/>
    <n v="1"/>
    <n v="1.01978540001437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encil"/>
    <s v="I"/>
    <x v="0"/>
    <s v="neutral"/>
    <s v="green"/>
    <s v="g"/>
    <n v="189"/>
    <n v="9"/>
    <n v="9"/>
    <s v="g"/>
    <n v="1"/>
    <n v="0.50974629999836896"/>
    <s v="None"/>
    <n v="9"/>
    <n v="9"/>
    <n v="189"/>
    <n v="14"/>
    <n v="252.518769800022"/>
    <m/>
    <m/>
    <m/>
    <m/>
    <n v="252.508641100022"/>
    <n v="252.518769800022"/>
    <n v="253.01864740002199"/>
    <n v="253.01864740002199"/>
    <n v="253.01864740002199"/>
    <n v="253.53856130002501"/>
    <s v="g"/>
    <n v="1"/>
    <n v="0.5097462999983689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Violence"/>
    <s v="I"/>
    <x v="1"/>
    <s v="emotional"/>
    <s v="blue"/>
    <s v="b"/>
    <n v="190"/>
    <n v="10"/>
    <n v="9"/>
    <s v="b"/>
    <n v="1"/>
    <n v="0.67804710002383195"/>
    <s v="None"/>
    <n v="9"/>
    <n v="10"/>
    <n v="190"/>
    <n v="9"/>
    <n v="253.55173629999601"/>
    <m/>
    <m/>
    <m/>
    <m/>
    <n v="253.541233299998"/>
    <n v="253.55173629999601"/>
    <n v="254.05319469998301"/>
    <n v="254.05319469998301"/>
    <n v="254.05319469998301"/>
    <n v="254.73868750000801"/>
    <s v="b"/>
    <n v="1"/>
    <n v="0.6780471000238319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Window"/>
    <s v="I"/>
    <x v="0"/>
    <s v="neutral"/>
    <s v="red"/>
    <s v="r"/>
    <n v="191"/>
    <n v="11"/>
    <n v="9"/>
    <s v="r"/>
    <n v="1"/>
    <n v="0.63033779995748696"/>
    <s v="None"/>
    <n v="9"/>
    <n v="11"/>
    <n v="191"/>
    <n v="12"/>
    <n v="254.751760600018"/>
    <m/>
    <m/>
    <m/>
    <m/>
    <n v="254.741298599983"/>
    <n v="254.751760600018"/>
    <n v="255.251981400011"/>
    <n v="255.251981400011"/>
    <n v="255.251981400011"/>
    <n v="255.889609400008"/>
    <s v="r"/>
    <n v="1"/>
    <n v="0.6303377999574869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Chair"/>
    <s v="I"/>
    <x v="0"/>
    <s v="neutral"/>
    <s v="green"/>
    <s v="g"/>
    <n v="192"/>
    <n v="12"/>
    <n v="9"/>
    <s v="g"/>
    <n v="1"/>
    <n v="0.63617099996190496"/>
    <s v="None"/>
    <n v="9"/>
    <n v="12"/>
    <n v="192"/>
    <n v="10"/>
    <n v="255.90145120001301"/>
    <m/>
    <m/>
    <m/>
    <m/>
    <n v="255.891999199986"/>
    <n v="255.90145120001301"/>
    <n v="256.401664500008"/>
    <n v="256.401664500008"/>
    <n v="256.401664500008"/>
    <n v="257.03943140001502"/>
    <s v="g"/>
    <n v="1"/>
    <n v="0.63617099996190496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per"/>
    <s v="I"/>
    <x v="0"/>
    <s v="neutral"/>
    <s v="yellow"/>
    <s v="y"/>
    <n v="193"/>
    <n v="13"/>
    <n v="9"/>
    <s v="y"/>
    <n v="1"/>
    <n v="0.91785879997769304"/>
    <s v="None"/>
    <n v="9"/>
    <n v="13"/>
    <n v="193"/>
    <n v="15"/>
    <n v="257.05233640002501"/>
    <m/>
    <m/>
    <m/>
    <m/>
    <n v="257.04201690002799"/>
    <n v="257.05233640002501"/>
    <n v="257.55131070001499"/>
    <n v="257.55131070001499"/>
    <n v="257.55131070001499"/>
    <n v="258.47203020000597"/>
    <s v="y"/>
    <n v="1"/>
    <n v="0.91785879997769304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hreat"/>
    <s v="I"/>
    <x v="1"/>
    <s v="emotional"/>
    <s v="blue"/>
    <s v="b"/>
    <n v="194"/>
    <n v="14"/>
    <n v="9"/>
    <s v="b"/>
    <n v="1"/>
    <n v="1.24959679995663"/>
    <s v="None"/>
    <n v="9"/>
    <n v="14"/>
    <n v="194"/>
    <n v="5"/>
    <n v="258.48494210001002"/>
    <m/>
    <m/>
    <m/>
    <m/>
    <n v="258.47542799997598"/>
    <n v="258.48494210001002"/>
    <n v="258.98510879999901"/>
    <n v="258.98510879999901"/>
    <n v="258.98510879999901"/>
    <n v="260.23931600002101"/>
    <s v="b"/>
    <n v="1"/>
    <n v="1.24959679995663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Sadness"/>
    <s v="I"/>
    <x v="1"/>
    <s v="emotional"/>
    <s v="yellow"/>
    <s v="y"/>
    <n v="195"/>
    <n v="15"/>
    <n v="9"/>
    <s v="y"/>
    <n v="1"/>
    <n v="1.12182749999919"/>
    <s v="None"/>
    <n v="9"/>
    <n v="15"/>
    <n v="195"/>
    <n v="7"/>
    <n v="260.25197270000302"/>
    <m/>
    <m/>
    <m/>
    <m/>
    <n v="260.24210859998101"/>
    <n v="260.25197270000302"/>
    <n v="260.75205730000698"/>
    <n v="260.75205730000698"/>
    <n v="260.75205730000698"/>
    <n v="261.89038340002298"/>
    <s v="y"/>
    <n v="1"/>
    <n v="1.1218274999991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Bottle"/>
    <s v="I"/>
    <x v="0"/>
    <s v="neutral"/>
    <s v="yellow"/>
    <s v="y"/>
    <n v="196"/>
    <n v="16"/>
    <n v="9"/>
    <s v="y"/>
    <n v="1"/>
    <n v="0.56700869998894599"/>
    <s v="None"/>
    <n v="9"/>
    <n v="16"/>
    <n v="196"/>
    <n v="11"/>
    <n v="261.90109900000903"/>
    <m/>
    <m/>
    <m/>
    <m/>
    <n v="261.89387339999598"/>
    <n v="261.90109900000903"/>
    <n v="262.40201850002597"/>
    <n v="262.40201850002597"/>
    <n v="262.40201850002597"/>
    <n v="262.97228159999901"/>
    <s v="y"/>
    <n v="1"/>
    <n v="0.567008699988945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Table"/>
    <s v="I"/>
    <x v="0"/>
    <s v="neutral"/>
    <s v="blue"/>
    <s v="b"/>
    <n v="197"/>
    <n v="17"/>
    <n v="9"/>
    <s v="b"/>
    <n v="1"/>
    <n v="0.85745190002489802"/>
    <s v="None"/>
    <n v="9"/>
    <n v="17"/>
    <n v="197"/>
    <n v="13"/>
    <n v="262.984783800027"/>
    <m/>
    <m/>
    <m/>
    <m/>
    <n v="262.97504380001902"/>
    <n v="262.984783800027"/>
    <n v="263.48512800002902"/>
    <n v="263.48512800002902"/>
    <n v="263.48512800002902"/>
    <n v="264.355455300014"/>
    <s v="b"/>
    <n v="1"/>
    <n v="0.85745190002489802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Pain"/>
    <s v="I"/>
    <x v="1"/>
    <s v="emotional"/>
    <s v="blue"/>
    <s v="b"/>
    <n v="198"/>
    <n v="18"/>
    <n v="9"/>
    <s v="b"/>
    <n v="1"/>
    <n v="0.73304399999324199"/>
    <s v="None"/>
    <n v="9"/>
    <n v="18"/>
    <n v="198"/>
    <n v="1"/>
    <n v="264.36835669999698"/>
    <m/>
    <m/>
    <m/>
    <m/>
    <n v="264.359171800024"/>
    <n v="264.36835669999698"/>
    <n v="264.86823830002601"/>
    <n v="264.86823830002601"/>
    <n v="264.86823830002601"/>
    <n v="265.60549390001597"/>
    <s v="b"/>
    <n v="1"/>
    <n v="0.73304399999324199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s v="Anger"/>
    <s v="C"/>
    <x v="2"/>
    <s v="emotional"/>
    <s v="red"/>
    <s v="r"/>
    <n v="199"/>
    <n v="19"/>
    <n v="9"/>
    <s v="r"/>
    <n v="1"/>
    <n v="0.56190390000119805"/>
    <s v="None"/>
    <n v="9"/>
    <n v="19"/>
    <n v="199"/>
    <n v="8"/>
    <n v="265.61765400000098"/>
    <m/>
    <m/>
    <m/>
    <m/>
    <n v="265.608613400021"/>
    <n v="265.61765400000098"/>
    <n v="266.118366800015"/>
    <n v="266.118366800015"/>
    <n v="266.118366800015"/>
    <n v="266.68770940002202"/>
    <s v="r"/>
    <n v="1"/>
    <n v="0.56190390000119805"/>
    <s v="None"/>
    <m/>
    <m/>
    <m/>
    <x v="3"/>
    <n v="1"/>
    <s v="2025-11-19_00h51.47.577"/>
    <s v="emotional stroop_untitled"/>
    <m/>
    <s v="2025.1.1"/>
    <n v="59.992644915568597"/>
    <s v="2025-11-19 00h51.53.024765 +0530"/>
    <m/>
    <m/>
  </r>
  <r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n v="266.68784660001899"/>
    <n v="266.70121010002902"/>
    <n v="267.68825920001802"/>
    <x v="3"/>
    <n v="1"/>
    <s v="2025-11-19_00h51.47.577"/>
    <s v="emotional stroop_untitled"/>
    <m/>
    <s v="2025.1.1"/>
    <n v="59.992644915568597"/>
    <s v="2025-11-19 00h51.53.024765 +0530"/>
    <m/>
    <m/>
  </r>
  <r>
    <m/>
    <m/>
    <x v="3"/>
    <m/>
    <m/>
    <m/>
    <m/>
    <m/>
    <m/>
    <m/>
    <m/>
    <m/>
    <m/>
    <m/>
    <m/>
    <m/>
    <m/>
    <m/>
    <m/>
    <n v="2.50021000392735E-2"/>
    <n v="3.8491000013891601E-2"/>
    <n v="2.0080251999897798"/>
    <m/>
    <m/>
    <m/>
    <m/>
    <m/>
    <m/>
    <m/>
    <m/>
    <m/>
    <m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able"/>
    <s v="I"/>
    <x v="0"/>
    <s v="neutral"/>
    <s v="blue"/>
    <s v="b"/>
    <n v="0"/>
    <n v="0"/>
    <n v="0"/>
    <s v="b"/>
    <n v="1"/>
    <n v="0.95922219997737501"/>
    <s v="None"/>
    <n v="0"/>
    <n v="0"/>
    <n v="0"/>
    <n v="13"/>
    <n v="2.0542469000210901"/>
    <m/>
    <m/>
    <m/>
    <m/>
    <n v="2.03902389999711"/>
    <n v="2.0542469000210901"/>
    <n v="2.5048612999962598"/>
    <n v="2.5048612999962598"/>
    <n v="2.5048612999962598"/>
    <n v="3.4949879000196198"/>
    <s v="b"/>
    <n v="1"/>
    <n v="0.959222199977375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buse"/>
    <s v="C"/>
    <x v="2"/>
    <s v="emotional"/>
    <s v="red"/>
    <s v="r"/>
    <n v="1"/>
    <n v="1"/>
    <n v="0"/>
    <s v="r"/>
    <n v="1"/>
    <n v="0.65949200000613895"/>
    <s v="None"/>
    <n v="0"/>
    <n v="1"/>
    <n v="1"/>
    <n v="4"/>
    <n v="3.5031902000191599"/>
    <m/>
    <m/>
    <m/>
    <m/>
    <n v="3.49787920003291"/>
    <n v="3.5031902000191599"/>
    <n v="4.0051910000038298"/>
    <n v="4.0051910000038298"/>
    <n v="4.0051910000038298"/>
    <n v="4.6745334999868602"/>
    <s v="r"/>
    <n v="1"/>
    <n v="0.6594920000061389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encil"/>
    <s v="I"/>
    <x v="0"/>
    <s v="neutral"/>
    <s v="green"/>
    <s v="g"/>
    <n v="2"/>
    <n v="2"/>
    <n v="0"/>
    <s v="g"/>
    <n v="1"/>
    <n v="1.0613488999661"/>
    <s v="None"/>
    <n v="0"/>
    <n v="2"/>
    <n v="2"/>
    <n v="14"/>
    <n v="4.6879064000095196"/>
    <m/>
    <m/>
    <m/>
    <m/>
    <n v="4.6773801000090298"/>
    <n v="4.6879064000095196"/>
    <n v="5.1879944000393099"/>
    <n v="5.1879944000393099"/>
    <n v="5.1879944000393099"/>
    <n v="6.2574811000376904"/>
    <s v="g"/>
    <n v="1"/>
    <n v="1.061348899966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ttle"/>
    <s v="I"/>
    <x v="0"/>
    <s v="neutral"/>
    <s v="yellow"/>
    <s v="y"/>
    <n v="3"/>
    <n v="3"/>
    <n v="0"/>
    <s v="y"/>
    <n v="1"/>
    <n v="0.57249809999484502"/>
    <s v="None"/>
    <n v="0"/>
    <n v="3"/>
    <n v="3"/>
    <n v="11"/>
    <n v="6.2709097000188097"/>
    <m/>
    <m/>
    <m/>
    <m/>
    <n v="6.2613487000344303"/>
    <n v="6.2709097000188097"/>
    <n v="6.7720646000234401"/>
    <n v="6.7720646000234401"/>
    <n v="6.7720646000234401"/>
    <n v="7.3582190999877604"/>
    <s v="y"/>
    <n v="1"/>
    <n v="0.572498099994845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in"/>
    <s v="I"/>
    <x v="1"/>
    <s v="emotional"/>
    <s v="blue"/>
    <s v="b"/>
    <n v="4"/>
    <n v="4"/>
    <n v="0"/>
    <s v="b"/>
    <n v="1"/>
    <n v="0.93336269998690102"/>
    <s v="None"/>
    <n v="0"/>
    <n v="4"/>
    <n v="4"/>
    <n v="1"/>
    <n v="7.37152819999028"/>
    <m/>
    <m/>
    <m/>
    <m/>
    <n v="7.3608248000382401"/>
    <n v="7.37152819999028"/>
    <n v="7.8714808000368004"/>
    <n v="7.8714808000368004"/>
    <n v="7.8714808000368004"/>
    <n v="8.8087199000292404"/>
    <s v="b"/>
    <n v="1"/>
    <n v="0.933362699986901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Road"/>
    <s v="I"/>
    <x v="0"/>
    <s v="neutral"/>
    <s v="green"/>
    <s v="g"/>
    <n v="5"/>
    <n v="5"/>
    <n v="0"/>
    <s v="g"/>
    <n v="1"/>
    <n v="0.64907009998569198"/>
    <s v="None"/>
    <n v="0"/>
    <n v="5"/>
    <n v="5"/>
    <n v="18"/>
    <n v="8.8213951000361703"/>
    <m/>
    <m/>
    <m/>
    <m/>
    <n v="8.8111923999967896"/>
    <n v="8.8213951000361703"/>
    <n v="9.3206375000299797"/>
    <n v="9.3206375000299797"/>
    <n v="9.3206375000299797"/>
    <n v="9.9748429000028391"/>
    <s v="g"/>
    <n v="1"/>
    <n v="0.649070099985691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Window"/>
    <s v="I"/>
    <x v="0"/>
    <s v="neutral"/>
    <s v="red"/>
    <s v="r"/>
    <n v="6"/>
    <n v="6"/>
    <n v="0"/>
    <s v="r"/>
    <n v="1"/>
    <n v="0.71423800004413296"/>
    <s v="None"/>
    <n v="0"/>
    <n v="6"/>
    <n v="6"/>
    <n v="12"/>
    <n v="9.9878524999949096"/>
    <m/>
    <m/>
    <m/>
    <m/>
    <n v="9.9774800000013695"/>
    <n v="9.9878524999949096"/>
    <n v="10.487211800005699"/>
    <n v="10.487211800005699"/>
    <n v="10.487211800005699"/>
    <n v="11.2077537000295"/>
    <s v="r"/>
    <n v="1"/>
    <n v="0.7142380000441329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nger"/>
    <s v="C"/>
    <x v="2"/>
    <s v="emotional"/>
    <s v="red"/>
    <s v="r"/>
    <n v="7"/>
    <n v="7"/>
    <n v="0"/>
    <s v="r"/>
    <n v="1"/>
    <n v="0.64960240002255798"/>
    <s v="None"/>
    <n v="0"/>
    <n v="7"/>
    <n v="7"/>
    <n v="8"/>
    <n v="11.2207200000411"/>
    <m/>
    <m/>
    <m/>
    <m/>
    <n v="11.2102288000169"/>
    <n v="11.2207200000411"/>
    <n v="11.7216258000116"/>
    <n v="11.7216258000116"/>
    <n v="11.7216258000116"/>
    <n v="12.374445600027601"/>
    <s v="r"/>
    <n v="1"/>
    <n v="0.649602400022557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Violence"/>
    <s v="I"/>
    <x v="1"/>
    <s v="emotional"/>
    <s v="blue"/>
    <s v="b"/>
    <n v="8"/>
    <n v="8"/>
    <n v="0"/>
    <s v="b"/>
    <n v="1"/>
    <n v="0.91017210000427395"/>
    <s v="None"/>
    <n v="0"/>
    <n v="8"/>
    <n v="8"/>
    <n v="9"/>
    <n v="12.3871415000176"/>
    <m/>
    <m/>
    <m/>
    <m/>
    <n v="12.379280299995999"/>
    <n v="12.3871415000176"/>
    <n v="12.887580499984301"/>
    <n v="12.887580499984301"/>
    <n v="12.887580499984301"/>
    <n v="13.8082193000009"/>
    <s v="b"/>
    <n v="1"/>
    <n v="0.9101721000042739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ok"/>
    <s v="I"/>
    <x v="0"/>
    <s v="neutral"/>
    <s v="blue"/>
    <s v="b"/>
    <n v="9"/>
    <n v="9"/>
    <n v="0"/>
    <s v="b"/>
    <n v="1"/>
    <n v="0.64004160003969401"/>
    <s v="None"/>
    <n v="0"/>
    <n v="9"/>
    <n v="9"/>
    <n v="17"/>
    <n v="13.8214597000041"/>
    <m/>
    <m/>
    <m/>
    <m/>
    <n v="13.8111452999874"/>
    <n v="13.8214597000041"/>
    <n v="14.320920100028101"/>
    <n v="14.320920100028101"/>
    <n v="14.320920100028101"/>
    <n v="14.9743966000387"/>
    <s v="b"/>
    <n v="1"/>
    <n v="0.640041600039694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Injury"/>
    <s v="I"/>
    <x v="1"/>
    <s v="emotional"/>
    <s v="green"/>
    <s v="g"/>
    <n v="10"/>
    <n v="10"/>
    <n v="0"/>
    <s v="g"/>
    <n v="1"/>
    <n v="0.812381500029005"/>
    <s v="None"/>
    <n v="0"/>
    <n v="10"/>
    <n v="10"/>
    <n v="6"/>
    <n v="14.987020500004199"/>
    <m/>
    <m/>
    <m/>
    <m/>
    <n v="14.980214000039201"/>
    <n v="14.987020500004199"/>
    <n v="15.487383200030299"/>
    <n v="15.487383200030299"/>
    <n v="15.487383200030299"/>
    <n v="16.3075877000228"/>
    <s v="g"/>
    <n v="1"/>
    <n v="0.81238150002900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Chair"/>
    <s v="I"/>
    <x v="0"/>
    <s v="neutral"/>
    <s v="green"/>
    <s v="g"/>
    <n v="11"/>
    <n v="11"/>
    <n v="0"/>
    <s v="g"/>
    <n v="1"/>
    <n v="0.557203700009267"/>
    <s v="None"/>
    <n v="0"/>
    <n v="11"/>
    <n v="11"/>
    <n v="10"/>
    <n v="16.3204114999971"/>
    <m/>
    <m/>
    <m/>
    <m/>
    <n v="16.310246400011199"/>
    <n v="16.3204114999971"/>
    <n v="16.820418799994499"/>
    <n v="16.820418799994499"/>
    <n v="16.820418799994499"/>
    <n v="17.390763000002998"/>
    <s v="g"/>
    <n v="1"/>
    <n v="0.55720370000926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per"/>
    <s v="I"/>
    <x v="0"/>
    <s v="neutral"/>
    <s v="yellow"/>
    <s v="y"/>
    <n v="12"/>
    <n v="12"/>
    <n v="0"/>
    <s v="y"/>
    <n v="1"/>
    <n v="0.52477189997443896"/>
    <s v="None"/>
    <n v="0"/>
    <n v="12"/>
    <n v="12"/>
    <n v="15"/>
    <n v="17.4037788999849"/>
    <m/>
    <m/>
    <m/>
    <m/>
    <n v="17.3940136000164"/>
    <n v="17.4037788999849"/>
    <n v="17.904157000011701"/>
    <n v="17.904157000011701"/>
    <n v="17.904157000011701"/>
    <n v="18.441171200014601"/>
    <s v="y"/>
    <n v="1"/>
    <n v="0.5247718999744389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adness"/>
    <s v="I"/>
    <x v="1"/>
    <s v="emotional"/>
    <s v="yellow"/>
    <s v="y"/>
    <n v="13"/>
    <n v="13"/>
    <n v="0"/>
    <s v="y"/>
    <n v="1"/>
    <n v="0.42154820001451299"/>
    <s v="None"/>
    <n v="0"/>
    <n v="13"/>
    <n v="13"/>
    <n v="7"/>
    <n v="18.4552322000381"/>
    <m/>
    <m/>
    <m/>
    <m/>
    <n v="18.444047900033102"/>
    <n v="18.4552322000381"/>
    <n v="18.954103900003201"/>
    <n v="18.954103900003201"/>
    <n v="18.954103900003201"/>
    <n v="19.391473499999801"/>
    <s v="y"/>
    <n v="1"/>
    <n v="0.421548200014512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tone"/>
    <s v="I"/>
    <x v="0"/>
    <s v="neutral"/>
    <s v="yellow"/>
    <s v="y"/>
    <n v="14"/>
    <n v="14"/>
    <n v="0"/>
    <s v="y"/>
    <n v="1"/>
    <n v="0.40052279998781098"/>
    <s v="None"/>
    <n v="0"/>
    <n v="14"/>
    <n v="14"/>
    <n v="19"/>
    <n v="19.4037749000126"/>
    <m/>
    <m/>
    <m/>
    <m/>
    <n v="19.3941622999846"/>
    <n v="19.4037749000126"/>
    <n v="19.904406399989899"/>
    <n v="19.904406399989899"/>
    <n v="19.904406399989899"/>
    <n v="20.308146500028599"/>
    <s v="y"/>
    <n v="1"/>
    <n v="0.400522799987810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Death"/>
    <s v="I"/>
    <x v="1"/>
    <s v="emotional"/>
    <s v="green"/>
    <s v="g"/>
    <n v="15"/>
    <n v="15"/>
    <n v="0"/>
    <s v="g"/>
    <n v="1"/>
    <n v="0.73955880000721597"/>
    <s v="None"/>
    <n v="0"/>
    <n v="15"/>
    <n v="15"/>
    <n v="2"/>
    <n v="20.320653900038401"/>
    <m/>
    <m/>
    <m/>
    <m/>
    <n v="20.313536500034299"/>
    <n v="20.320653900038401"/>
    <n v="20.820861899992401"/>
    <n v="20.820861899992401"/>
    <n v="20.820861899992401"/>
    <n v="21.574019099993102"/>
    <s v="g"/>
    <n v="1"/>
    <n v="0.7395588000072159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Garden"/>
    <s v="I"/>
    <x v="0"/>
    <s v="neutral"/>
    <s v="red"/>
    <s v="r"/>
    <n v="16"/>
    <n v="16"/>
    <n v="0"/>
    <s v="r"/>
    <n v="1"/>
    <n v="0.58785060001537204"/>
    <s v="None"/>
    <n v="0"/>
    <n v="16"/>
    <n v="16"/>
    <n v="16"/>
    <n v="21.587047900015001"/>
    <m/>
    <m/>
    <m/>
    <m/>
    <n v="21.5764983000117"/>
    <n v="21.587047900015001"/>
    <n v="22.087422200012899"/>
    <n v="22.087422200012899"/>
    <n v="22.087422200012899"/>
    <n v="22.691410500032301"/>
    <s v="r"/>
    <n v="1"/>
    <n v="0.5878506000153720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Fear"/>
    <s v="C"/>
    <x v="2"/>
    <s v="emotional"/>
    <s v="red"/>
    <s v="r"/>
    <n v="17"/>
    <n v="17"/>
    <n v="0"/>
    <s v="r"/>
    <n v="1"/>
    <n v="0.71872359997360002"/>
    <s v="None"/>
    <n v="0"/>
    <n v="17"/>
    <n v="17"/>
    <n v="0"/>
    <n v="22.7037193999858"/>
    <m/>
    <m/>
    <m/>
    <m/>
    <n v="22.696199700003401"/>
    <n v="22.7037193999858"/>
    <n v="23.204114400024899"/>
    <n v="23.204114400024899"/>
    <n v="23.204114400024899"/>
    <n v="23.9267569000367"/>
    <s v="r"/>
    <n v="1"/>
    <n v="0.718723599973600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hreat"/>
    <s v="I"/>
    <x v="1"/>
    <s v="emotional"/>
    <s v="blue"/>
    <s v="b"/>
    <n v="18"/>
    <n v="18"/>
    <n v="0"/>
    <s v="b"/>
    <n v="1"/>
    <n v="1.2972640999942"/>
    <s v="None"/>
    <n v="0"/>
    <n v="18"/>
    <n v="18"/>
    <n v="5"/>
    <n v="23.936789100000102"/>
    <m/>
    <m/>
    <m/>
    <m/>
    <n v="23.929260100005099"/>
    <n v="23.936789100000102"/>
    <n v="24.437303100014098"/>
    <n v="24.437303100014098"/>
    <n v="24.437303100014098"/>
    <n v="25.741512400039898"/>
    <s v="b"/>
    <n v="1"/>
    <n v="1.297264099994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nic"/>
    <s v="I"/>
    <x v="1"/>
    <s v="emotional"/>
    <s v="yellow"/>
    <s v="y"/>
    <n v="19"/>
    <n v="19"/>
    <n v="0"/>
    <s v="y"/>
    <n v="1"/>
    <n v="0.80869360000360702"/>
    <s v="None"/>
    <n v="0"/>
    <n v="19"/>
    <n v="19"/>
    <n v="3"/>
    <n v="25.7538113000337"/>
    <m/>
    <m/>
    <m/>
    <m/>
    <n v="25.7449655000236"/>
    <n v="25.7538113000337"/>
    <n v="26.253509000001898"/>
    <n v="26.253509000001898"/>
    <n v="26.253509000001898"/>
    <n v="27.074818900029602"/>
    <s v="y"/>
    <n v="1"/>
    <n v="0.808693600003607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hreat"/>
    <s v="I"/>
    <x v="1"/>
    <s v="emotional"/>
    <s v="blue"/>
    <s v="b"/>
    <n v="20"/>
    <n v="0"/>
    <n v="1"/>
    <s v="b"/>
    <n v="1"/>
    <n v="0.65546739997807801"/>
    <s v="None"/>
    <n v="1"/>
    <n v="0"/>
    <n v="20"/>
    <n v="5"/>
    <n v="27.087116100010402"/>
    <m/>
    <m/>
    <m/>
    <m/>
    <n v="27.0774824999971"/>
    <n v="27.087116100010402"/>
    <n v="27.587249500036702"/>
    <n v="27.587249500036702"/>
    <n v="27.587249500036702"/>
    <n v="28.257249100017301"/>
    <s v="b"/>
    <n v="1"/>
    <n v="0.655467399978078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buse"/>
    <s v="C"/>
    <x v="2"/>
    <s v="emotional"/>
    <s v="red"/>
    <s v="r"/>
    <n v="21"/>
    <n v="1"/>
    <n v="1"/>
    <s v="r"/>
    <n v="1"/>
    <n v="1.1076141999801601"/>
    <s v="None"/>
    <n v="1"/>
    <n v="1"/>
    <n v="21"/>
    <n v="4"/>
    <n v="28.2705764999846"/>
    <m/>
    <m/>
    <m/>
    <m/>
    <n v="28.259914099995498"/>
    <n v="28.2705764999846"/>
    <n v="28.7704034000053"/>
    <n v="28.7704034000053"/>
    <n v="28.7704034000053"/>
    <n v="29.8901159000233"/>
    <s v="r"/>
    <n v="1"/>
    <n v="1.10761419998016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tone"/>
    <s v="I"/>
    <x v="0"/>
    <s v="neutral"/>
    <s v="yellow"/>
    <s v="y"/>
    <n v="22"/>
    <n v="2"/>
    <n v="1"/>
    <s v="y"/>
    <n v="1"/>
    <n v="1.0176418999908401"/>
    <s v="None"/>
    <n v="1"/>
    <n v="2"/>
    <n v="22"/>
    <n v="19"/>
    <n v="29.9034595999983"/>
    <m/>
    <m/>
    <m/>
    <m/>
    <n v="29.892833599995299"/>
    <n v="29.9034595999983"/>
    <n v="30.403192900004701"/>
    <n v="30.403192900004701"/>
    <n v="30.403192900004701"/>
    <n v="31.4244225000147"/>
    <s v="y"/>
    <n v="1"/>
    <n v="1.01764189999084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Violence"/>
    <s v="I"/>
    <x v="1"/>
    <s v="emotional"/>
    <s v="blue"/>
    <s v="b"/>
    <n v="23"/>
    <n v="3"/>
    <n v="1"/>
    <s v="b"/>
    <n v="1"/>
    <n v="0.76665229996433404"/>
    <s v="None"/>
    <n v="1"/>
    <n v="3"/>
    <n v="23"/>
    <n v="9"/>
    <n v="31.436594500031699"/>
    <m/>
    <m/>
    <m/>
    <m/>
    <n v="31.427820799988599"/>
    <n v="31.436594500031699"/>
    <n v="31.937362099997699"/>
    <n v="31.937362099997699"/>
    <n v="31.937362099997699"/>
    <n v="32.707368600007598"/>
    <s v="b"/>
    <n v="1"/>
    <n v="0.7666522999643340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Chair"/>
    <s v="I"/>
    <x v="0"/>
    <s v="neutral"/>
    <s v="green"/>
    <s v="g"/>
    <n v="24"/>
    <n v="4"/>
    <n v="1"/>
    <s v="g"/>
    <n v="1"/>
    <n v="0.67506420001154699"/>
    <s v="None"/>
    <n v="1"/>
    <n v="4"/>
    <n v="24"/>
    <n v="10"/>
    <n v="32.720368499983998"/>
    <m/>
    <m/>
    <m/>
    <m/>
    <n v="32.710013300005798"/>
    <n v="32.720368499983998"/>
    <n v="33.2202589000226"/>
    <n v="33.2202589000226"/>
    <n v="33.2202589000226"/>
    <n v="33.907218200038102"/>
    <s v="g"/>
    <n v="1"/>
    <n v="0.675064200011546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able"/>
    <s v="I"/>
    <x v="0"/>
    <s v="neutral"/>
    <s v="blue"/>
    <s v="b"/>
    <n v="25"/>
    <n v="5"/>
    <n v="1"/>
    <s v="b"/>
    <n v="1"/>
    <n v="0.74529609997989599"/>
    <s v="None"/>
    <n v="1"/>
    <n v="5"/>
    <n v="25"/>
    <n v="13"/>
    <n v="33.920969700033297"/>
    <m/>
    <m/>
    <m/>
    <m/>
    <n v="33.909889000002202"/>
    <n v="33.920969700033297"/>
    <n v="34.420733899984"/>
    <n v="34.420733899984"/>
    <n v="34.420733899984"/>
    <n v="35.173682500026104"/>
    <s v="b"/>
    <n v="1"/>
    <n v="0.745296099979895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Garden"/>
    <s v="I"/>
    <x v="0"/>
    <s v="neutral"/>
    <s v="red"/>
    <s v="r"/>
    <n v="26"/>
    <n v="6"/>
    <n v="1"/>
    <s v="r"/>
    <n v="1"/>
    <n v="0.76742280001053498"/>
    <s v="None"/>
    <n v="1"/>
    <n v="6"/>
    <n v="26"/>
    <n v="16"/>
    <n v="35.186851200007297"/>
    <m/>
    <m/>
    <m/>
    <m/>
    <n v="35.176425200013902"/>
    <n v="35.186851200007297"/>
    <n v="35.686452800000502"/>
    <n v="35.686452800000502"/>
    <n v="35.686452800000502"/>
    <n v="36.457207900006303"/>
    <s v="r"/>
    <n v="1"/>
    <n v="0.767422800010534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nic"/>
    <s v="I"/>
    <x v="1"/>
    <s v="emotional"/>
    <s v="yellow"/>
    <s v="y"/>
    <n v="27"/>
    <n v="7"/>
    <n v="1"/>
    <s v="y"/>
    <n v="1"/>
    <n v="0.65827650000574001"/>
    <s v="None"/>
    <n v="1"/>
    <n v="7"/>
    <n v="27"/>
    <n v="3"/>
    <n v="36.470740900025703"/>
    <m/>
    <m/>
    <m/>
    <m/>
    <n v="36.459893100021802"/>
    <n v="36.470740900025703"/>
    <n v="36.970308099989701"/>
    <n v="36.970308099989701"/>
    <n v="36.970308099989701"/>
    <n v="37.641631899983601"/>
    <s v="y"/>
    <n v="1"/>
    <n v="0.658276500005740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adness"/>
    <s v="I"/>
    <x v="1"/>
    <s v="emotional"/>
    <s v="yellow"/>
    <s v="y"/>
    <n v="28"/>
    <n v="8"/>
    <n v="1"/>
    <s v="y"/>
    <n v="1"/>
    <n v="0.56104979995870896"/>
    <s v="None"/>
    <n v="1"/>
    <n v="8"/>
    <n v="28"/>
    <n v="7"/>
    <n v="37.652942200016597"/>
    <m/>
    <m/>
    <m/>
    <m/>
    <n v="37.644859899999503"/>
    <n v="37.652942200016597"/>
    <n v="38.153297100041499"/>
    <n v="38.153297100041499"/>
    <n v="38.153297100041499"/>
    <n v="38.723197599989298"/>
    <s v="y"/>
    <n v="1"/>
    <n v="0.5610497999587089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per"/>
    <s v="I"/>
    <x v="0"/>
    <s v="neutral"/>
    <s v="yellow"/>
    <s v="y"/>
    <n v="29"/>
    <n v="9"/>
    <n v="1"/>
    <s v="y"/>
    <n v="1"/>
    <n v="0.43190119997598198"/>
    <s v="None"/>
    <n v="1"/>
    <n v="9"/>
    <n v="29"/>
    <n v="15"/>
    <n v="38.736091100028702"/>
    <m/>
    <m/>
    <m/>
    <m/>
    <n v="38.726117899990598"/>
    <n v="38.736091100028702"/>
    <n v="39.236051000014399"/>
    <n v="39.236051000014399"/>
    <n v="39.236051000014399"/>
    <n v="39.673842300020603"/>
    <s v="y"/>
    <n v="1"/>
    <n v="0.431901199975981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Window"/>
    <s v="I"/>
    <x v="0"/>
    <s v="neutral"/>
    <s v="red"/>
    <s v="r"/>
    <n v="30"/>
    <n v="10"/>
    <n v="1"/>
    <s v="r"/>
    <n v="1"/>
    <n v="0.77335210004821398"/>
    <s v="None"/>
    <n v="1"/>
    <n v="10"/>
    <n v="30"/>
    <n v="12"/>
    <n v="39.686585200019103"/>
    <m/>
    <m/>
    <m/>
    <m/>
    <n v="39.676517600018997"/>
    <n v="39.686585200019103"/>
    <n v="40.1861263000173"/>
    <n v="40.1861263000173"/>
    <n v="40.1861263000173"/>
    <n v="40.974192099994902"/>
    <s v="r"/>
    <n v="1"/>
    <n v="0.773352100048213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Fear"/>
    <s v="C"/>
    <x v="2"/>
    <s v="emotional"/>
    <s v="red"/>
    <s v="r"/>
    <n v="31"/>
    <n v="11"/>
    <n v="1"/>
    <s v="r"/>
    <n v="1"/>
    <n v="0.58794669999042504"/>
    <s v="None"/>
    <n v="1"/>
    <n v="11"/>
    <n v="31"/>
    <n v="0"/>
    <n v="40.986464900022803"/>
    <m/>
    <m/>
    <m/>
    <m/>
    <n v="40.976677400001698"/>
    <n v="40.986464900022803"/>
    <n v="41.486368699988802"/>
    <n v="41.486368699988802"/>
    <n v="41.486368699988802"/>
    <n v="42.090362499991897"/>
    <s v="r"/>
    <n v="1"/>
    <n v="0.5879466999904250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nger"/>
    <s v="C"/>
    <x v="2"/>
    <s v="emotional"/>
    <s v="red"/>
    <s v="r"/>
    <n v="32"/>
    <n v="12"/>
    <n v="1"/>
    <s v="r"/>
    <n v="1"/>
    <n v="0.48609359998954399"/>
    <s v="None"/>
    <n v="1"/>
    <n v="12"/>
    <n v="32"/>
    <n v="8"/>
    <n v="42.103015000000497"/>
    <m/>
    <m/>
    <m/>
    <m/>
    <n v="42.093029499985199"/>
    <n v="42.103015000000497"/>
    <n v="42.602760699984998"/>
    <n v="42.602760699984998"/>
    <n v="42.602760699984998"/>
    <n v="43.090522799990097"/>
    <s v="r"/>
    <n v="1"/>
    <n v="0.486093599989543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Road"/>
    <s v="I"/>
    <x v="0"/>
    <s v="neutral"/>
    <s v="green"/>
    <s v="g"/>
    <n v="33"/>
    <n v="13"/>
    <n v="1"/>
    <s v="g"/>
    <n v="1"/>
    <n v="0.72129140002653003"/>
    <s v="None"/>
    <n v="1"/>
    <n v="13"/>
    <n v="33"/>
    <n v="18"/>
    <n v="43.103035300038698"/>
    <m/>
    <m/>
    <m/>
    <m/>
    <n v="43.093953900039097"/>
    <n v="43.103035300038698"/>
    <n v="43.603281599993302"/>
    <n v="43.603281599993302"/>
    <n v="43.603281599993302"/>
    <n v="44.340412200020999"/>
    <s v="g"/>
    <n v="1"/>
    <n v="0.721291400026530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encil"/>
    <s v="I"/>
    <x v="0"/>
    <s v="neutral"/>
    <s v="green"/>
    <s v="g"/>
    <n v="34"/>
    <n v="14"/>
    <n v="1"/>
    <s v="g"/>
    <n v="1"/>
    <n v="0.57725020003272198"/>
    <s v="None"/>
    <n v="1"/>
    <n v="14"/>
    <n v="34"/>
    <n v="14"/>
    <n v="44.353374099999201"/>
    <m/>
    <m/>
    <m/>
    <m/>
    <n v="44.343067300040197"/>
    <n v="44.353374099999201"/>
    <n v="44.8534309000242"/>
    <n v="44.8534309000242"/>
    <n v="44.8534309000242"/>
    <n v="45.440028000040897"/>
    <s v="g"/>
    <n v="1"/>
    <n v="0.577250200032721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Death"/>
    <s v="I"/>
    <x v="1"/>
    <s v="emotional"/>
    <s v="green"/>
    <s v="g"/>
    <n v="35"/>
    <n v="15"/>
    <n v="1"/>
    <s v="g"/>
    <n v="1"/>
    <n v="0.425274599983822"/>
    <s v="None"/>
    <n v="1"/>
    <n v="15"/>
    <n v="35"/>
    <n v="2"/>
    <n v="45.452946100034701"/>
    <m/>
    <m/>
    <m/>
    <m/>
    <n v="45.443083300022401"/>
    <n v="45.452946100034701"/>
    <n v="45.953298799984601"/>
    <n v="45.953298799984601"/>
    <n v="45.953298799984601"/>
    <n v="46.389465900021598"/>
    <s v="g"/>
    <n v="1"/>
    <n v="0.42527459998382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ok"/>
    <s v="I"/>
    <x v="0"/>
    <s v="neutral"/>
    <s v="blue"/>
    <s v="b"/>
    <n v="36"/>
    <n v="16"/>
    <n v="1"/>
    <s v="b"/>
    <n v="1"/>
    <n v="0.56619009998394099"/>
    <s v="None"/>
    <n v="1"/>
    <n v="16"/>
    <n v="36"/>
    <n v="17"/>
    <n v="46.4029465999919"/>
    <m/>
    <m/>
    <m/>
    <m/>
    <n v="46.392747999983797"/>
    <n v="46.4029465999919"/>
    <n v="46.903494600031898"/>
    <n v="46.903494600031898"/>
    <n v="46.903494600031898"/>
    <n v="47.475245999987202"/>
    <s v="b"/>
    <n v="1"/>
    <n v="0.566190099983940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ttle"/>
    <s v="I"/>
    <x v="0"/>
    <s v="neutral"/>
    <s v="yellow"/>
    <s v="y"/>
    <n v="37"/>
    <n v="17"/>
    <n v="1"/>
    <s v="y"/>
    <n v="1"/>
    <n v="0.88553700002375901"/>
    <s v="None"/>
    <n v="1"/>
    <n v="17"/>
    <n v="37"/>
    <n v="11"/>
    <n v="47.487069300026597"/>
    <m/>
    <m/>
    <m/>
    <m/>
    <n v="47.478824799996801"/>
    <n v="47.487069300026597"/>
    <n v="47.9861775999888"/>
    <n v="47.9861775999888"/>
    <n v="47.9861775999888"/>
    <n v="48.874388900003296"/>
    <s v="y"/>
    <n v="1"/>
    <n v="0.885537000023759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Injury"/>
    <s v="I"/>
    <x v="1"/>
    <s v="emotional"/>
    <s v="green"/>
    <s v="g"/>
    <n v="38"/>
    <n v="18"/>
    <n v="1"/>
    <s v="g"/>
    <n v="1"/>
    <n v="1.1418730999575899"/>
    <s v="None"/>
    <n v="1"/>
    <n v="18"/>
    <n v="38"/>
    <n v="6"/>
    <n v="48.886091099993699"/>
    <m/>
    <m/>
    <m/>
    <m/>
    <n v="48.877919499995102"/>
    <n v="48.886091099993699"/>
    <n v="49.385731499991302"/>
    <n v="49.385731499991302"/>
    <n v="49.385731499991302"/>
    <n v="50.540864799986501"/>
    <s v="g"/>
    <n v="1"/>
    <n v="1.14187309995758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in"/>
    <s v="I"/>
    <x v="1"/>
    <s v="emotional"/>
    <s v="blue"/>
    <s v="b"/>
    <n v="39"/>
    <n v="19"/>
    <n v="1"/>
    <s v="b"/>
    <n v="1"/>
    <n v="1.20084010000573"/>
    <s v="None"/>
    <n v="1"/>
    <n v="19"/>
    <n v="39"/>
    <n v="1"/>
    <n v="50.552733900025402"/>
    <m/>
    <m/>
    <m/>
    <m/>
    <n v="50.543315000017103"/>
    <n v="50.552733900025402"/>
    <n v="51.052928499993797"/>
    <n v="51.052928499993797"/>
    <n v="51.052928499993797"/>
    <n v="52.255899000039697"/>
    <s v="b"/>
    <n v="1"/>
    <n v="1.2008401000057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nic"/>
    <s v="I"/>
    <x v="1"/>
    <s v="emotional"/>
    <s v="yellow"/>
    <s v="y"/>
    <n v="40"/>
    <n v="0"/>
    <n v="2"/>
    <s v="y"/>
    <n v="1"/>
    <n v="0.93207470001652803"/>
    <s v="None"/>
    <n v="2"/>
    <n v="0"/>
    <n v="40"/>
    <n v="3"/>
    <n v="52.270264399994602"/>
    <m/>
    <m/>
    <m/>
    <m/>
    <n v="52.258836900000396"/>
    <n v="52.270264399994602"/>
    <n v="52.769257600011699"/>
    <n v="52.769257600011699"/>
    <n v="52.769257600011699"/>
    <n v="53.707140000013098"/>
    <s v="y"/>
    <n v="1"/>
    <n v="0.932074700016528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nger"/>
    <s v="C"/>
    <x v="2"/>
    <s v="emotional"/>
    <s v="red"/>
    <s v="r"/>
    <n v="41"/>
    <n v="1"/>
    <n v="2"/>
    <s v="r"/>
    <n v="1"/>
    <n v="0.59483429999090698"/>
    <s v="None"/>
    <n v="2"/>
    <n v="1"/>
    <n v="41"/>
    <n v="8"/>
    <n v="53.719058500020701"/>
    <m/>
    <m/>
    <m/>
    <m/>
    <n v="53.710251600015901"/>
    <n v="53.719058500020701"/>
    <n v="54.218936000019298"/>
    <n v="54.218936000019298"/>
    <n v="54.218936000019298"/>
    <n v="54.822197400033403"/>
    <s v="r"/>
    <n v="1"/>
    <n v="0.594834299990906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ttle"/>
    <s v="I"/>
    <x v="0"/>
    <s v="neutral"/>
    <s v="yellow"/>
    <s v="y"/>
    <n v="42"/>
    <n v="2"/>
    <n v="2"/>
    <s v="y"/>
    <n v="1"/>
    <n v="1.24251609999919"/>
    <s v="None"/>
    <n v="2"/>
    <n v="2"/>
    <n v="42"/>
    <n v="11"/>
    <n v="54.835833800025199"/>
    <m/>
    <m/>
    <m/>
    <m/>
    <n v="54.824940700025699"/>
    <n v="54.835833800025199"/>
    <n v="55.335508299991403"/>
    <n v="55.335508299991403"/>
    <n v="55.335508299991403"/>
    <n v="56.589251300028899"/>
    <s v="y"/>
    <n v="1"/>
    <n v="1.2425160999991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Death"/>
    <s v="I"/>
    <x v="1"/>
    <s v="emotional"/>
    <s v="green"/>
    <s v="g"/>
    <n v="43"/>
    <n v="3"/>
    <n v="2"/>
    <s v="g"/>
    <n v="1"/>
    <n v="0.79261619999306199"/>
    <s v="None"/>
    <n v="2"/>
    <n v="3"/>
    <n v="43"/>
    <n v="2"/>
    <n v="56.602292100025799"/>
    <m/>
    <m/>
    <m/>
    <m/>
    <n v="56.592035400040899"/>
    <n v="56.602292100025799"/>
    <n v="57.1023490999941"/>
    <n v="57.1023490999941"/>
    <n v="57.1023490999941"/>
    <n v="57.9056423000292"/>
    <s v="g"/>
    <n v="1"/>
    <n v="0.792616199993061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Violence"/>
    <s v="I"/>
    <x v="1"/>
    <s v="emotional"/>
    <s v="blue"/>
    <s v="b"/>
    <n v="44"/>
    <n v="4"/>
    <n v="2"/>
    <s v="b"/>
    <n v="1"/>
    <n v="0.82680799998342902"/>
    <s v="None"/>
    <n v="2"/>
    <n v="4"/>
    <n v="44"/>
    <n v="9"/>
    <n v="57.919175999995701"/>
    <m/>
    <m/>
    <m/>
    <m/>
    <n v="57.908670200034898"/>
    <n v="57.919175999995701"/>
    <n v="58.4195573999895"/>
    <n v="58.4195573999895"/>
    <n v="58.4195573999895"/>
    <n v="59.255652800027697"/>
    <s v="b"/>
    <n v="1"/>
    <n v="0.826807999983429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adness"/>
    <s v="I"/>
    <x v="1"/>
    <s v="emotional"/>
    <s v="yellow"/>
    <s v="y"/>
    <n v="45"/>
    <n v="5"/>
    <n v="2"/>
    <s v="y"/>
    <n v="1"/>
    <n v="1.1483352000359399"/>
    <s v="None"/>
    <n v="2"/>
    <n v="5"/>
    <n v="45"/>
    <n v="7"/>
    <n v="59.269301299995199"/>
    <m/>
    <m/>
    <m/>
    <m/>
    <n v="59.258304100017902"/>
    <n v="59.269301299995199"/>
    <n v="59.768879300041498"/>
    <n v="59.768879300041498"/>
    <n v="59.768879300041498"/>
    <n v="60.923050699988302"/>
    <s v="y"/>
    <n v="1"/>
    <n v="1.14833520003593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in"/>
    <s v="I"/>
    <x v="1"/>
    <s v="emotional"/>
    <s v="blue"/>
    <s v="b"/>
    <n v="46"/>
    <n v="6"/>
    <n v="2"/>
    <s v="b"/>
    <n v="1"/>
    <n v="0.949501600000076"/>
    <s v="None"/>
    <n v="2"/>
    <n v="6"/>
    <n v="46"/>
    <n v="1"/>
    <n v="60.935612900007897"/>
    <m/>
    <m/>
    <m/>
    <m/>
    <n v="60.926074000017202"/>
    <n v="60.935612900007897"/>
    <n v="61.435853600036303"/>
    <n v="61.435853600036303"/>
    <n v="61.435853600036303"/>
    <n v="62.389741600025403"/>
    <s v="b"/>
    <n v="1"/>
    <n v="0.94950160000007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Garden"/>
    <s v="I"/>
    <x v="0"/>
    <s v="neutral"/>
    <s v="red"/>
    <s v="r"/>
    <n v="47"/>
    <n v="7"/>
    <n v="2"/>
    <s v="r"/>
    <n v="1"/>
    <n v="0.60172109998529699"/>
    <s v="None"/>
    <n v="2"/>
    <n v="7"/>
    <n v="47"/>
    <n v="16"/>
    <n v="62.401967399986397"/>
    <m/>
    <m/>
    <m/>
    <m/>
    <n v="62.392274999991002"/>
    <n v="62.401967399986397"/>
    <n v="62.903711599996299"/>
    <n v="62.903711599996299"/>
    <n v="62.903711599996299"/>
    <n v="63.506385100015898"/>
    <s v="r"/>
    <n v="1"/>
    <n v="0.601721099985296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ok"/>
    <s v="I"/>
    <x v="0"/>
    <s v="neutral"/>
    <s v="blue"/>
    <s v="b"/>
    <n v="48"/>
    <n v="8"/>
    <n v="2"/>
    <s v="y"/>
    <n v="0"/>
    <n v="0.86756149999564502"/>
    <s v="None"/>
    <n v="2"/>
    <n v="8"/>
    <n v="48"/>
    <n v="17"/>
    <n v="63.518869500025097"/>
    <m/>
    <m/>
    <m/>
    <m/>
    <n v="63.509042499994301"/>
    <n v="63.518869500025097"/>
    <n v="64.018963400041599"/>
    <n v="64.018963400041599"/>
    <n v="64.018963400041599"/>
    <n v="64.889433900010701"/>
    <s v="y"/>
    <n v="0"/>
    <n v="0.867561499995645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hreat"/>
    <s v="I"/>
    <x v="1"/>
    <s v="emotional"/>
    <s v="blue"/>
    <s v="b"/>
    <n v="49"/>
    <n v="9"/>
    <n v="2"/>
    <s v="b"/>
    <n v="1"/>
    <n v="0.99005289998603896"/>
    <s v="None"/>
    <n v="2"/>
    <n v="9"/>
    <n v="49"/>
    <n v="5"/>
    <n v="64.902098699996699"/>
    <m/>
    <m/>
    <m/>
    <m/>
    <n v="64.892307900008703"/>
    <n v="64.902098699996699"/>
    <n v="65.402166299987499"/>
    <n v="65.402166299987499"/>
    <n v="65.402166299987499"/>
    <n v="66.406125400040693"/>
    <s v="b"/>
    <n v="1"/>
    <n v="0.9900528999860389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tone"/>
    <s v="I"/>
    <x v="0"/>
    <s v="neutral"/>
    <s v="yellow"/>
    <s v="y"/>
    <n v="50"/>
    <n v="10"/>
    <n v="2"/>
    <s v="y"/>
    <n v="1"/>
    <n v="0.88536060001933903"/>
    <s v="None"/>
    <n v="2"/>
    <n v="10"/>
    <n v="50"/>
    <n v="19"/>
    <n v="66.418508500035301"/>
    <m/>
    <m/>
    <m/>
    <m/>
    <n v="66.408747699984801"/>
    <n v="66.418508500035301"/>
    <n v="66.918825500004402"/>
    <n v="66.918825500004402"/>
    <n v="66.918825500004402"/>
    <n v="67.806755800032903"/>
    <s v="y"/>
    <n v="1"/>
    <n v="0.885360600019339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able"/>
    <s v="I"/>
    <x v="0"/>
    <s v="neutral"/>
    <s v="blue"/>
    <s v="b"/>
    <n v="51"/>
    <n v="11"/>
    <n v="2"/>
    <s v="b"/>
    <n v="1"/>
    <n v="0.87168409995501805"/>
    <s v="None"/>
    <n v="2"/>
    <n v="11"/>
    <n v="51"/>
    <n v="13"/>
    <n v="67.819044200004996"/>
    <m/>
    <m/>
    <m/>
    <m/>
    <n v="67.8100892000366"/>
    <n v="67.819044200004996"/>
    <n v="68.318736299988799"/>
    <n v="68.318736299988799"/>
    <n v="68.318736299988799"/>
    <n v="69.205609700002199"/>
    <s v="b"/>
    <n v="1"/>
    <n v="0.8716840999550180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Window"/>
    <s v="I"/>
    <x v="0"/>
    <s v="neutral"/>
    <s v="red"/>
    <s v="r"/>
    <n v="52"/>
    <n v="12"/>
    <n v="2"/>
    <s v="r"/>
    <n v="1"/>
    <n v="0.93327919999137499"/>
    <s v="None"/>
    <n v="2"/>
    <n v="12"/>
    <n v="52"/>
    <n v="12"/>
    <n v="69.218449600040898"/>
    <m/>
    <m/>
    <m/>
    <m/>
    <n v="69.208686600031797"/>
    <n v="69.218449600040898"/>
    <n v="69.718744000012506"/>
    <n v="69.718744000012506"/>
    <n v="69.718744000012506"/>
    <n v="70.655361999990404"/>
    <s v="r"/>
    <n v="1"/>
    <n v="0.933279199991374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per"/>
    <s v="I"/>
    <x v="0"/>
    <s v="neutral"/>
    <s v="yellow"/>
    <s v="y"/>
    <n v="53"/>
    <n v="13"/>
    <n v="2"/>
    <s v="y"/>
    <n v="1"/>
    <n v="0.72952230001101204"/>
    <s v="None"/>
    <n v="2"/>
    <n v="13"/>
    <n v="53"/>
    <n v="15"/>
    <n v="70.669271900027496"/>
    <m/>
    <m/>
    <m/>
    <m/>
    <n v="70.657965600024895"/>
    <n v="70.669271900027496"/>
    <n v="71.168795100005795"/>
    <n v="71.168795100005795"/>
    <n v="71.168795100005795"/>
    <n v="71.906251500011393"/>
    <s v="y"/>
    <n v="1"/>
    <n v="0.7295223000110120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buse"/>
    <s v="C"/>
    <x v="2"/>
    <s v="emotional"/>
    <s v="red"/>
    <s v="r"/>
    <n v="54"/>
    <n v="14"/>
    <n v="2"/>
    <s v="r"/>
    <n v="1"/>
    <n v="0.92975250002928"/>
    <s v="None"/>
    <n v="2"/>
    <n v="14"/>
    <n v="54"/>
    <n v="4"/>
    <n v="71.919427399989203"/>
    <m/>
    <m/>
    <m/>
    <m/>
    <n v="71.910137100028805"/>
    <n v="71.919427399989203"/>
    <n v="72.418463699985296"/>
    <n v="72.418463699985296"/>
    <n v="72.418463699985296"/>
    <n v="73.355805300001506"/>
    <s v="r"/>
    <n v="1"/>
    <n v="0.9297525000292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Chair"/>
    <s v="I"/>
    <x v="0"/>
    <s v="neutral"/>
    <s v="green"/>
    <s v="g"/>
    <n v="55"/>
    <n v="15"/>
    <n v="2"/>
    <s v="g"/>
    <n v="1"/>
    <n v="0.71451730001717795"/>
    <s v="None"/>
    <n v="2"/>
    <n v="15"/>
    <n v="55"/>
    <n v="10"/>
    <n v="73.368484200036605"/>
    <m/>
    <m/>
    <m/>
    <m/>
    <n v="73.3588879000162"/>
    <n v="73.368484200036605"/>
    <n v="73.868328100012107"/>
    <n v="73.868328100012107"/>
    <n v="73.868328100012107"/>
    <n v="74.590264199999993"/>
    <s v="g"/>
    <n v="1"/>
    <n v="0.7145173000171779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Injury"/>
    <s v="I"/>
    <x v="1"/>
    <s v="emotional"/>
    <s v="green"/>
    <s v="g"/>
    <n v="56"/>
    <n v="16"/>
    <n v="2"/>
    <s v="g"/>
    <n v="1"/>
    <n v="0.48893940000561997"/>
    <s v="None"/>
    <n v="2"/>
    <n v="16"/>
    <n v="56"/>
    <n v="6"/>
    <n v="74.601597800035904"/>
    <m/>
    <m/>
    <m/>
    <m/>
    <n v="74.592903800017595"/>
    <n v="74.601597800035904"/>
    <n v="75.102588900015604"/>
    <n v="75.102588900015604"/>
    <n v="75.102588900015604"/>
    <n v="75.605231299996305"/>
    <s v="g"/>
    <n v="1"/>
    <n v="0.4889394000056199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encil"/>
    <s v="I"/>
    <x v="0"/>
    <s v="neutral"/>
    <s v="green"/>
    <s v="g"/>
    <n v="57"/>
    <n v="17"/>
    <n v="2"/>
    <s v="g"/>
    <n v="1"/>
    <n v="0.41223529999842801"/>
    <s v="None"/>
    <n v="2"/>
    <n v="17"/>
    <n v="57"/>
    <n v="14"/>
    <n v="75.618248799990397"/>
    <m/>
    <m/>
    <m/>
    <m/>
    <n v="75.608186600031303"/>
    <n v="75.618248799990397"/>
    <n v="76.118163200037003"/>
    <n v="76.118163200037003"/>
    <n v="76.118163200037003"/>
    <n v="76.538732999993897"/>
    <s v="g"/>
    <n v="1"/>
    <n v="0.412235299998428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Road"/>
    <s v="I"/>
    <x v="0"/>
    <s v="neutral"/>
    <s v="green"/>
    <s v="g"/>
    <n v="58"/>
    <n v="18"/>
    <n v="2"/>
    <s v="g"/>
    <n v="1"/>
    <n v="0.41847119998419602"/>
    <s v="None"/>
    <n v="2"/>
    <n v="18"/>
    <n v="58"/>
    <n v="18"/>
    <n v="76.5518661999958"/>
    <m/>
    <m/>
    <m/>
    <m/>
    <n v="76.541163299989407"/>
    <n v="76.5518661999958"/>
    <n v="77.052103099995193"/>
    <n v="77.052103099995193"/>
    <n v="77.052103099995193"/>
    <n v="77.472581900015896"/>
    <s v="g"/>
    <n v="1"/>
    <n v="0.418471199984196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Fear"/>
    <s v="C"/>
    <x v="2"/>
    <s v="emotional"/>
    <s v="red"/>
    <s v="r"/>
    <n v="59"/>
    <n v="19"/>
    <n v="2"/>
    <s v="r"/>
    <n v="1"/>
    <n v="0.68561610003234796"/>
    <s v="None"/>
    <n v="2"/>
    <n v="19"/>
    <n v="59"/>
    <n v="0"/>
    <n v="77.484731900040003"/>
    <m/>
    <m/>
    <m/>
    <m/>
    <n v="77.4756600999971"/>
    <n v="77.484731900040003"/>
    <n v="77.984876000031306"/>
    <n v="77.984876000031306"/>
    <n v="77.984876000031306"/>
    <n v="78.672391600033706"/>
    <s v="r"/>
    <n v="1"/>
    <n v="0.6856161000323479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encil"/>
    <s v="I"/>
    <x v="0"/>
    <s v="neutral"/>
    <s v="green"/>
    <s v="g"/>
    <n v="60"/>
    <n v="0"/>
    <n v="3"/>
    <s v="g"/>
    <n v="1"/>
    <n v="0.62058359995717105"/>
    <s v="None"/>
    <n v="3"/>
    <n v="0"/>
    <n v="60"/>
    <n v="14"/>
    <n v="78.684706000029095"/>
    <m/>
    <m/>
    <m/>
    <m/>
    <n v="78.675112500029996"/>
    <n v="78.684706000029095"/>
    <n v="79.185257700039003"/>
    <n v="79.185257700039003"/>
    <n v="79.185257700039003"/>
    <n v="79.822083500039298"/>
    <s v="g"/>
    <n v="1"/>
    <n v="0.6205835999571710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nic"/>
    <s v="I"/>
    <x v="1"/>
    <s v="emotional"/>
    <s v="yellow"/>
    <s v="y"/>
    <n v="61"/>
    <n v="1"/>
    <n v="3"/>
    <s v="y"/>
    <n v="1"/>
    <n v="0.60547459998633701"/>
    <s v="None"/>
    <n v="3"/>
    <n v="1"/>
    <n v="61"/>
    <n v="3"/>
    <n v="79.834770300018107"/>
    <m/>
    <m/>
    <m/>
    <m/>
    <n v="79.824665600026407"/>
    <n v="79.834770300018107"/>
    <n v="80.335110099986196"/>
    <n v="80.335110099986196"/>
    <n v="80.335110099986196"/>
    <n v="80.956935800029896"/>
    <s v="y"/>
    <n v="1"/>
    <n v="0.605474599986337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nger"/>
    <s v="C"/>
    <x v="2"/>
    <s v="emotional"/>
    <s v="red"/>
    <s v="r"/>
    <n v="62"/>
    <n v="2"/>
    <n v="3"/>
    <s v="r"/>
    <n v="1"/>
    <n v="0.64799759996822104"/>
    <s v="None"/>
    <n v="3"/>
    <n v="2"/>
    <n v="62"/>
    <n v="8"/>
    <n v="80.968017200008006"/>
    <m/>
    <m/>
    <m/>
    <m/>
    <n v="80.959812999994"/>
    <n v="80.968017200008006"/>
    <n v="81.467797000019303"/>
    <n v="81.467797000019303"/>
    <n v="81.467797000019303"/>
    <n v="82.122312500025103"/>
    <s v="r"/>
    <n v="1"/>
    <n v="0.6479975999682210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tone"/>
    <s v="I"/>
    <x v="0"/>
    <s v="neutral"/>
    <s v="yellow"/>
    <s v="y"/>
    <n v="63"/>
    <n v="3"/>
    <n v="3"/>
    <s v="b"/>
    <n v="0"/>
    <n v="1.01238499995088"/>
    <s v="None"/>
    <n v="3"/>
    <n v="3"/>
    <n v="63"/>
    <n v="19"/>
    <n v="82.135307600023197"/>
    <m/>
    <m/>
    <m/>
    <m/>
    <n v="82.124825100007001"/>
    <n v="82.135307600023197"/>
    <n v="82.634639099997003"/>
    <n v="82.634639099997003"/>
    <n v="82.634639099997003"/>
    <n v="83.654924500035094"/>
    <s v="b"/>
    <n v="0"/>
    <n v="1.0123849999508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Violence"/>
    <s v="I"/>
    <x v="1"/>
    <s v="emotional"/>
    <s v="blue"/>
    <s v="b"/>
    <n v="64"/>
    <n v="4"/>
    <n v="3"/>
    <s v="b"/>
    <n v="1"/>
    <n v="0.578986099979374"/>
    <s v="None"/>
    <n v="3"/>
    <n v="4"/>
    <n v="64"/>
    <n v="9"/>
    <n v="83.667698300036093"/>
    <m/>
    <m/>
    <m/>
    <m/>
    <n v="83.657915399991893"/>
    <n v="83.667698300036093"/>
    <n v="84.168421300011602"/>
    <n v="84.168421300011602"/>
    <n v="84.168421300011602"/>
    <n v="84.754928799986303"/>
    <s v="b"/>
    <n v="1"/>
    <n v="0.57898609997937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buse"/>
    <s v="C"/>
    <x v="2"/>
    <s v="emotional"/>
    <s v="red"/>
    <s v="r"/>
    <n v="65"/>
    <n v="5"/>
    <n v="3"/>
    <s v="r"/>
    <n v="1"/>
    <n v="0.58805439999559805"/>
    <s v="None"/>
    <n v="3"/>
    <n v="5"/>
    <n v="65"/>
    <n v="4"/>
    <n v="84.768181900028097"/>
    <m/>
    <m/>
    <m/>
    <m/>
    <n v="84.757918599992905"/>
    <n v="84.768181900028097"/>
    <n v="85.267854000034205"/>
    <n v="85.267854000034205"/>
    <n v="85.267854000034205"/>
    <n v="85.871409200015407"/>
    <s v="r"/>
    <n v="1"/>
    <n v="0.5880543999955980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hreat"/>
    <s v="I"/>
    <x v="1"/>
    <s v="emotional"/>
    <s v="blue"/>
    <s v="b"/>
    <n v="66"/>
    <n v="6"/>
    <n v="3"/>
    <s v="b"/>
    <n v="1"/>
    <n v="1.1273412000155001"/>
    <s v="None"/>
    <n v="3"/>
    <n v="6"/>
    <n v="66"/>
    <n v="5"/>
    <n v="85.884439099987503"/>
    <m/>
    <m/>
    <m/>
    <m/>
    <n v="85.875349400041102"/>
    <n v="85.884439099987503"/>
    <n v="86.385177700023604"/>
    <n v="86.385177700023604"/>
    <n v="86.385177700023604"/>
    <n v="87.521966600033906"/>
    <s v="b"/>
    <n v="1"/>
    <n v="1.12734120001550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Road"/>
    <s v="I"/>
    <x v="0"/>
    <s v="neutral"/>
    <s v="green"/>
    <s v="g"/>
    <n v="67"/>
    <n v="7"/>
    <n v="3"/>
    <s v="g"/>
    <n v="1"/>
    <n v="0.729228700045496"/>
    <s v="None"/>
    <n v="3"/>
    <n v="7"/>
    <n v="67"/>
    <n v="18"/>
    <n v="87.534933499991894"/>
    <m/>
    <m/>
    <m/>
    <m/>
    <n v="87.524484499997897"/>
    <n v="87.534933499991894"/>
    <n v="88.035014100023503"/>
    <n v="88.035014100023503"/>
    <n v="88.035014100023503"/>
    <n v="88.771436800016005"/>
    <s v="g"/>
    <n v="1"/>
    <n v="0.72922870004549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ttle"/>
    <s v="I"/>
    <x v="0"/>
    <s v="neutral"/>
    <s v="yellow"/>
    <s v="y"/>
    <n v="68"/>
    <n v="8"/>
    <n v="3"/>
    <s v="y"/>
    <n v="1"/>
    <n v="0.47972689999733098"/>
    <s v="None"/>
    <n v="3"/>
    <n v="8"/>
    <n v="68"/>
    <n v="11"/>
    <n v="88.784486000018603"/>
    <m/>
    <m/>
    <m/>
    <m/>
    <n v="88.774098200024994"/>
    <n v="88.784486000018603"/>
    <n v="89.284134600020394"/>
    <n v="89.284134600020394"/>
    <n v="89.284134600020394"/>
    <n v="89.771292200020895"/>
    <s v="y"/>
    <n v="1"/>
    <n v="0.479726899997330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able"/>
    <s v="I"/>
    <x v="0"/>
    <s v="neutral"/>
    <s v="blue"/>
    <s v="b"/>
    <n v="69"/>
    <n v="9"/>
    <n v="3"/>
    <s v="b"/>
    <n v="1"/>
    <n v="0.68389479996403602"/>
    <s v="None"/>
    <n v="3"/>
    <n v="9"/>
    <n v="69"/>
    <n v="13"/>
    <n v="89.784421199990902"/>
    <m/>
    <m/>
    <m/>
    <m/>
    <n v="89.773826599994194"/>
    <n v="89.784421199990902"/>
    <n v="90.284828300005699"/>
    <n v="90.284828300005699"/>
    <n v="90.284828300005699"/>
    <n v="90.971697900036801"/>
    <s v="b"/>
    <n v="1"/>
    <n v="0.683894799964036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Garden"/>
    <s v="I"/>
    <x v="0"/>
    <s v="neutral"/>
    <s v="red"/>
    <s v="r"/>
    <n v="70"/>
    <n v="10"/>
    <n v="3"/>
    <s v="r"/>
    <n v="1"/>
    <n v="0.85615960002178304"/>
    <s v="None"/>
    <n v="3"/>
    <n v="10"/>
    <n v="70"/>
    <n v="16"/>
    <n v="90.984582200006102"/>
    <m/>
    <m/>
    <m/>
    <m/>
    <n v="90.974432500020995"/>
    <n v="90.984582200006102"/>
    <n v="91.484862799989003"/>
    <n v="91.484862799989003"/>
    <n v="91.484862799989003"/>
    <n v="92.3548721999977"/>
    <s v="r"/>
    <n v="1"/>
    <n v="0.8561596000217830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Injury"/>
    <s v="I"/>
    <x v="1"/>
    <s v="emotional"/>
    <s v="green"/>
    <s v="g"/>
    <n v="71"/>
    <n v="11"/>
    <n v="3"/>
    <s v="g"/>
    <n v="1"/>
    <n v="0.76055959996301603"/>
    <s v="None"/>
    <n v="3"/>
    <n v="11"/>
    <n v="71"/>
    <n v="6"/>
    <n v="92.367617000010796"/>
    <m/>
    <m/>
    <m/>
    <m/>
    <n v="92.357906499993902"/>
    <n v="92.367617000010796"/>
    <n v="92.867798699997294"/>
    <n v="92.867798699997294"/>
    <n v="92.867798699997294"/>
    <n v="93.637884200026704"/>
    <s v="g"/>
    <n v="1"/>
    <n v="0.760559599963016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per"/>
    <s v="I"/>
    <x v="0"/>
    <s v="neutral"/>
    <s v="yellow"/>
    <s v="y"/>
    <n v="72"/>
    <n v="12"/>
    <n v="3"/>
    <s v="y"/>
    <n v="1"/>
    <n v="0.46494080004049398"/>
    <s v="None"/>
    <n v="3"/>
    <n v="12"/>
    <n v="72"/>
    <n v="15"/>
    <n v="93.651387899997601"/>
    <m/>
    <m/>
    <m/>
    <m/>
    <n v="93.6404670000192"/>
    <n v="93.651387899997601"/>
    <n v="94.150763800018396"/>
    <n v="94.150763800018396"/>
    <n v="94.150763800018396"/>
    <n v="94.622367100033401"/>
    <s v="y"/>
    <n v="1"/>
    <n v="0.464940800040493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Window"/>
    <s v="I"/>
    <x v="0"/>
    <s v="neutral"/>
    <s v="red"/>
    <s v="r"/>
    <n v="73"/>
    <n v="13"/>
    <n v="3"/>
    <s v="r"/>
    <n v="1"/>
    <n v="0.57266810000874102"/>
    <s v="None"/>
    <n v="3"/>
    <n v="13"/>
    <n v="73"/>
    <n v="12"/>
    <n v="94.634031400026203"/>
    <m/>
    <m/>
    <m/>
    <m/>
    <n v="94.626482799998399"/>
    <n v="94.634031400026203"/>
    <n v="95.134408199985003"/>
    <n v="95.134408199985003"/>
    <n v="95.134408199985003"/>
    <n v="95.720649400027398"/>
    <s v="r"/>
    <n v="1"/>
    <n v="0.572668100008741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in"/>
    <s v="I"/>
    <x v="1"/>
    <s v="emotional"/>
    <s v="blue"/>
    <s v="b"/>
    <n v="74"/>
    <n v="14"/>
    <n v="3"/>
    <s v="b"/>
    <n v="1"/>
    <n v="0.69999669998651304"/>
    <s v="None"/>
    <n v="3"/>
    <n v="14"/>
    <n v="74"/>
    <n v="1"/>
    <n v="95.7341253000195"/>
    <m/>
    <m/>
    <m/>
    <m/>
    <n v="95.724007399985496"/>
    <n v="95.7341253000195"/>
    <n v="96.234353300009303"/>
    <n v="96.234353300009303"/>
    <n v="96.234353300009303"/>
    <n v="96.938274000014601"/>
    <s v="b"/>
    <n v="1"/>
    <n v="0.6999966999865130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Chair"/>
    <s v="I"/>
    <x v="0"/>
    <s v="neutral"/>
    <s v="green"/>
    <s v="g"/>
    <n v="75"/>
    <n v="15"/>
    <n v="3"/>
    <s v="g"/>
    <n v="1"/>
    <n v="0.81994920002762195"/>
    <s v="None"/>
    <n v="3"/>
    <n v="15"/>
    <n v="75"/>
    <n v="10"/>
    <n v="96.9507122000213"/>
    <m/>
    <m/>
    <m/>
    <m/>
    <n v="96.940870499995"/>
    <n v="96.9507122000213"/>
    <n v="97.450890300038694"/>
    <n v="97.450890300038694"/>
    <n v="97.450890300038694"/>
    <n v="98.271793299994897"/>
    <s v="g"/>
    <n v="1"/>
    <n v="0.8199492000276219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Fear"/>
    <s v="C"/>
    <x v="2"/>
    <s v="emotional"/>
    <s v="red"/>
    <s v="r"/>
    <n v="76"/>
    <n v="16"/>
    <n v="3"/>
    <s v="r"/>
    <n v="1"/>
    <n v="0.63032179995207105"/>
    <s v="None"/>
    <n v="3"/>
    <n v="16"/>
    <n v="76"/>
    <n v="0"/>
    <n v="98.284367099986397"/>
    <m/>
    <m/>
    <m/>
    <m/>
    <n v="98.275022500019901"/>
    <n v="98.284367099986397"/>
    <n v="98.784415400004903"/>
    <n v="98.784415400004903"/>
    <n v="98.784415400004903"/>
    <n v="99.421240199997499"/>
    <s v="r"/>
    <n v="1"/>
    <n v="0.6303217999520710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ok"/>
    <s v="I"/>
    <x v="0"/>
    <s v="neutral"/>
    <s v="blue"/>
    <s v="b"/>
    <n v="77"/>
    <n v="17"/>
    <n v="3"/>
    <s v="b"/>
    <n v="1"/>
    <n v="0.89729729999089602"/>
    <s v="None"/>
    <n v="3"/>
    <n v="17"/>
    <n v="77"/>
    <n v="17"/>
    <n v="99.433797999983597"/>
    <m/>
    <m/>
    <m/>
    <m/>
    <n v="99.423885900003299"/>
    <n v="99.433797999983597"/>
    <n v="99.934213300002696"/>
    <n v="99.934213300002696"/>
    <n v="99.934213300002696"/>
    <n v="100.837892399984"/>
    <s v="b"/>
    <n v="1"/>
    <n v="0.897297299990896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Death"/>
    <s v="I"/>
    <x v="1"/>
    <s v="emotional"/>
    <s v="green"/>
    <s v="g"/>
    <n v="78"/>
    <n v="18"/>
    <n v="3"/>
    <s v="g"/>
    <n v="1"/>
    <n v="0.60208939999574795"/>
    <s v="None"/>
    <n v="3"/>
    <n v="18"/>
    <n v="78"/>
    <n v="2"/>
    <n v="100.85053510003399"/>
    <m/>
    <m/>
    <m/>
    <m/>
    <n v="100.840618200018"/>
    <n v="100.85053510003399"/>
    <n v="101.350843499996"/>
    <n v="101.350843499996"/>
    <n v="101.350843499996"/>
    <n v="101.954228300019"/>
    <s v="g"/>
    <n v="1"/>
    <n v="0.6020893999957479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adness"/>
    <s v="I"/>
    <x v="1"/>
    <s v="emotional"/>
    <s v="yellow"/>
    <s v="y"/>
    <n v="79"/>
    <n v="19"/>
    <n v="3"/>
    <s v="y"/>
    <n v="1"/>
    <n v="0.67967059998773005"/>
    <s v="None"/>
    <n v="3"/>
    <n v="19"/>
    <n v="79"/>
    <n v="7"/>
    <n v="101.967462000029"/>
    <m/>
    <m/>
    <m/>
    <m/>
    <n v="101.956785199989"/>
    <n v="101.967462000029"/>
    <n v="102.467457399994"/>
    <n v="102.467457399994"/>
    <n v="102.467457399994"/>
    <n v="103.154547300015"/>
    <s v="y"/>
    <n v="1"/>
    <n v="0.6796705999877300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Fear"/>
    <s v="C"/>
    <x v="2"/>
    <s v="emotional"/>
    <s v="red"/>
    <s v="r"/>
    <n v="80"/>
    <n v="0"/>
    <n v="4"/>
    <s v="r"/>
    <n v="1"/>
    <n v="0.59773589996621002"/>
    <s v="None"/>
    <n v="4"/>
    <n v="0"/>
    <n v="80"/>
    <n v="0"/>
    <n v="103.16686940001"/>
    <m/>
    <m/>
    <m/>
    <m/>
    <n v="103.15702540002501"/>
    <n v="103.16686940001"/>
    <n v="103.667476200032"/>
    <n v="103.667476200032"/>
    <n v="103.667476200032"/>
    <n v="104.27090160001499"/>
    <s v="r"/>
    <n v="1"/>
    <n v="0.597735899966210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buse"/>
    <s v="C"/>
    <x v="2"/>
    <s v="emotional"/>
    <s v="red"/>
    <s v="r"/>
    <n v="81"/>
    <n v="1"/>
    <n v="4"/>
    <s v="r"/>
    <n v="1"/>
    <n v="0.65886829997179996"/>
    <s v="None"/>
    <n v="4"/>
    <n v="1"/>
    <n v="81"/>
    <n v="4"/>
    <n v="104.28350600000699"/>
    <m/>
    <m/>
    <m/>
    <m/>
    <n v="104.273527499986"/>
    <n v="104.28350600000699"/>
    <n v="104.783448000031"/>
    <n v="104.783448000031"/>
    <n v="104.783448000031"/>
    <n v="105.45455750002201"/>
    <s v="r"/>
    <n v="1"/>
    <n v="0.6588682999717999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Road"/>
    <s v="I"/>
    <x v="0"/>
    <s v="neutral"/>
    <s v="green"/>
    <s v="g"/>
    <n v="82"/>
    <n v="2"/>
    <n v="4"/>
    <s v="g"/>
    <n v="1"/>
    <n v="0.79640559997642402"/>
    <s v="None"/>
    <n v="4"/>
    <n v="2"/>
    <n v="82"/>
    <n v="18"/>
    <n v="105.467093800019"/>
    <m/>
    <m/>
    <m/>
    <m/>
    <n v="105.456989200029"/>
    <n v="105.467093800019"/>
    <n v="105.96709719998699"/>
    <n v="105.96709719998699"/>
    <n v="105.96709719998699"/>
    <n v="106.770900100003"/>
    <s v="g"/>
    <n v="1"/>
    <n v="0.796405599976424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Violence"/>
    <s v="I"/>
    <x v="1"/>
    <s v="emotional"/>
    <s v="blue"/>
    <s v="b"/>
    <n v="83"/>
    <n v="3"/>
    <n v="4"/>
    <s v="b"/>
    <n v="1"/>
    <n v="0.66672559996368297"/>
    <s v="None"/>
    <n v="4"/>
    <n v="3"/>
    <n v="83"/>
    <n v="9"/>
    <n v="106.78360210004"/>
    <m/>
    <m/>
    <m/>
    <m/>
    <n v="106.773604799993"/>
    <n v="106.78360210004"/>
    <n v="107.283758100005"/>
    <n v="107.283758100005"/>
    <n v="107.283758100005"/>
    <n v="107.954400499991"/>
    <s v="b"/>
    <n v="1"/>
    <n v="0.6667255999636829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ok"/>
    <s v="I"/>
    <x v="0"/>
    <s v="neutral"/>
    <s v="blue"/>
    <s v="b"/>
    <n v="84"/>
    <n v="4"/>
    <n v="4"/>
    <s v="b"/>
    <n v="1"/>
    <n v="0.50277479999931496"/>
    <s v="None"/>
    <n v="4"/>
    <n v="4"/>
    <n v="84"/>
    <n v="17"/>
    <n v="107.967039200011"/>
    <m/>
    <m/>
    <m/>
    <m/>
    <n v="107.95684659999"/>
    <n v="107.967039200011"/>
    <n v="108.467278300027"/>
    <n v="108.467278300027"/>
    <n v="108.467278300027"/>
    <n v="108.97059360001001"/>
    <s v="b"/>
    <n v="1"/>
    <n v="0.5027747999993149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able"/>
    <s v="I"/>
    <x v="0"/>
    <s v="neutral"/>
    <s v="blue"/>
    <s v="b"/>
    <n v="85"/>
    <n v="5"/>
    <n v="4"/>
    <s v="b"/>
    <n v="1"/>
    <n v="0.398212699976284"/>
    <s v="None"/>
    <n v="4"/>
    <n v="5"/>
    <n v="85"/>
    <n v="13"/>
    <n v="108.98362990003"/>
    <m/>
    <m/>
    <m/>
    <m/>
    <n v="108.97334830003"/>
    <n v="108.98362990003"/>
    <n v="109.483794900006"/>
    <n v="109.483794900006"/>
    <n v="109.483794900006"/>
    <n v="109.888001599989"/>
    <s v="b"/>
    <n v="1"/>
    <n v="0.39821269997628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encil"/>
    <s v="I"/>
    <x v="0"/>
    <s v="neutral"/>
    <s v="green"/>
    <s v="g"/>
    <n v="86"/>
    <n v="6"/>
    <n v="4"/>
    <s v="g"/>
    <n v="1"/>
    <n v="0.77934469998581302"/>
    <s v="None"/>
    <n v="4"/>
    <n v="6"/>
    <n v="86"/>
    <n v="14"/>
    <n v="109.899811599985"/>
    <m/>
    <m/>
    <m/>
    <m/>
    <n v="109.89147999999101"/>
    <n v="109.899811599985"/>
    <n v="110.399935099994"/>
    <n v="110.399935099994"/>
    <n v="110.399935099994"/>
    <n v="111.186817899986"/>
    <s v="g"/>
    <n v="1"/>
    <n v="0.779344699985813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Chair"/>
    <s v="I"/>
    <x v="0"/>
    <s v="neutral"/>
    <s v="green"/>
    <s v="g"/>
    <n v="87"/>
    <n v="7"/>
    <n v="4"/>
    <s v="g"/>
    <n v="1"/>
    <n v="0.50781620002817296"/>
    <s v="None"/>
    <n v="4"/>
    <n v="7"/>
    <n v="87"/>
    <n v="10"/>
    <n v="111.20010910002701"/>
    <m/>
    <m/>
    <m/>
    <m/>
    <n v="111.190186600026"/>
    <n v="111.20010910002701"/>
    <n v="111.700366700009"/>
    <n v="111.700366700009"/>
    <n v="111.700366700009"/>
    <n v="112.22064529999599"/>
    <s v="g"/>
    <n v="1"/>
    <n v="0.5078162000281729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in"/>
    <s v="I"/>
    <x v="1"/>
    <s v="emotional"/>
    <s v="blue"/>
    <s v="b"/>
    <n v="88"/>
    <n v="8"/>
    <n v="4"/>
    <s v="b"/>
    <n v="1"/>
    <n v="0.88798769999993898"/>
    <s v="None"/>
    <n v="4"/>
    <n v="8"/>
    <n v="88"/>
    <n v="1"/>
    <n v="112.233564900001"/>
    <m/>
    <m/>
    <m/>
    <m/>
    <n v="112.223641299991"/>
    <n v="112.233564900001"/>
    <n v="112.733795200008"/>
    <n v="112.733795200008"/>
    <n v="112.733795200008"/>
    <n v="113.63759830000301"/>
    <s v="b"/>
    <n v="1"/>
    <n v="0.887987699999938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per"/>
    <s v="I"/>
    <x v="0"/>
    <s v="neutral"/>
    <s v="yellow"/>
    <s v="y"/>
    <n v="89"/>
    <n v="9"/>
    <n v="4"/>
    <s v="b"/>
    <n v="0"/>
    <n v="0.93941390002146297"/>
    <s v="None"/>
    <n v="4"/>
    <n v="9"/>
    <n v="89"/>
    <n v="15"/>
    <n v="113.65000500000301"/>
    <m/>
    <m/>
    <m/>
    <m/>
    <n v="113.64028739999"/>
    <n v="113.65000500000301"/>
    <n v="114.150436100026"/>
    <n v="114.150436100026"/>
    <n v="114.150436100026"/>
    <n v="115.103477300028"/>
    <s v="b"/>
    <n v="0"/>
    <n v="0.9394139000214629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adness"/>
    <s v="I"/>
    <x v="1"/>
    <s v="emotional"/>
    <s v="yellow"/>
    <s v="y"/>
    <n v="90"/>
    <n v="10"/>
    <n v="4"/>
    <s v="b"/>
    <n v="0"/>
    <n v="0.58343549998244204"/>
    <s v="None"/>
    <n v="4"/>
    <n v="10"/>
    <n v="90"/>
    <n v="7"/>
    <n v="115.116779800038"/>
    <m/>
    <m/>
    <m/>
    <m/>
    <n v="115.10614450002301"/>
    <n v="115.116779800038"/>
    <n v="115.61673750000701"/>
    <n v="115.61673750000701"/>
    <n v="115.61673750000701"/>
    <n v="116.203730800014"/>
    <s v="b"/>
    <n v="0"/>
    <n v="0.5834354999824420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tone"/>
    <s v="I"/>
    <x v="0"/>
    <s v="neutral"/>
    <s v="yellow"/>
    <s v="y"/>
    <n v="91"/>
    <n v="11"/>
    <n v="4"/>
    <s v="b"/>
    <n v="0"/>
    <n v="0.51867990003665898"/>
    <s v="None"/>
    <n v="4"/>
    <n v="11"/>
    <n v="91"/>
    <n v="19"/>
    <n v="116.216938700003"/>
    <m/>
    <m/>
    <m/>
    <m/>
    <n v="116.20638380001699"/>
    <n v="116.216938700003"/>
    <n v="116.716711300017"/>
    <n v="116.716711300017"/>
    <n v="116.716711300017"/>
    <n v="117.237226700002"/>
    <s v="b"/>
    <n v="0"/>
    <n v="0.518679900036658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Window"/>
    <s v="I"/>
    <x v="0"/>
    <s v="neutral"/>
    <s v="red"/>
    <s v="r"/>
    <n v="92"/>
    <n v="12"/>
    <n v="4"/>
    <s v="r"/>
    <n v="1"/>
    <n v="0.66550549998646602"/>
    <s v="None"/>
    <n v="4"/>
    <n v="12"/>
    <n v="92"/>
    <n v="12"/>
    <n v="117.24967210000599"/>
    <m/>
    <m/>
    <m/>
    <m/>
    <n v="117.240826799999"/>
    <n v="117.24967210000599"/>
    <n v="117.749734700017"/>
    <n v="117.749734700017"/>
    <n v="117.749734700017"/>
    <n v="118.42052560002701"/>
    <s v="r"/>
    <n v="1"/>
    <n v="0.665505499986466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ttle"/>
    <s v="I"/>
    <x v="0"/>
    <s v="neutral"/>
    <s v="yellow"/>
    <s v="y"/>
    <n v="93"/>
    <n v="13"/>
    <n v="4"/>
    <s v="b"/>
    <n v="0"/>
    <n v="0.69345070002600495"/>
    <s v="None"/>
    <n v="4"/>
    <n v="13"/>
    <n v="93"/>
    <n v="11"/>
    <n v="118.43336080003"/>
    <m/>
    <m/>
    <m/>
    <m/>
    <n v="118.42316960002"/>
    <n v="118.43336080003"/>
    <n v="118.932958699995"/>
    <n v="118.932958699995"/>
    <n v="118.932958699995"/>
    <n v="119.636715400032"/>
    <s v="b"/>
    <n v="0"/>
    <n v="0.6934507000260049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nic"/>
    <s v="I"/>
    <x v="1"/>
    <s v="emotional"/>
    <s v="yellow"/>
    <s v="y"/>
    <n v="94"/>
    <n v="14"/>
    <n v="4"/>
    <s v="y"/>
    <n v="1"/>
    <n v="1.24780790001386"/>
    <s v="None"/>
    <n v="4"/>
    <n v="14"/>
    <n v="94"/>
    <n v="3"/>
    <n v="119.64980080001899"/>
    <m/>
    <m/>
    <m/>
    <m/>
    <n v="119.639324599993"/>
    <n v="119.64980080001899"/>
    <n v="120.149876600014"/>
    <n v="120.149876600014"/>
    <n v="120.149876600014"/>
    <n v="121.40374540002"/>
    <s v="y"/>
    <n v="1"/>
    <n v="1.2478079000138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Injury"/>
    <s v="I"/>
    <x v="1"/>
    <s v="emotional"/>
    <s v="green"/>
    <s v="g"/>
    <n v="95"/>
    <n v="15"/>
    <n v="4"/>
    <s v="g"/>
    <n v="1"/>
    <n v="0.73748999997042097"/>
    <s v="None"/>
    <n v="4"/>
    <n v="15"/>
    <n v="95"/>
    <n v="6"/>
    <n v="121.416865300037"/>
    <m/>
    <m/>
    <m/>
    <m/>
    <n v="121.40626409999"/>
    <n v="121.416865300037"/>
    <n v="121.916167800023"/>
    <n v="121.916167800023"/>
    <n v="121.916167800023"/>
    <n v="122.67059029999599"/>
    <s v="g"/>
    <n v="1"/>
    <n v="0.7374899999704209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Garden"/>
    <s v="I"/>
    <x v="0"/>
    <s v="neutral"/>
    <s v="red"/>
    <s v="r"/>
    <n v="96"/>
    <n v="16"/>
    <n v="4"/>
    <s v="r"/>
    <n v="1"/>
    <n v="0.63296979997539804"/>
    <s v="None"/>
    <n v="4"/>
    <n v="16"/>
    <n v="96"/>
    <n v="16"/>
    <n v="122.683051800006"/>
    <m/>
    <m/>
    <m/>
    <m/>
    <n v="122.673190100002"/>
    <n v="122.683051800006"/>
    <n v="123.182931800023"/>
    <n v="123.182931800023"/>
    <n v="123.182931800023"/>
    <n v="123.820016800018"/>
    <s v="r"/>
    <n v="1"/>
    <n v="0.6329697999753980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hreat"/>
    <s v="I"/>
    <x v="1"/>
    <s v="emotional"/>
    <s v="blue"/>
    <s v="b"/>
    <n v="97"/>
    <n v="17"/>
    <n v="4"/>
    <s v="b"/>
    <n v="1"/>
    <n v="0.728720699960831"/>
    <s v="None"/>
    <n v="4"/>
    <n v="17"/>
    <n v="97"/>
    <n v="5"/>
    <n v="123.833051500027"/>
    <m/>
    <m/>
    <m/>
    <m/>
    <n v="123.824478800001"/>
    <n v="123.833051500027"/>
    <n v="124.333346700004"/>
    <n v="124.333346700004"/>
    <n v="124.333346700004"/>
    <n v="125.069533600006"/>
    <s v="b"/>
    <n v="1"/>
    <n v="0.72872069996083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Death"/>
    <s v="I"/>
    <x v="1"/>
    <s v="emotional"/>
    <s v="green"/>
    <s v="g"/>
    <n v="98"/>
    <n v="18"/>
    <n v="4"/>
    <s v="g"/>
    <n v="1"/>
    <n v="1.2674509999924299"/>
    <s v="None"/>
    <n v="4"/>
    <n v="18"/>
    <n v="98"/>
    <n v="2"/>
    <n v="125.08271119999699"/>
    <m/>
    <m/>
    <m/>
    <m/>
    <n v="125.07266569999"/>
    <n v="125.08271119999699"/>
    <n v="125.58467300003301"/>
    <n v="125.58467300003301"/>
    <n v="125.58467300003301"/>
    <n v="126.853892699989"/>
    <s v="g"/>
    <n v="1"/>
    <n v="1.26745099999242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nger"/>
    <s v="C"/>
    <x v="2"/>
    <s v="emotional"/>
    <s v="red"/>
    <s v="r"/>
    <n v="99"/>
    <n v="19"/>
    <n v="4"/>
    <s v="r"/>
    <n v="1"/>
    <n v="0.84580500004812997"/>
    <s v="None"/>
    <n v="4"/>
    <n v="19"/>
    <n v="99"/>
    <n v="8"/>
    <n v="126.86676920001599"/>
    <m/>
    <m/>
    <m/>
    <m/>
    <n v="126.857179399987"/>
    <n v="126.86676920001599"/>
    <n v="127.366299399989"/>
    <n v="127.366299399989"/>
    <n v="127.366299399989"/>
    <n v="128.21981169999299"/>
    <s v="r"/>
    <n v="1"/>
    <n v="0.8458050000481299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Violence"/>
    <s v="I"/>
    <x v="1"/>
    <s v="emotional"/>
    <s v="blue"/>
    <s v="b"/>
    <n v="100"/>
    <n v="0"/>
    <n v="5"/>
    <s v="b"/>
    <n v="1"/>
    <n v="0.855514499999117"/>
    <s v="None"/>
    <n v="5"/>
    <n v="0"/>
    <n v="100"/>
    <n v="9"/>
    <n v="128.232428800023"/>
    <m/>
    <m/>
    <m/>
    <m/>
    <n v="128.223416100023"/>
    <n v="128.232428800023"/>
    <n v="128.732510400004"/>
    <n v="128.732510400004"/>
    <n v="128.732510400004"/>
    <n v="129.60315400001099"/>
    <s v="b"/>
    <n v="1"/>
    <n v="0.85551449999911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Death"/>
    <s v="I"/>
    <x v="1"/>
    <s v="emotional"/>
    <s v="green"/>
    <s v="g"/>
    <n v="101"/>
    <n v="1"/>
    <n v="5"/>
    <s v="g"/>
    <n v="1"/>
    <n v="1.36005040002055"/>
    <s v="None"/>
    <n v="5"/>
    <n v="1"/>
    <n v="101"/>
    <n v="2"/>
    <n v="129.616661700012"/>
    <m/>
    <m/>
    <m/>
    <m/>
    <n v="129.60574520000901"/>
    <n v="129.616661700012"/>
    <n v="130.11627920001001"/>
    <n v="130.11627920001001"/>
    <n v="130.11627920001001"/>
    <n v="131.48557140002899"/>
    <s v="g"/>
    <n v="1"/>
    <n v="1.3600504000205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in"/>
    <s v="I"/>
    <x v="1"/>
    <s v="emotional"/>
    <s v="blue"/>
    <s v="b"/>
    <n v="102"/>
    <n v="2"/>
    <n v="5"/>
    <s v="b"/>
    <n v="1"/>
    <n v="0.63687659997958601"/>
    <s v="None"/>
    <n v="5"/>
    <n v="2"/>
    <n v="102"/>
    <n v="1"/>
    <n v="131.499159300001"/>
    <m/>
    <m/>
    <m/>
    <m/>
    <n v="131.48822200001399"/>
    <n v="131.499159300001"/>
    <n v="131.99958240002101"/>
    <n v="131.99958240002101"/>
    <n v="131.99958240002101"/>
    <n v="132.65322109998601"/>
    <s v="b"/>
    <n v="1"/>
    <n v="0.636876599979586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nic"/>
    <s v="I"/>
    <x v="1"/>
    <s v="emotional"/>
    <s v="yellow"/>
    <s v="y"/>
    <n v="103"/>
    <n v="3"/>
    <n v="5"/>
    <s v="y"/>
    <n v="1"/>
    <n v="1.0854510000208299"/>
    <s v="None"/>
    <n v="5"/>
    <n v="3"/>
    <n v="103"/>
    <n v="3"/>
    <n v="132.66580680000999"/>
    <m/>
    <m/>
    <m/>
    <m/>
    <n v="132.65584170003399"/>
    <n v="132.66580680000999"/>
    <n v="133.16575949999901"/>
    <n v="133.16575949999901"/>
    <n v="133.16575949999901"/>
    <n v="134.25289950001701"/>
    <s v="y"/>
    <n v="1"/>
    <n v="1.08545100002082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buse"/>
    <s v="C"/>
    <x v="2"/>
    <s v="emotional"/>
    <s v="red"/>
    <s v="r"/>
    <n v="104"/>
    <n v="4"/>
    <n v="5"/>
    <s v="r"/>
    <n v="1"/>
    <n v="0.69199169997591503"/>
    <s v="None"/>
    <n v="5"/>
    <n v="4"/>
    <n v="104"/>
    <n v="4"/>
    <n v="134.26587569998799"/>
    <m/>
    <m/>
    <m/>
    <m/>
    <n v="134.25552410003701"/>
    <n v="134.26587569998799"/>
    <n v="134.766203799983"/>
    <n v="134.766203799983"/>
    <n v="134.766203799983"/>
    <n v="135.47014310001299"/>
    <s v="r"/>
    <n v="1"/>
    <n v="0.691991699975915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Road"/>
    <s v="I"/>
    <x v="0"/>
    <s v="neutral"/>
    <s v="green"/>
    <s v="g"/>
    <n v="105"/>
    <n v="5"/>
    <n v="5"/>
    <s v="g"/>
    <n v="1"/>
    <n v="1.0184154000016801"/>
    <s v="None"/>
    <n v="5"/>
    <n v="5"/>
    <n v="105"/>
    <n v="18"/>
    <n v="135.48280030000001"/>
    <m/>
    <m/>
    <m/>
    <m/>
    <n v="135.472412600007"/>
    <n v="135.48280030000001"/>
    <n v="135.98273779998999"/>
    <n v="135.98273779998999"/>
    <n v="135.98273779998999"/>
    <n v="137.003329900035"/>
    <s v="g"/>
    <n v="1"/>
    <n v="1.01841540000168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Chair"/>
    <s v="I"/>
    <x v="0"/>
    <s v="neutral"/>
    <s v="green"/>
    <s v="g"/>
    <n v="106"/>
    <n v="6"/>
    <n v="5"/>
    <s v="g"/>
    <n v="1"/>
    <n v="0.58544230001279995"/>
    <s v="None"/>
    <n v="5"/>
    <n v="6"/>
    <n v="106"/>
    <n v="10"/>
    <n v="137.01558350003299"/>
    <m/>
    <m/>
    <m/>
    <m/>
    <n v="137.006669600028"/>
    <n v="137.01558350003299"/>
    <n v="137.515290600014"/>
    <n v="137.515290600014"/>
    <n v="137.515290600014"/>
    <n v="138.10336040001101"/>
    <s v="g"/>
    <n v="1"/>
    <n v="0.5854423000127999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ttle"/>
    <s v="I"/>
    <x v="0"/>
    <s v="neutral"/>
    <s v="yellow"/>
    <s v="y"/>
    <n v="107"/>
    <n v="7"/>
    <n v="5"/>
    <s v="y"/>
    <n v="1"/>
    <n v="0.62620040000183497"/>
    <s v="None"/>
    <n v="5"/>
    <n v="7"/>
    <n v="107"/>
    <n v="11"/>
    <n v="138.11715390003499"/>
    <m/>
    <m/>
    <m/>
    <m/>
    <n v="138.10651900002199"/>
    <n v="138.11715390003499"/>
    <n v="138.61559500003901"/>
    <n v="138.61559500003901"/>
    <n v="138.61559500003901"/>
    <n v="139.25289380003201"/>
    <s v="y"/>
    <n v="1"/>
    <n v="0.6262004000018349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Injury"/>
    <s v="I"/>
    <x v="1"/>
    <s v="emotional"/>
    <s v="green"/>
    <s v="g"/>
    <n v="108"/>
    <n v="8"/>
    <n v="5"/>
    <s v="g"/>
    <n v="1"/>
    <n v="0.76781409996328798"/>
    <s v="None"/>
    <n v="5"/>
    <n v="8"/>
    <n v="108"/>
    <n v="6"/>
    <n v="139.26554460002799"/>
    <m/>
    <m/>
    <m/>
    <m/>
    <n v="139.25716050004101"/>
    <n v="139.26554460002799"/>
    <n v="139.76589000003801"/>
    <n v="139.76589000003801"/>
    <n v="139.76589000003801"/>
    <n v="140.53647360001901"/>
    <s v="g"/>
    <n v="1"/>
    <n v="0.767814099963287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encil"/>
    <s v="I"/>
    <x v="0"/>
    <s v="neutral"/>
    <s v="green"/>
    <s v="g"/>
    <n v="109"/>
    <n v="9"/>
    <n v="5"/>
    <s v="g"/>
    <n v="1"/>
    <n v="0.67093969997949898"/>
    <s v="None"/>
    <n v="5"/>
    <n v="9"/>
    <n v="109"/>
    <n v="14"/>
    <n v="140.54953399998999"/>
    <m/>
    <m/>
    <m/>
    <m/>
    <n v="140.539105700037"/>
    <n v="140.54953399998999"/>
    <n v="141.04915530001699"/>
    <n v="141.04915530001699"/>
    <n v="141.04915530001699"/>
    <n v="141.735886999988"/>
    <s v="g"/>
    <n v="1"/>
    <n v="0.670939699979498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adness"/>
    <s v="I"/>
    <x v="1"/>
    <s v="emotional"/>
    <s v="yellow"/>
    <s v="y"/>
    <n v="110"/>
    <n v="10"/>
    <n v="5"/>
    <s v="y"/>
    <n v="1"/>
    <n v="0.51151039998512704"/>
    <s v="None"/>
    <n v="5"/>
    <n v="10"/>
    <n v="110"/>
    <n v="7"/>
    <n v="141.74882530001901"/>
    <m/>
    <m/>
    <m/>
    <m/>
    <n v="141.73842160001999"/>
    <n v="141.74882530001901"/>
    <n v="142.24911390000401"/>
    <n v="142.24911390000401"/>
    <n v="142.24911390000401"/>
    <n v="142.76876370003399"/>
    <s v="y"/>
    <n v="1"/>
    <n v="0.5115103999851270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nger"/>
    <s v="C"/>
    <x v="2"/>
    <s v="emotional"/>
    <s v="red"/>
    <s v="r"/>
    <n v="111"/>
    <n v="11"/>
    <n v="5"/>
    <s v="r"/>
    <n v="1"/>
    <n v="0.67250310000963498"/>
    <s v="None"/>
    <n v="5"/>
    <n v="11"/>
    <n v="111"/>
    <n v="8"/>
    <n v="142.782166399993"/>
    <m/>
    <m/>
    <m/>
    <m/>
    <n v="142.772107800003"/>
    <n v="142.782166399993"/>
    <n v="143.282832900004"/>
    <n v="143.282832900004"/>
    <n v="143.282832900004"/>
    <n v="143.969791800016"/>
    <s v="r"/>
    <n v="1"/>
    <n v="0.672503100009634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Window"/>
    <s v="I"/>
    <x v="0"/>
    <s v="neutral"/>
    <s v="red"/>
    <s v="r"/>
    <n v="112"/>
    <n v="12"/>
    <n v="5"/>
    <s v="r"/>
    <n v="1"/>
    <n v="0.44200949999503703"/>
    <s v="None"/>
    <n v="5"/>
    <n v="12"/>
    <n v="112"/>
    <n v="12"/>
    <n v="143.98163940000799"/>
    <m/>
    <m/>
    <m/>
    <m/>
    <n v="143.97346810001099"/>
    <n v="143.98163940000799"/>
    <n v="144.48202530003601"/>
    <n v="144.48202530003601"/>
    <n v="144.48202530003601"/>
    <n v="144.93588760000401"/>
    <s v="r"/>
    <n v="1"/>
    <n v="0.442009499995037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Garden"/>
    <s v="I"/>
    <x v="0"/>
    <s v="neutral"/>
    <s v="red"/>
    <s v="r"/>
    <n v="113"/>
    <n v="13"/>
    <n v="5"/>
    <s v="r"/>
    <n v="1"/>
    <n v="0.40042710001580401"/>
    <s v="None"/>
    <n v="5"/>
    <n v="13"/>
    <n v="113"/>
    <n v="16"/>
    <n v="144.94875069998599"/>
    <m/>
    <m/>
    <m/>
    <m/>
    <n v="144.93910580000301"/>
    <n v="144.94875069998599"/>
    <n v="145.44874309998701"/>
    <n v="145.44874309998701"/>
    <n v="145.44874309998701"/>
    <n v="145.85310690000099"/>
    <s v="r"/>
    <n v="1"/>
    <n v="0.400427100015804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hreat"/>
    <s v="I"/>
    <x v="1"/>
    <s v="emotional"/>
    <s v="blue"/>
    <s v="b"/>
    <n v="114"/>
    <n v="14"/>
    <n v="5"/>
    <s v="b"/>
    <n v="1"/>
    <n v="0.69880890002241303"/>
    <s v="None"/>
    <n v="5"/>
    <n v="14"/>
    <n v="114"/>
    <n v="5"/>
    <n v="145.86579370003801"/>
    <m/>
    <m/>
    <m/>
    <m/>
    <n v="145.85571520001301"/>
    <n v="145.86579370003801"/>
    <n v="146.36576590000101"/>
    <n v="146.36576590000101"/>
    <n v="146.36576590000101"/>
    <n v="147.06944560003399"/>
    <s v="b"/>
    <n v="1"/>
    <n v="0.698808900022413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ok"/>
    <s v="I"/>
    <x v="0"/>
    <s v="neutral"/>
    <s v="blue"/>
    <s v="b"/>
    <n v="115"/>
    <n v="15"/>
    <n v="5"/>
    <s v="b"/>
    <n v="1"/>
    <n v="0.74952109996229399"/>
    <s v="None"/>
    <n v="5"/>
    <n v="15"/>
    <n v="115"/>
    <n v="17"/>
    <n v="147.08240950002801"/>
    <m/>
    <m/>
    <m/>
    <m/>
    <n v="147.07200580002899"/>
    <n v="147.08240950002801"/>
    <n v="147.581737200031"/>
    <n v="147.581737200031"/>
    <n v="147.581737200031"/>
    <n v="148.33634280000101"/>
    <s v="b"/>
    <n v="1"/>
    <n v="0.749521099962293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tone"/>
    <s v="I"/>
    <x v="0"/>
    <s v="neutral"/>
    <s v="yellow"/>
    <s v="y"/>
    <n v="116"/>
    <n v="16"/>
    <n v="5"/>
    <s v="y"/>
    <n v="1"/>
    <n v="0.80227710003964603"/>
    <s v="None"/>
    <n v="5"/>
    <n v="16"/>
    <n v="116"/>
    <n v="19"/>
    <n v="148.34829059999899"/>
    <m/>
    <m/>
    <m/>
    <m/>
    <n v="148.338798200013"/>
    <n v="148.34829059999899"/>
    <n v="148.849429199995"/>
    <n v="148.849429199995"/>
    <n v="148.849429199995"/>
    <n v="149.65263840003101"/>
    <s v="y"/>
    <n v="1"/>
    <n v="0.802277100039646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able"/>
    <s v="I"/>
    <x v="0"/>
    <s v="neutral"/>
    <s v="blue"/>
    <s v="b"/>
    <n v="117"/>
    <n v="17"/>
    <n v="5"/>
    <s v="b"/>
    <n v="1"/>
    <n v="1.0563735999749"/>
    <s v="None"/>
    <n v="5"/>
    <n v="17"/>
    <n v="117"/>
    <n v="13"/>
    <n v="149.66573700000299"/>
    <m/>
    <m/>
    <m/>
    <m/>
    <n v="149.655957300041"/>
    <n v="149.66573700000299"/>
    <n v="150.165177699993"/>
    <n v="150.165177699993"/>
    <n v="150.165177699993"/>
    <n v="151.235281300032"/>
    <s v="b"/>
    <n v="1"/>
    <n v="1.056373599974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Fear"/>
    <s v="C"/>
    <x v="2"/>
    <s v="emotional"/>
    <s v="red"/>
    <s v="r"/>
    <n v="118"/>
    <n v="18"/>
    <n v="5"/>
    <s v="r"/>
    <n v="1"/>
    <n v="0.82527620001928803"/>
    <s v="None"/>
    <n v="5"/>
    <n v="18"/>
    <n v="118"/>
    <n v="0"/>
    <n v="151.248430300038"/>
    <m/>
    <m/>
    <m/>
    <m/>
    <n v="151.237770600011"/>
    <n v="151.248430300038"/>
    <n v="151.74880430003299"/>
    <n v="151.74880430003299"/>
    <n v="151.74880430003299"/>
    <n v="152.58545070001799"/>
    <s v="r"/>
    <n v="1"/>
    <n v="0.825276200019288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per"/>
    <s v="I"/>
    <x v="0"/>
    <s v="neutral"/>
    <s v="yellow"/>
    <s v="y"/>
    <n v="119"/>
    <n v="19"/>
    <n v="5"/>
    <s v="y"/>
    <n v="1"/>
    <n v="0.66088719997787804"/>
    <s v="None"/>
    <n v="5"/>
    <n v="19"/>
    <n v="119"/>
    <n v="15"/>
    <n v="152.59876900003201"/>
    <m/>
    <m/>
    <m/>
    <m/>
    <n v="152.58817050000599"/>
    <n v="152.59876900003201"/>
    <n v="153.09869180002701"/>
    <n v="153.09869180002701"/>
    <n v="153.09869180002701"/>
    <n v="153.76879679999499"/>
    <s v="y"/>
    <n v="1"/>
    <n v="0.6608871999778780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Death"/>
    <s v="I"/>
    <x v="1"/>
    <s v="emotional"/>
    <s v="green"/>
    <s v="g"/>
    <n v="120"/>
    <n v="0"/>
    <n v="6"/>
    <s v="g"/>
    <n v="1"/>
    <n v="0.55217450001509805"/>
    <s v="None"/>
    <n v="6"/>
    <n v="0"/>
    <n v="120"/>
    <n v="2"/>
    <n v="153.782126200036"/>
    <m/>
    <m/>
    <m/>
    <m/>
    <n v="153.771606700029"/>
    <n v="153.782126200036"/>
    <n v="154.282697700022"/>
    <n v="154.282697700022"/>
    <n v="154.282697700022"/>
    <n v="154.852238300023"/>
    <s v="g"/>
    <n v="1"/>
    <n v="0.5521745000150980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adness"/>
    <s v="I"/>
    <x v="1"/>
    <s v="emotional"/>
    <s v="yellow"/>
    <s v="y"/>
    <n v="121"/>
    <n v="1"/>
    <n v="6"/>
    <s v="g"/>
    <n v="0"/>
    <n v="0.55959879996953499"/>
    <s v="None"/>
    <n v="6"/>
    <n v="1"/>
    <n v="121"/>
    <n v="7"/>
    <n v="154.864989300025"/>
    <m/>
    <m/>
    <m/>
    <m/>
    <n v="154.855629900004"/>
    <n v="154.864989300025"/>
    <n v="155.364826600009"/>
    <n v="155.364826600009"/>
    <n v="155.364826600009"/>
    <n v="155.93497649999301"/>
    <s v="g"/>
    <n v="0"/>
    <n v="0.559598799969534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Chair"/>
    <s v="I"/>
    <x v="0"/>
    <s v="neutral"/>
    <s v="green"/>
    <s v="g"/>
    <n v="122"/>
    <n v="2"/>
    <n v="6"/>
    <s v="b"/>
    <n v="0"/>
    <n v="0.52036520000547104"/>
    <s v="None"/>
    <n v="6"/>
    <n v="2"/>
    <n v="122"/>
    <n v="10"/>
    <n v="155.94868870003799"/>
    <m/>
    <m/>
    <m/>
    <m/>
    <n v="155.93754270003399"/>
    <n v="155.94868870003799"/>
    <n v="156.44859490002199"/>
    <n v="156.44859490002199"/>
    <n v="156.44859490002199"/>
    <n v="156.984892899985"/>
    <s v="b"/>
    <n v="0"/>
    <n v="0.5203652000054710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Fear"/>
    <s v="C"/>
    <x v="2"/>
    <s v="emotional"/>
    <s v="red"/>
    <s v="r"/>
    <n v="123"/>
    <n v="3"/>
    <n v="6"/>
    <s v="r"/>
    <n v="1"/>
    <n v="0.67274049995467"/>
    <s v="None"/>
    <n v="6"/>
    <n v="3"/>
    <n v="123"/>
    <n v="0"/>
    <n v="156.99859500001099"/>
    <m/>
    <m/>
    <m/>
    <m/>
    <n v="156.98732569999899"/>
    <n v="156.99859500001099"/>
    <n v="157.49808960000499"/>
    <n v="157.49808960000499"/>
    <n v="157.49808960000499"/>
    <n v="158.18486199999401"/>
    <s v="r"/>
    <n v="1"/>
    <n v="0.6727404999546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Window"/>
    <s v="I"/>
    <x v="0"/>
    <s v="neutral"/>
    <s v="red"/>
    <s v="r"/>
    <n v="124"/>
    <n v="4"/>
    <n v="6"/>
    <s v="r"/>
    <n v="1"/>
    <n v="0.586190200003329"/>
    <s v="None"/>
    <n v="6"/>
    <n v="4"/>
    <n v="124"/>
    <n v="12"/>
    <n v="158.198653700004"/>
    <m/>
    <m/>
    <m/>
    <m/>
    <n v="158.18748040002501"/>
    <n v="158.198653700004"/>
    <n v="158.69791290001001"/>
    <n v="158.69791290001001"/>
    <n v="158.69791290001001"/>
    <n v="159.28561720001699"/>
    <s v="r"/>
    <n v="1"/>
    <n v="0.58619020000332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Injury"/>
    <s v="I"/>
    <x v="1"/>
    <s v="emotional"/>
    <s v="green"/>
    <s v="g"/>
    <n v="125"/>
    <n v="5"/>
    <n v="6"/>
    <s v="g"/>
    <n v="1"/>
    <n v="0.80024609999964003"/>
    <s v="None"/>
    <n v="6"/>
    <n v="5"/>
    <n v="125"/>
    <n v="6"/>
    <n v="159.29806400003099"/>
    <m/>
    <m/>
    <m/>
    <m/>
    <n v="159.28825590002799"/>
    <n v="159.29806400003099"/>
    <n v="159.79814800003001"/>
    <n v="159.79814800003001"/>
    <n v="159.79814800003001"/>
    <n v="160.60261060000599"/>
    <s v="g"/>
    <n v="1"/>
    <n v="0.800246099999640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hreat"/>
    <s v="I"/>
    <x v="1"/>
    <s v="emotional"/>
    <s v="blue"/>
    <s v="b"/>
    <n v="126"/>
    <n v="6"/>
    <n v="6"/>
    <s v="b"/>
    <n v="1"/>
    <n v="0.804273699992336"/>
    <s v="None"/>
    <n v="6"/>
    <n v="6"/>
    <n v="126"/>
    <n v="5"/>
    <n v="160.61516729998399"/>
    <m/>
    <m/>
    <m/>
    <m/>
    <n v="160.60623520001499"/>
    <n v="160.61516729998399"/>
    <n v="161.11552460002699"/>
    <n v="161.11552460002699"/>
    <n v="161.11552460002699"/>
    <n v="161.934481800009"/>
    <s v="b"/>
    <n v="1"/>
    <n v="0.80427369999233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tone"/>
    <s v="I"/>
    <x v="0"/>
    <s v="neutral"/>
    <s v="yellow"/>
    <s v="y"/>
    <n v="127"/>
    <n v="7"/>
    <n v="6"/>
    <s v="y"/>
    <n v="1"/>
    <n v="0.78870049997931302"/>
    <s v="None"/>
    <n v="6"/>
    <n v="7"/>
    <n v="127"/>
    <n v="19"/>
    <n v="161.94852440000901"/>
    <m/>
    <m/>
    <m/>
    <m/>
    <n v="161.93711500003701"/>
    <n v="161.94852440000901"/>
    <n v="162.447596099984"/>
    <n v="162.447596099984"/>
    <n v="162.447596099984"/>
    <n v="163.25206040003101"/>
    <s v="y"/>
    <n v="1"/>
    <n v="0.788700499979313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nger"/>
    <s v="C"/>
    <x v="2"/>
    <s v="emotional"/>
    <s v="red"/>
    <s v="r"/>
    <n v="128"/>
    <n v="8"/>
    <n v="6"/>
    <s v="r"/>
    <n v="1"/>
    <n v="0.58355199999641605"/>
    <s v="None"/>
    <n v="6"/>
    <n v="8"/>
    <n v="128"/>
    <n v="8"/>
    <n v="163.265177200024"/>
    <m/>
    <m/>
    <m/>
    <m/>
    <n v="163.254703000013"/>
    <n v="163.265177200024"/>
    <n v="163.76471790001901"/>
    <n v="163.76471790001901"/>
    <n v="163.76471790001901"/>
    <n v="164.352460600028"/>
    <s v="r"/>
    <n v="1"/>
    <n v="0.5835519999964160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able"/>
    <s v="I"/>
    <x v="0"/>
    <s v="neutral"/>
    <s v="blue"/>
    <s v="b"/>
    <n v="129"/>
    <n v="9"/>
    <n v="6"/>
    <s v="b"/>
    <n v="1"/>
    <n v="0.71974829997634504"/>
    <s v="None"/>
    <n v="6"/>
    <n v="9"/>
    <n v="129"/>
    <n v="13"/>
    <n v="164.36529610003299"/>
    <m/>
    <m/>
    <m/>
    <m/>
    <n v="164.35692300001301"/>
    <n v="164.36529610003299"/>
    <n v="164.86461540003"/>
    <n v="164.86461540003"/>
    <n v="164.86461540003"/>
    <n v="165.58542180003101"/>
    <s v="b"/>
    <n v="1"/>
    <n v="0.7197482999763450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in"/>
    <s v="I"/>
    <x v="1"/>
    <s v="emotional"/>
    <s v="blue"/>
    <s v="b"/>
    <n v="130"/>
    <n v="10"/>
    <n v="6"/>
    <s v="b"/>
    <n v="1"/>
    <n v="0.51293460000306301"/>
    <s v="None"/>
    <n v="6"/>
    <n v="10"/>
    <n v="130"/>
    <n v="1"/>
    <n v="165.59816880000199"/>
    <m/>
    <m/>
    <m/>
    <m/>
    <n v="165.58782240003299"/>
    <n v="165.59816880000199"/>
    <n v="166.09824750001999"/>
    <n v="166.09824750001999"/>
    <n v="166.09824750001999"/>
    <n v="166.61865260003799"/>
    <s v="b"/>
    <n v="1"/>
    <n v="0.512934600003063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ok"/>
    <s v="I"/>
    <x v="0"/>
    <s v="neutral"/>
    <s v="blue"/>
    <s v="b"/>
    <n v="131"/>
    <n v="11"/>
    <n v="6"/>
    <s v="b"/>
    <n v="1"/>
    <n v="0.38160680001601499"/>
    <s v="None"/>
    <n v="6"/>
    <n v="11"/>
    <n v="131"/>
    <n v="17"/>
    <n v="166.63113880000299"/>
    <m/>
    <m/>
    <m/>
    <m/>
    <n v="166.62119780003499"/>
    <n v="166.63113880000299"/>
    <n v="167.131463600031"/>
    <n v="167.131463600031"/>
    <n v="167.131463600031"/>
    <n v="167.51910590002001"/>
    <s v="b"/>
    <n v="1"/>
    <n v="0.381606800016014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encil"/>
    <s v="I"/>
    <x v="0"/>
    <s v="neutral"/>
    <s v="green"/>
    <s v="g"/>
    <n v="132"/>
    <n v="12"/>
    <n v="6"/>
    <s v="y"/>
    <n v="0"/>
    <n v="0.723970400053076"/>
    <s v="None"/>
    <n v="6"/>
    <n v="12"/>
    <n v="132"/>
    <n v="14"/>
    <n v="167.53078540001201"/>
    <m/>
    <m/>
    <m/>
    <m/>
    <n v="167.52239570004099"/>
    <n v="167.53078540001201"/>
    <n v="168.03116509999299"/>
    <n v="168.03116509999299"/>
    <n v="168.03116509999299"/>
    <n v="168.76925519999301"/>
    <s v="y"/>
    <n v="0"/>
    <n v="0.72397040005307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Road"/>
    <s v="I"/>
    <x v="0"/>
    <s v="neutral"/>
    <s v="green"/>
    <s v="g"/>
    <n v="133"/>
    <n v="13"/>
    <n v="6"/>
    <s v="g"/>
    <n v="1"/>
    <n v="0.65877440001349896"/>
    <s v="None"/>
    <n v="6"/>
    <n v="13"/>
    <n v="133"/>
    <n v="18"/>
    <n v="168.780806399998"/>
    <m/>
    <m/>
    <m/>
    <m/>
    <n v="168.77260259998701"/>
    <n v="168.780806399998"/>
    <n v="169.28089049999801"/>
    <n v="169.28089049999801"/>
    <n v="169.28089049999801"/>
    <n v="169.95120050001401"/>
    <s v="g"/>
    <n v="1"/>
    <n v="0.6587744000134989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ttle"/>
    <s v="I"/>
    <x v="0"/>
    <s v="neutral"/>
    <s v="yellow"/>
    <s v="y"/>
    <n v="134"/>
    <n v="14"/>
    <n v="6"/>
    <s v="y"/>
    <n v="1"/>
    <n v="0.45988309994572701"/>
    <s v="None"/>
    <n v="6"/>
    <n v="14"/>
    <n v="134"/>
    <n v="11"/>
    <n v="169.964684900012"/>
    <m/>
    <m/>
    <m/>
    <m/>
    <n v="169.95396850001899"/>
    <n v="169.964684900012"/>
    <n v="170.46468620002199"/>
    <n v="170.46468620002199"/>
    <n v="170.46468620002199"/>
    <n v="170.93436419998699"/>
    <s v="y"/>
    <n v="1"/>
    <n v="0.459883099945727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nic"/>
    <s v="I"/>
    <x v="1"/>
    <s v="emotional"/>
    <s v="yellow"/>
    <s v="y"/>
    <n v="135"/>
    <n v="15"/>
    <n v="6"/>
    <s v="y"/>
    <n v="1"/>
    <n v="0.46128879999741901"/>
    <s v="None"/>
    <n v="6"/>
    <n v="15"/>
    <n v="135"/>
    <n v="3"/>
    <n v="170.94754160003501"/>
    <m/>
    <m/>
    <m/>
    <m/>
    <n v="170.93807169998701"/>
    <n v="170.94754160003501"/>
    <n v="171.447434600035"/>
    <n v="171.447434600035"/>
    <n v="171.447434600035"/>
    <n v="171.91829370002901"/>
    <s v="y"/>
    <n v="1"/>
    <n v="0.461288799997419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Violence"/>
    <s v="I"/>
    <x v="1"/>
    <s v="emotional"/>
    <s v="blue"/>
    <s v="b"/>
    <n v="136"/>
    <n v="16"/>
    <n v="6"/>
    <s v="b"/>
    <n v="1"/>
    <n v="0.64176899997983095"/>
    <s v="None"/>
    <n v="6"/>
    <n v="16"/>
    <n v="136"/>
    <n v="9"/>
    <n v="171.931080800015"/>
    <m/>
    <m/>
    <m/>
    <m/>
    <n v="171.92137190001"/>
    <n v="171.931080800015"/>
    <n v="172.43147240002801"/>
    <n v="172.43147240002801"/>
    <n v="172.43147240002801"/>
    <n v="173.08441750000901"/>
    <s v="b"/>
    <n v="1"/>
    <n v="0.6417689999798309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per"/>
    <s v="I"/>
    <x v="0"/>
    <s v="neutral"/>
    <s v="yellow"/>
    <s v="y"/>
    <n v="137"/>
    <n v="17"/>
    <n v="6"/>
    <s v="y"/>
    <n v="1"/>
    <n v="0.70573389995843105"/>
    <s v="None"/>
    <n v="6"/>
    <n v="17"/>
    <n v="137"/>
    <n v="15"/>
    <n v="173.097666100016"/>
    <m/>
    <m/>
    <m/>
    <m/>
    <n v="173.087823400041"/>
    <n v="173.097666100016"/>
    <n v="173.59799030004001"/>
    <n v="173.59799030004001"/>
    <n v="173.59799030004001"/>
    <n v="174.317781199992"/>
    <s v="y"/>
    <n v="1"/>
    <n v="0.7057338999584310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Garden"/>
    <s v="I"/>
    <x v="0"/>
    <s v="neutral"/>
    <s v="red"/>
    <s v="r"/>
    <n v="138"/>
    <n v="18"/>
    <n v="6"/>
    <s v="r"/>
    <n v="1"/>
    <n v="0.53758740000193905"/>
    <s v="None"/>
    <n v="6"/>
    <n v="18"/>
    <n v="138"/>
    <n v="16"/>
    <n v="174.330745299987"/>
    <m/>
    <m/>
    <m/>
    <m/>
    <n v="174.320805200026"/>
    <n v="174.330745299987"/>
    <n v="174.83060520002601"/>
    <n v="174.83060520002601"/>
    <n v="174.83060520002601"/>
    <n v="175.38428870000601"/>
    <s v="r"/>
    <n v="1"/>
    <n v="0.5375874000019390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buse"/>
    <s v="C"/>
    <x v="2"/>
    <s v="emotional"/>
    <s v="red"/>
    <s v="r"/>
    <n v="139"/>
    <n v="19"/>
    <n v="6"/>
    <s v="r"/>
    <n v="1"/>
    <n v="0.59659790003206503"/>
    <s v="None"/>
    <n v="6"/>
    <n v="19"/>
    <n v="139"/>
    <n v="4"/>
    <n v="175.39717850001699"/>
    <m/>
    <m/>
    <m/>
    <m/>
    <n v="175.38726149999999"/>
    <n v="175.39717850001699"/>
    <n v="175.897283500002"/>
    <n v="175.897283500002"/>
    <n v="175.897283500002"/>
    <n v="176.50137150002399"/>
    <s v="r"/>
    <n v="1"/>
    <n v="0.596597900032065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ok"/>
    <s v="I"/>
    <x v="0"/>
    <s v="neutral"/>
    <s v="blue"/>
    <s v="b"/>
    <n v="140"/>
    <n v="0"/>
    <n v="7"/>
    <s v="b"/>
    <n v="1"/>
    <n v="0.89773000002605796"/>
    <s v="None"/>
    <n v="7"/>
    <n v="0"/>
    <n v="140"/>
    <n v="17"/>
    <n v="176.513964000041"/>
    <m/>
    <m/>
    <m/>
    <m/>
    <n v="176.50425769999799"/>
    <n v="176.513964000041"/>
    <n v="177.01404350000601"/>
    <n v="177.01404350000601"/>
    <n v="177.01404350000601"/>
    <n v="177.918071600026"/>
    <s v="b"/>
    <n v="1"/>
    <n v="0.8977300000260579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ttle"/>
    <s v="I"/>
    <x v="0"/>
    <s v="neutral"/>
    <s v="yellow"/>
    <s v="y"/>
    <n v="141"/>
    <n v="1"/>
    <n v="7"/>
    <s v="y"/>
    <n v="1"/>
    <n v="0.75272459996631302"/>
    <s v="None"/>
    <n v="7"/>
    <n v="1"/>
    <n v="141"/>
    <n v="11"/>
    <n v="177.930306299997"/>
    <m/>
    <m/>
    <m/>
    <m/>
    <n v="177.92134490003801"/>
    <n v="177.930306299997"/>
    <n v="178.43074410001199"/>
    <n v="178.43074410001199"/>
    <n v="178.43074410001199"/>
    <n v="179.18449260003399"/>
    <s v="y"/>
    <n v="1"/>
    <n v="0.752724599966313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hreat"/>
    <s v="I"/>
    <x v="1"/>
    <s v="emotional"/>
    <s v="blue"/>
    <s v="b"/>
    <n v="142"/>
    <n v="2"/>
    <n v="7"/>
    <s v="b"/>
    <n v="1"/>
    <n v="0.76843359996564597"/>
    <s v="None"/>
    <n v="7"/>
    <n v="2"/>
    <n v="142"/>
    <n v="5"/>
    <n v="179.19744379998801"/>
    <m/>
    <m/>
    <m/>
    <m/>
    <n v="179.18742450000701"/>
    <n v="179.19744379998801"/>
    <n v="179.69664069998501"/>
    <n v="179.69664069998501"/>
    <n v="179.69664069998501"/>
    <n v="180.46621520002299"/>
    <s v="b"/>
    <n v="1"/>
    <n v="0.7684335999656459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able"/>
    <s v="I"/>
    <x v="0"/>
    <s v="neutral"/>
    <s v="blue"/>
    <s v="b"/>
    <n v="143"/>
    <n v="3"/>
    <n v="7"/>
    <s v="b"/>
    <n v="1"/>
    <n v="0.65741549996891901"/>
    <s v="None"/>
    <n v="7"/>
    <n v="3"/>
    <n v="143"/>
    <n v="13"/>
    <n v="180.479598100006"/>
    <m/>
    <m/>
    <m/>
    <m/>
    <n v="180.46857319999199"/>
    <n v="180.479598100006"/>
    <n v="180.979981100012"/>
    <n v="180.979981100012"/>
    <n v="180.979981100012"/>
    <n v="181.65114949998599"/>
    <s v="b"/>
    <n v="1"/>
    <n v="0.657415499968919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Road"/>
    <s v="I"/>
    <x v="0"/>
    <s v="neutral"/>
    <s v="green"/>
    <s v="g"/>
    <n v="144"/>
    <n v="4"/>
    <n v="7"/>
    <s v="g"/>
    <n v="1"/>
    <n v="0.98097249999409497"/>
    <s v="None"/>
    <n v="7"/>
    <n v="4"/>
    <n v="144"/>
    <n v="18"/>
    <n v="181.66397709999001"/>
    <m/>
    <m/>
    <m/>
    <m/>
    <n v="181.65389369998499"/>
    <n v="181.66397709999001"/>
    <n v="182.16405190003499"/>
    <n v="182.16405190003499"/>
    <n v="182.16405190003499"/>
    <n v="183.15138340002099"/>
    <s v="g"/>
    <n v="1"/>
    <n v="0.9809724999940949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adness"/>
    <s v="I"/>
    <x v="1"/>
    <s v="emotional"/>
    <s v="yellow"/>
    <s v="y"/>
    <n v="145"/>
    <n v="5"/>
    <n v="7"/>
    <s v="y"/>
    <n v="1"/>
    <n v="0.91624869999941405"/>
    <s v="None"/>
    <n v="7"/>
    <n v="5"/>
    <n v="145"/>
    <n v="7"/>
    <n v="183.164171900018"/>
    <m/>
    <m/>
    <m/>
    <m/>
    <n v="183.154081300017"/>
    <n v="183.164171900018"/>
    <n v="183.664112500031"/>
    <n v="183.664112500031"/>
    <n v="183.664112500031"/>
    <n v="184.58468949998399"/>
    <s v="y"/>
    <n v="1"/>
    <n v="0.9162486999994140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per"/>
    <s v="I"/>
    <x v="0"/>
    <s v="neutral"/>
    <s v="yellow"/>
    <s v="y"/>
    <n v="146"/>
    <n v="6"/>
    <n v="7"/>
    <s v="y"/>
    <n v="1"/>
    <n v="0.47649689996615002"/>
    <s v="None"/>
    <n v="7"/>
    <n v="6"/>
    <n v="146"/>
    <n v="15"/>
    <n v="184.59717230004"/>
    <m/>
    <m/>
    <m/>
    <m/>
    <n v="184.58744620002099"/>
    <n v="184.59717230004"/>
    <n v="185.09804630000099"/>
    <n v="185.09804630000099"/>
    <n v="185.09804630000099"/>
    <n v="185.583891200018"/>
    <s v="y"/>
    <n v="1"/>
    <n v="0.476496899966150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buse"/>
    <s v="C"/>
    <x v="2"/>
    <s v="emotional"/>
    <s v="red"/>
    <s v="r"/>
    <n v="147"/>
    <n v="7"/>
    <n v="7"/>
    <s v="r"/>
    <n v="1"/>
    <n v="0.68824670003959898"/>
    <s v="None"/>
    <n v="7"/>
    <n v="7"/>
    <n v="147"/>
    <n v="4"/>
    <n v="185.597294500039"/>
    <m/>
    <m/>
    <m/>
    <m/>
    <n v="185.587254200014"/>
    <n v="185.597294500039"/>
    <n v="186.096799799997"/>
    <n v="186.096799799997"/>
    <n v="186.096799799997"/>
    <n v="186.80171650002001"/>
    <s v="r"/>
    <n v="1"/>
    <n v="0.688246700039598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Violence"/>
    <s v="I"/>
    <x v="1"/>
    <s v="emotional"/>
    <s v="blue"/>
    <s v="b"/>
    <n v="148"/>
    <n v="8"/>
    <n v="7"/>
    <s v="b"/>
    <n v="1"/>
    <n v="0.69573149998905104"/>
    <s v="None"/>
    <n v="7"/>
    <n v="8"/>
    <n v="148"/>
    <n v="9"/>
    <n v="186.81339359999399"/>
    <m/>
    <m/>
    <m/>
    <m/>
    <n v="186.80517420003801"/>
    <n v="186.81339359999399"/>
    <n v="187.31415220000699"/>
    <n v="187.31415220000699"/>
    <n v="187.31415220000699"/>
    <n v="188.01774119999001"/>
    <s v="b"/>
    <n v="1"/>
    <n v="0.6957314999890510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encil"/>
    <s v="I"/>
    <x v="0"/>
    <s v="neutral"/>
    <s v="green"/>
    <s v="g"/>
    <n v="149"/>
    <n v="9"/>
    <n v="7"/>
    <s v="g"/>
    <n v="1"/>
    <n v="0.92942639999091603"/>
    <s v="None"/>
    <n v="7"/>
    <n v="9"/>
    <n v="149"/>
    <n v="14"/>
    <n v="188.02983070001901"/>
    <m/>
    <m/>
    <m/>
    <m/>
    <n v="188.02074040001"/>
    <n v="188.02983070001901"/>
    <n v="188.52996900002401"/>
    <n v="188.52996900002401"/>
    <n v="188.52996900002401"/>
    <n v="189.46707900002301"/>
    <s v="g"/>
    <n v="1"/>
    <n v="0.929426399990916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tone"/>
    <s v="I"/>
    <x v="0"/>
    <s v="neutral"/>
    <s v="yellow"/>
    <s v="y"/>
    <n v="150"/>
    <n v="10"/>
    <n v="7"/>
    <s v="y"/>
    <n v="1"/>
    <n v="0.72572489996673495"/>
    <s v="None"/>
    <n v="7"/>
    <n v="10"/>
    <n v="150"/>
    <n v="19"/>
    <n v="189.48017260001501"/>
    <m/>
    <m/>
    <m/>
    <m/>
    <n v="189.46971700002899"/>
    <n v="189.48017260001501"/>
    <n v="189.980293200002"/>
    <n v="189.980293200002"/>
    <n v="189.980293200002"/>
    <n v="190.7174047"/>
    <s v="y"/>
    <n v="1"/>
    <n v="0.7257248999667349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nger"/>
    <s v="C"/>
    <x v="2"/>
    <s v="emotional"/>
    <s v="red"/>
    <s v="r"/>
    <n v="151"/>
    <n v="11"/>
    <n v="7"/>
    <s v="r"/>
    <n v="1"/>
    <n v="0.59551389998523496"/>
    <s v="None"/>
    <n v="7"/>
    <n v="11"/>
    <n v="151"/>
    <n v="8"/>
    <n v="190.73074540001099"/>
    <m/>
    <m/>
    <m/>
    <m/>
    <n v="190.72000900003999"/>
    <n v="190.73074540001099"/>
    <n v="191.23102440004001"/>
    <n v="191.23102440004001"/>
    <n v="191.23102440004001"/>
    <n v="191.83522800001001"/>
    <s v="r"/>
    <n v="1"/>
    <n v="0.5955138999852349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nic"/>
    <s v="I"/>
    <x v="1"/>
    <s v="emotional"/>
    <s v="yellow"/>
    <s v="y"/>
    <n v="152"/>
    <n v="12"/>
    <n v="7"/>
    <s v="y"/>
    <n v="1"/>
    <n v="1.11836159997619"/>
    <s v="None"/>
    <n v="7"/>
    <n v="12"/>
    <n v="152"/>
    <n v="3"/>
    <n v="191.84703390003401"/>
    <m/>
    <m/>
    <m/>
    <m/>
    <n v="191.837918400007"/>
    <n v="191.84703390003401"/>
    <n v="192.34721810003899"/>
    <n v="192.34721810003899"/>
    <n v="192.34721810003899"/>
    <n v="193.4681003"/>
    <s v="y"/>
    <n v="1"/>
    <n v="1.1183615999761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Death"/>
    <s v="I"/>
    <x v="1"/>
    <s v="emotional"/>
    <s v="green"/>
    <s v="g"/>
    <n v="153"/>
    <n v="13"/>
    <n v="7"/>
    <s v="g"/>
    <n v="1"/>
    <n v="0.71744400000898101"/>
    <s v="None"/>
    <n v="7"/>
    <n v="13"/>
    <n v="153"/>
    <n v="2"/>
    <n v="193.47993840003599"/>
    <m/>
    <m/>
    <m/>
    <m/>
    <n v="193.47082430002001"/>
    <n v="193.47993840003599"/>
    <n v="193.979689400002"/>
    <n v="193.979689400002"/>
    <n v="193.979689400002"/>
    <n v="194.69986280001399"/>
    <s v="g"/>
    <n v="1"/>
    <n v="0.717444000008981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Fear"/>
    <s v="C"/>
    <x v="2"/>
    <s v="emotional"/>
    <s v="red"/>
    <s v="r"/>
    <n v="154"/>
    <n v="14"/>
    <n v="7"/>
    <s v="r"/>
    <n v="1"/>
    <n v="1.0134905999875601"/>
    <s v="None"/>
    <n v="7"/>
    <n v="14"/>
    <n v="154"/>
    <n v="0"/>
    <n v="194.71310340001901"/>
    <m/>
    <m/>
    <m/>
    <m/>
    <n v="194.70228690002099"/>
    <n v="194.71310340001901"/>
    <n v="195.21297809999601"/>
    <n v="195.21297809999601"/>
    <n v="195.21297809999601"/>
    <n v="196.23541409999501"/>
    <s v="r"/>
    <n v="1"/>
    <n v="1.01349059998756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in"/>
    <s v="I"/>
    <x v="1"/>
    <s v="emotional"/>
    <s v="blue"/>
    <s v="b"/>
    <n v="155"/>
    <n v="15"/>
    <n v="7"/>
    <s v="b"/>
    <n v="1"/>
    <n v="0.68439879996003505"/>
    <s v="None"/>
    <n v="7"/>
    <n v="15"/>
    <n v="155"/>
    <n v="1"/>
    <n v="196.24736109998699"/>
    <m/>
    <m/>
    <m/>
    <m/>
    <n v="196.23951039998701"/>
    <n v="196.24736109998699"/>
    <n v="196.74700259999301"/>
    <n v="196.74700259999301"/>
    <n v="196.74700259999301"/>
    <n v="197.433931800012"/>
    <s v="b"/>
    <n v="1"/>
    <n v="0.6843987999600350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Garden"/>
    <s v="I"/>
    <x v="0"/>
    <s v="neutral"/>
    <s v="red"/>
    <s v="r"/>
    <n v="156"/>
    <n v="16"/>
    <n v="7"/>
    <s v="r"/>
    <n v="1"/>
    <n v="1.0607820000150201"/>
    <s v="None"/>
    <n v="7"/>
    <n v="16"/>
    <n v="156"/>
    <n v="16"/>
    <n v="197.44637510000001"/>
    <m/>
    <m/>
    <m/>
    <m/>
    <n v="197.43769890000101"/>
    <n v="197.44637510000001"/>
    <n v="197.946863599994"/>
    <n v="197.946863599994"/>
    <n v="197.946863599994"/>
    <n v="199.016550800006"/>
    <s v="r"/>
    <n v="1"/>
    <n v="1.06078200001502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Chair"/>
    <s v="I"/>
    <x v="0"/>
    <s v="neutral"/>
    <s v="green"/>
    <s v="g"/>
    <n v="157"/>
    <n v="17"/>
    <n v="7"/>
    <s v="g"/>
    <n v="1"/>
    <n v="0.80317610001657103"/>
    <s v="None"/>
    <n v="7"/>
    <n v="17"/>
    <n v="157"/>
    <n v="10"/>
    <n v="199.02943090000099"/>
    <m/>
    <m/>
    <m/>
    <m/>
    <n v="199.01999440003399"/>
    <n v="199.02943090000099"/>
    <n v="199.530469099991"/>
    <n v="199.530469099991"/>
    <n v="199.530469099991"/>
    <n v="200.35012830002199"/>
    <s v="g"/>
    <n v="1"/>
    <n v="0.803176100016571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Injury"/>
    <s v="I"/>
    <x v="1"/>
    <s v="emotional"/>
    <s v="green"/>
    <s v="g"/>
    <n v="158"/>
    <n v="18"/>
    <n v="7"/>
    <s v="g"/>
    <n v="1"/>
    <n v="0.55587809998542004"/>
    <s v="None"/>
    <n v="7"/>
    <n v="18"/>
    <n v="158"/>
    <n v="6"/>
    <n v="200.36325530003501"/>
    <m/>
    <m/>
    <m/>
    <m/>
    <n v="200.35264490003399"/>
    <n v="200.36325530003501"/>
    <n v="200.86331929999801"/>
    <n v="200.86331929999801"/>
    <n v="200.86331929999801"/>
    <n v="201.434026000031"/>
    <s v="g"/>
    <n v="1"/>
    <n v="0.5558780999854200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Window"/>
    <s v="I"/>
    <x v="0"/>
    <s v="neutral"/>
    <s v="red"/>
    <s v="r"/>
    <n v="159"/>
    <n v="19"/>
    <n v="7"/>
    <s v="r"/>
    <n v="1"/>
    <n v="0.69315910001751002"/>
    <s v="None"/>
    <n v="7"/>
    <n v="19"/>
    <n v="159"/>
    <n v="12"/>
    <n v="201.44606580003099"/>
    <m/>
    <m/>
    <m/>
    <m/>
    <n v="201.437772500037"/>
    <n v="201.44606580003099"/>
    <n v="201.946536800009"/>
    <n v="201.946536800009"/>
    <n v="201.946536800009"/>
    <n v="202.65088080003599"/>
    <s v="r"/>
    <n v="1"/>
    <n v="0.693159100017510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Injury"/>
    <s v="I"/>
    <x v="1"/>
    <s v="emotional"/>
    <s v="green"/>
    <s v="g"/>
    <n v="160"/>
    <n v="0"/>
    <n v="8"/>
    <s v="g"/>
    <n v="1"/>
    <n v="0.835168100020382"/>
    <s v="None"/>
    <n v="8"/>
    <n v="0"/>
    <n v="160"/>
    <n v="6"/>
    <n v="202.66404490004001"/>
    <m/>
    <m/>
    <m/>
    <m/>
    <n v="202.654826499987"/>
    <n v="202.66404490004001"/>
    <n v="203.162946800002"/>
    <n v="203.162946800002"/>
    <n v="203.162946800002"/>
    <n v="203.99992370000101"/>
    <s v="g"/>
    <n v="1"/>
    <n v="0.83516810002038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Violence"/>
    <s v="I"/>
    <x v="1"/>
    <s v="emotional"/>
    <s v="blue"/>
    <s v="b"/>
    <n v="161"/>
    <n v="1"/>
    <n v="8"/>
    <s v="b"/>
    <n v="1"/>
    <n v="0.73700090002967"/>
    <s v="None"/>
    <n v="8"/>
    <n v="1"/>
    <n v="161"/>
    <n v="9"/>
    <n v="204.012530500011"/>
    <m/>
    <m/>
    <m/>
    <m/>
    <n v="204.002765699988"/>
    <n v="204.012530500011"/>
    <n v="204.51286429999101"/>
    <n v="204.51286429999101"/>
    <n v="204.51286429999101"/>
    <n v="205.25036850001101"/>
    <s v="b"/>
    <n v="1"/>
    <n v="0.7370009000296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nic"/>
    <s v="I"/>
    <x v="1"/>
    <s v="emotional"/>
    <s v="yellow"/>
    <s v="y"/>
    <n v="162"/>
    <n v="2"/>
    <n v="8"/>
    <s v="y"/>
    <n v="1"/>
    <n v="0.81879529997240696"/>
    <s v="None"/>
    <n v="8"/>
    <n v="2"/>
    <n v="162"/>
    <n v="3"/>
    <n v="205.26260270003601"/>
    <m/>
    <m/>
    <m/>
    <m/>
    <n v="205.25385949999301"/>
    <n v="205.26260270003601"/>
    <n v="205.76326420000899"/>
    <n v="205.76326420000899"/>
    <n v="205.76326420000899"/>
    <n v="206.58423239999601"/>
    <s v="y"/>
    <n v="1"/>
    <n v="0.8187952999724069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adness"/>
    <s v="I"/>
    <x v="1"/>
    <s v="emotional"/>
    <s v="yellow"/>
    <s v="y"/>
    <n v="163"/>
    <n v="3"/>
    <n v="8"/>
    <s v="y"/>
    <n v="1"/>
    <n v="0.50565700000151903"/>
    <s v="None"/>
    <n v="8"/>
    <n v="3"/>
    <n v="163"/>
    <n v="7"/>
    <n v="206.596014900016"/>
    <m/>
    <m/>
    <m/>
    <m/>
    <n v="206.58783169998699"/>
    <n v="206.596014900016"/>
    <n v="207.096453500038"/>
    <n v="207.096453500038"/>
    <n v="207.096453500038"/>
    <n v="207.61635800002799"/>
    <s v="y"/>
    <n v="1"/>
    <n v="0.505657000001519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Death"/>
    <s v="I"/>
    <x v="1"/>
    <s v="emotional"/>
    <s v="green"/>
    <s v="g"/>
    <n v="164"/>
    <n v="4"/>
    <n v="8"/>
    <s v="g"/>
    <n v="1"/>
    <n v="0.653243899985682"/>
    <s v="None"/>
    <n v="8"/>
    <n v="4"/>
    <n v="164"/>
    <n v="2"/>
    <n v="207.63032280001701"/>
    <m/>
    <m/>
    <m/>
    <m/>
    <n v="207.61878730001601"/>
    <n v="207.63032280001701"/>
    <n v="208.130263400031"/>
    <n v="208.130263400031"/>
    <n v="208.130263400031"/>
    <n v="208.800105100031"/>
    <s v="g"/>
    <n v="1"/>
    <n v="0.65324389998568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ttle"/>
    <s v="I"/>
    <x v="0"/>
    <s v="neutral"/>
    <s v="yellow"/>
    <s v="y"/>
    <n v="165"/>
    <n v="5"/>
    <n v="8"/>
    <s v="y"/>
    <n v="1"/>
    <n v="1.2843872000230401"/>
    <s v="None"/>
    <n v="8"/>
    <n v="5"/>
    <n v="165"/>
    <n v="11"/>
    <n v="208.81260639999499"/>
    <m/>
    <m/>
    <m/>
    <m/>
    <n v="208.80303539999201"/>
    <n v="208.81260639999499"/>
    <n v="209.31310590001499"/>
    <n v="209.31310590001499"/>
    <n v="209.31310590001499"/>
    <n v="210.600846800021"/>
    <s v="y"/>
    <n v="1"/>
    <n v="1.28438720002304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buse"/>
    <s v="C"/>
    <x v="2"/>
    <s v="emotional"/>
    <s v="red"/>
    <s v="r"/>
    <n v="166"/>
    <n v="6"/>
    <n v="8"/>
    <s v="r"/>
    <n v="1"/>
    <n v="0.94023040001047697"/>
    <s v="None"/>
    <n v="8"/>
    <n v="6"/>
    <n v="166"/>
    <n v="4"/>
    <n v="210.613564900006"/>
    <m/>
    <m/>
    <m/>
    <m/>
    <n v="210.60383570002099"/>
    <n v="210.613564900006"/>
    <n v="211.114141800033"/>
    <n v="211.114141800033"/>
    <n v="211.114141800033"/>
    <n v="212.06676620000499"/>
    <s v="r"/>
    <n v="1"/>
    <n v="0.9402304000104769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Garden"/>
    <s v="I"/>
    <x v="0"/>
    <s v="neutral"/>
    <s v="red"/>
    <s v="r"/>
    <n v="167"/>
    <n v="7"/>
    <n v="8"/>
    <s v="r"/>
    <n v="1"/>
    <n v="0.46775650000199598"/>
    <s v="None"/>
    <n v="8"/>
    <n v="7"/>
    <n v="167"/>
    <n v="16"/>
    <n v="212.079330899985"/>
    <m/>
    <m/>
    <m/>
    <m/>
    <n v="212.069646999996"/>
    <n v="212.079330899985"/>
    <n v="212.580151500005"/>
    <n v="212.580151500005"/>
    <n v="212.580151500005"/>
    <n v="213.05000640003701"/>
    <s v="r"/>
    <n v="1"/>
    <n v="0.467756500001995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Window"/>
    <s v="I"/>
    <x v="0"/>
    <s v="neutral"/>
    <s v="red"/>
    <s v="r"/>
    <n v="168"/>
    <n v="8"/>
    <n v="8"/>
    <s v="r"/>
    <n v="1"/>
    <n v="0.38455979997524897"/>
    <s v="None"/>
    <n v="8"/>
    <n v="8"/>
    <n v="168"/>
    <n v="12"/>
    <n v="213.06242189998699"/>
    <m/>
    <m/>
    <m/>
    <m/>
    <n v="213.05265329999301"/>
    <n v="213.06242189998699"/>
    <n v="213.562658000038"/>
    <n v="213.562658000038"/>
    <n v="213.562658000038"/>
    <n v="213.950121200003"/>
    <s v="r"/>
    <n v="1"/>
    <n v="0.3845597999752489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encil"/>
    <s v="I"/>
    <x v="0"/>
    <s v="neutral"/>
    <s v="green"/>
    <s v="g"/>
    <n v="169"/>
    <n v="9"/>
    <n v="8"/>
    <s v="g"/>
    <n v="1"/>
    <n v="0.99489399994490602"/>
    <s v="None"/>
    <n v="8"/>
    <n v="9"/>
    <n v="169"/>
    <n v="14"/>
    <n v="213.96254320000199"/>
    <m/>
    <m/>
    <m/>
    <m/>
    <n v="213.95354080002201"/>
    <n v="213.96254320000199"/>
    <n v="214.46222710004"/>
    <n v="214.46222710004"/>
    <n v="214.46222710004"/>
    <n v="215.465498999983"/>
    <s v="g"/>
    <n v="1"/>
    <n v="0.994893999944906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Chair"/>
    <s v="I"/>
    <x v="0"/>
    <s v="neutral"/>
    <s v="green"/>
    <s v="g"/>
    <n v="170"/>
    <n v="10"/>
    <n v="8"/>
    <s v="g"/>
    <n v="1"/>
    <n v="0.551972299988847"/>
    <s v="None"/>
    <n v="8"/>
    <n v="10"/>
    <n v="170"/>
    <n v="10"/>
    <n v="215.479381000041"/>
    <m/>
    <m/>
    <m/>
    <m/>
    <n v="215.468161600001"/>
    <n v="215.479381000041"/>
    <n v="215.979313799995"/>
    <n v="215.979313799995"/>
    <n v="215.979313799995"/>
    <n v="216.53318860003401"/>
    <s v="g"/>
    <n v="1"/>
    <n v="0.55197229998884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Road"/>
    <s v="I"/>
    <x v="0"/>
    <s v="neutral"/>
    <s v="green"/>
    <s v="g"/>
    <n v="171"/>
    <n v="11"/>
    <n v="8"/>
    <s v="g"/>
    <n v="1"/>
    <n v="0.43958959996234598"/>
    <s v="None"/>
    <n v="8"/>
    <n v="11"/>
    <n v="171"/>
    <n v="18"/>
    <n v="216.54553290002499"/>
    <m/>
    <m/>
    <m/>
    <m/>
    <n v="216.53641180001401"/>
    <n v="216.54553290002499"/>
    <n v="217.04547300003401"/>
    <n v="217.04547300003401"/>
    <n v="217.04547300003401"/>
    <n v="217.500350599992"/>
    <s v="g"/>
    <n v="1"/>
    <n v="0.439589599962345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nger"/>
    <s v="C"/>
    <x v="2"/>
    <s v="emotional"/>
    <s v="red"/>
    <s v="r"/>
    <n v="172"/>
    <n v="12"/>
    <n v="8"/>
    <s v="r"/>
    <n v="1"/>
    <n v="0.66896570002427302"/>
    <s v="None"/>
    <n v="8"/>
    <n v="12"/>
    <n v="172"/>
    <n v="8"/>
    <n v="217.512925899995"/>
    <m/>
    <m/>
    <m/>
    <m/>
    <n v="217.502949699992"/>
    <n v="217.512925899995"/>
    <n v="218.012069499993"/>
    <n v="218.012069499993"/>
    <n v="218.012069499993"/>
    <n v="218.68262139998799"/>
    <s v="r"/>
    <n v="1"/>
    <n v="0.668965700024273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in"/>
    <s v="I"/>
    <x v="1"/>
    <s v="emotional"/>
    <s v="blue"/>
    <s v="b"/>
    <n v="173"/>
    <n v="13"/>
    <n v="8"/>
    <s v="b"/>
    <n v="1"/>
    <n v="0.63075379998190295"/>
    <s v="None"/>
    <n v="8"/>
    <n v="13"/>
    <n v="173"/>
    <n v="1"/>
    <n v="218.69599269999799"/>
    <m/>
    <m/>
    <m/>
    <m/>
    <n v="218.685668300022"/>
    <n v="218.69599269999799"/>
    <n v="219.19563520001199"/>
    <n v="219.19563520001199"/>
    <n v="219.19563520001199"/>
    <n v="219.83312160003601"/>
    <s v="b"/>
    <n v="1"/>
    <n v="0.6307537999819029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tone"/>
    <s v="I"/>
    <x v="0"/>
    <s v="neutral"/>
    <s v="yellow"/>
    <s v="y"/>
    <n v="174"/>
    <n v="14"/>
    <n v="8"/>
    <s v="y"/>
    <n v="1"/>
    <n v="1.0494894000003101"/>
    <s v="None"/>
    <n v="8"/>
    <n v="14"/>
    <n v="174"/>
    <n v="19"/>
    <n v="219.84566560003401"/>
    <m/>
    <m/>
    <m/>
    <m/>
    <n v="219.83569949999199"/>
    <n v="219.84566560003401"/>
    <n v="220.34570770000499"/>
    <n v="220.34570770000499"/>
    <n v="220.34570770000499"/>
    <n v="221.3998594"/>
    <s v="y"/>
    <n v="1"/>
    <n v="1.04948940000031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hreat"/>
    <s v="I"/>
    <x v="1"/>
    <s v="emotional"/>
    <s v="blue"/>
    <s v="b"/>
    <n v="175"/>
    <n v="15"/>
    <n v="8"/>
    <s v="b"/>
    <n v="1"/>
    <n v="1.17555129999527"/>
    <s v="None"/>
    <n v="8"/>
    <n v="15"/>
    <n v="175"/>
    <n v="5"/>
    <n v="221.412518500001"/>
    <m/>
    <m/>
    <m/>
    <m/>
    <n v="221.40243220003299"/>
    <n v="221.412518500001"/>
    <n v="221.91163650003699"/>
    <n v="221.91163650003699"/>
    <n v="221.91163650003699"/>
    <n v="223.09931990003599"/>
    <s v="b"/>
    <n v="1"/>
    <n v="1.1755512999952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ok"/>
    <s v="I"/>
    <x v="0"/>
    <s v="neutral"/>
    <s v="blue"/>
    <s v="b"/>
    <n v="176"/>
    <n v="16"/>
    <n v="8"/>
    <s v="b"/>
    <n v="1"/>
    <n v="0.50983330002054505"/>
    <s v="None"/>
    <n v="8"/>
    <n v="16"/>
    <n v="176"/>
    <n v="17"/>
    <n v="223.11186539998701"/>
    <m/>
    <m/>
    <m/>
    <m/>
    <n v="223.10176099999799"/>
    <n v="223.11186539998701"/>
    <n v="223.61236920004001"/>
    <n v="223.61236920004001"/>
    <n v="223.61236920004001"/>
    <n v="224.13336810003901"/>
    <s v="b"/>
    <n v="1"/>
    <n v="0.5098333000205450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Fear"/>
    <s v="C"/>
    <x v="2"/>
    <s v="emotional"/>
    <s v="red"/>
    <s v="r"/>
    <n v="177"/>
    <n v="17"/>
    <n v="8"/>
    <s v="r"/>
    <n v="1"/>
    <n v="0.94502719998126805"/>
    <s v="None"/>
    <n v="8"/>
    <n v="17"/>
    <n v="177"/>
    <n v="0"/>
    <n v="224.145272099995"/>
    <m/>
    <m/>
    <m/>
    <m/>
    <n v="224.13667420000999"/>
    <n v="224.145272099995"/>
    <n v="224.64576889999401"/>
    <n v="224.64576889999401"/>
    <n v="224.64576889999401"/>
    <n v="225.59932839998501"/>
    <s v="r"/>
    <n v="1"/>
    <n v="0.9450271999812680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able"/>
    <s v="I"/>
    <x v="0"/>
    <s v="neutral"/>
    <s v="blue"/>
    <s v="b"/>
    <n v="178"/>
    <n v="18"/>
    <n v="8"/>
    <s v="b"/>
    <n v="1"/>
    <n v="0.59976350003853396"/>
    <s v="None"/>
    <n v="8"/>
    <n v="18"/>
    <n v="178"/>
    <n v="13"/>
    <n v="225.61229499999899"/>
    <m/>
    <m/>
    <m/>
    <m/>
    <n v="225.60188100003799"/>
    <n v="225.61229499999899"/>
    <n v="226.11255770002001"/>
    <n v="226.11255770002001"/>
    <n v="226.11255770002001"/>
    <n v="226.71641490003"/>
    <s v="b"/>
    <n v="1"/>
    <n v="0.5997635000385339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per"/>
    <s v="I"/>
    <x v="0"/>
    <s v="neutral"/>
    <s v="yellow"/>
    <s v="y"/>
    <n v="179"/>
    <n v="19"/>
    <n v="8"/>
    <s v="y"/>
    <n v="1"/>
    <n v="0.84654729999601797"/>
    <s v="None"/>
    <n v="8"/>
    <n v="19"/>
    <n v="179"/>
    <n v="15"/>
    <n v="226.728927200019"/>
    <m/>
    <m/>
    <m/>
    <m/>
    <n v="226.71928740001701"/>
    <n v="226.728927200019"/>
    <n v="227.22893550002399"/>
    <n v="227.22893550002399"/>
    <n v="227.22893550002399"/>
    <n v="228.08288030000401"/>
    <s v="y"/>
    <n v="1"/>
    <n v="0.8465472999960179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Window"/>
    <s v="I"/>
    <x v="0"/>
    <s v="neutral"/>
    <s v="red"/>
    <s v="r"/>
    <n v="180"/>
    <n v="0"/>
    <n v="9"/>
    <s v="r"/>
    <n v="1"/>
    <n v="0.66080370004055999"/>
    <s v="None"/>
    <n v="9"/>
    <n v="0"/>
    <n v="180"/>
    <n v="12"/>
    <n v="228.095024999987"/>
    <m/>
    <m/>
    <m/>
    <m/>
    <n v="228.08633339998701"/>
    <n v="228.095024999987"/>
    <n v="228.59522030001901"/>
    <n v="228.59522030001901"/>
    <n v="228.59522030001901"/>
    <n v="229.26468800002399"/>
    <s v="r"/>
    <n v="1"/>
    <n v="0.66080370004055999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nger"/>
    <s v="C"/>
    <x v="2"/>
    <s v="emotional"/>
    <s v="red"/>
    <s v="r"/>
    <n v="181"/>
    <n v="1"/>
    <n v="9"/>
    <s v="r"/>
    <n v="1"/>
    <n v="0.441352499998174"/>
    <s v="None"/>
    <n v="9"/>
    <n v="1"/>
    <n v="181"/>
    <n v="8"/>
    <n v="229.27912299998499"/>
    <m/>
    <m/>
    <m/>
    <m/>
    <n v="229.26767860003699"/>
    <n v="229.27912299998499"/>
    <n v="229.77873650001101"/>
    <n v="229.77873650001101"/>
    <n v="229.77873650001101"/>
    <n v="230.23353520000799"/>
    <s v="r"/>
    <n v="1"/>
    <n v="0.44135249999817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Abuse"/>
    <s v="C"/>
    <x v="2"/>
    <s v="emotional"/>
    <s v="red"/>
    <s v="r"/>
    <n v="182"/>
    <n v="2"/>
    <n v="9"/>
    <s v="r"/>
    <n v="1"/>
    <n v="0.498802400019485"/>
    <s v="None"/>
    <n v="9"/>
    <n v="2"/>
    <n v="182"/>
    <n v="4"/>
    <n v="230.245804500009"/>
    <m/>
    <m/>
    <m/>
    <m/>
    <n v="230.23768509999999"/>
    <n v="230.245804500009"/>
    <n v="230.74539300001899"/>
    <n v="230.74539300001899"/>
    <n v="230.74539300001899"/>
    <n v="231.24975890002599"/>
    <s v="r"/>
    <n v="1"/>
    <n v="0.49880240001948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encil"/>
    <s v="I"/>
    <x v="0"/>
    <s v="neutral"/>
    <s v="green"/>
    <s v="g"/>
    <n v="183"/>
    <n v="3"/>
    <n v="9"/>
    <s v="y"/>
    <n v="0"/>
    <n v="0.65441519999876596"/>
    <s v="None"/>
    <n v="9"/>
    <n v="3"/>
    <n v="183"/>
    <n v="14"/>
    <n v="231.26162160001601"/>
    <m/>
    <m/>
    <m/>
    <m/>
    <n v="231.252562500012"/>
    <n v="231.26162160001601"/>
    <n v="231.76203750004001"/>
    <n v="231.76203750004001"/>
    <n v="231.76203750004001"/>
    <n v="232.43238529999499"/>
    <s v="y"/>
    <n v="0"/>
    <n v="0.65441519999876596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in"/>
    <s v="I"/>
    <x v="1"/>
    <s v="emotional"/>
    <s v="blue"/>
    <s v="b"/>
    <n v="184"/>
    <n v="4"/>
    <n v="9"/>
    <s v="b"/>
    <n v="1"/>
    <n v="0.84700980002526105"/>
    <s v="None"/>
    <n v="9"/>
    <n v="4"/>
    <n v="184"/>
    <n v="1"/>
    <n v="232.44499059999299"/>
    <m/>
    <m/>
    <m/>
    <m/>
    <n v="232.43497820000599"/>
    <n v="232.44499059999299"/>
    <n v="232.94484409998401"/>
    <n v="232.94484409998401"/>
    <n v="232.94484409998401"/>
    <n v="233.79931830003599"/>
    <s v="b"/>
    <n v="1"/>
    <n v="0.84700980002526105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per"/>
    <s v="I"/>
    <x v="0"/>
    <s v="neutral"/>
    <s v="yellow"/>
    <s v="y"/>
    <n v="185"/>
    <n v="5"/>
    <n v="9"/>
    <s v="y"/>
    <n v="1"/>
    <n v="0.74723259999882397"/>
    <s v="None"/>
    <n v="9"/>
    <n v="5"/>
    <n v="185"/>
    <n v="15"/>
    <n v="233.81126460002201"/>
    <m/>
    <m/>
    <m/>
    <m/>
    <n v="233.80313920002601"/>
    <n v="233.81126460002201"/>
    <n v="234.31141040002601"/>
    <n v="234.31141040002601"/>
    <n v="234.31141040002601"/>
    <n v="235.06586410000401"/>
    <s v="y"/>
    <n v="1"/>
    <n v="0.7472325999988239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ok"/>
    <s v="I"/>
    <x v="0"/>
    <s v="neutral"/>
    <s v="blue"/>
    <s v="b"/>
    <n v="186"/>
    <n v="6"/>
    <n v="9"/>
    <s v="b"/>
    <n v="1"/>
    <n v="0.69010139995953002"/>
    <s v="None"/>
    <n v="9"/>
    <n v="6"/>
    <n v="186"/>
    <n v="17"/>
    <n v="235.07867890002601"/>
    <m/>
    <m/>
    <m/>
    <m/>
    <n v="235.06826969998599"/>
    <n v="235.07867890002601"/>
    <n v="235.57859600003499"/>
    <n v="235.57859600003499"/>
    <n v="235.57859600003499"/>
    <n v="236.28255410003399"/>
    <s v="b"/>
    <n v="1"/>
    <n v="0.690101399959530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Fear"/>
    <s v="C"/>
    <x v="2"/>
    <s v="emotional"/>
    <s v="red"/>
    <s v="r"/>
    <n v="187"/>
    <n v="7"/>
    <n v="9"/>
    <s v="r"/>
    <n v="1"/>
    <n v="0.497337299981154"/>
    <s v="None"/>
    <n v="9"/>
    <n v="7"/>
    <n v="187"/>
    <n v="0"/>
    <n v="236.29496640001801"/>
    <m/>
    <m/>
    <m/>
    <m/>
    <n v="236.285710900032"/>
    <n v="236.29496640001801"/>
    <n v="236.79503790003901"/>
    <n v="236.79503790003901"/>
    <n v="236.79503790003901"/>
    <n v="237.298456999997"/>
    <s v="r"/>
    <n v="1"/>
    <n v="0.497337299981154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Bottle"/>
    <s v="I"/>
    <x v="0"/>
    <s v="neutral"/>
    <s v="yellow"/>
    <s v="y"/>
    <n v="188"/>
    <n v="8"/>
    <n v="9"/>
    <s v="y"/>
    <n v="1"/>
    <n v="0.67563409998547197"/>
    <s v="None"/>
    <n v="9"/>
    <n v="8"/>
    <n v="188"/>
    <n v="11"/>
    <n v="237.31135350000099"/>
    <m/>
    <m/>
    <m/>
    <m/>
    <n v="237.30111270002001"/>
    <n v="237.31135350000099"/>
    <n v="237.812093499989"/>
    <n v="237.812093499989"/>
    <n v="237.812093499989"/>
    <n v="238.49804520001601"/>
    <s v="y"/>
    <n v="1"/>
    <n v="0.67563409998547197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able"/>
    <s v="I"/>
    <x v="0"/>
    <s v="neutral"/>
    <s v="blue"/>
    <s v="b"/>
    <n v="189"/>
    <n v="9"/>
    <n v="9"/>
    <s v="b"/>
    <n v="1"/>
    <n v="0.74757379997754403"/>
    <s v="None"/>
    <n v="9"/>
    <n v="9"/>
    <n v="189"/>
    <n v="13"/>
    <n v="238.51157919998499"/>
    <m/>
    <m/>
    <m/>
    <m/>
    <n v="238.50062300002901"/>
    <n v="238.51157919998499"/>
    <n v="239.0118641"/>
    <n v="239.0118641"/>
    <n v="239.0118641"/>
    <n v="239.76547079999"/>
    <s v="b"/>
    <n v="1"/>
    <n v="0.747573799977544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Garden"/>
    <s v="I"/>
    <x v="0"/>
    <s v="neutral"/>
    <s v="red"/>
    <s v="r"/>
    <n v="190"/>
    <n v="10"/>
    <n v="9"/>
    <s v="r"/>
    <n v="1"/>
    <n v="0.97479509998811398"/>
    <s v="None"/>
    <n v="9"/>
    <n v="10"/>
    <n v="190"/>
    <n v="16"/>
    <n v="239.77872230001901"/>
    <m/>
    <m/>
    <m/>
    <m/>
    <n v="239.7682318"/>
    <n v="239.77872230001901"/>
    <n v="240.27843060001001"/>
    <n v="240.27843060001001"/>
    <n v="240.27843060001001"/>
    <n v="241.26520210003901"/>
    <s v="r"/>
    <n v="1"/>
    <n v="0.974795099988113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Death"/>
    <s v="I"/>
    <x v="1"/>
    <s v="emotional"/>
    <s v="green"/>
    <s v="g"/>
    <n v="191"/>
    <n v="11"/>
    <n v="9"/>
    <s v="g"/>
    <n v="1"/>
    <n v="0.46422379999421498"/>
    <s v="None"/>
    <n v="9"/>
    <n v="11"/>
    <n v="191"/>
    <n v="2"/>
    <n v="241.27906070003499"/>
    <m/>
    <m/>
    <m/>
    <m/>
    <n v="241.26781739998799"/>
    <n v="241.27906070003499"/>
    <n v="241.77766240003899"/>
    <n v="241.77766240003899"/>
    <n v="241.77766240003899"/>
    <n v="242.24818709998999"/>
    <s v="g"/>
    <n v="1"/>
    <n v="0.464223799994214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Injury"/>
    <s v="I"/>
    <x v="1"/>
    <s v="emotional"/>
    <s v="green"/>
    <s v="g"/>
    <n v="192"/>
    <n v="12"/>
    <n v="9"/>
    <s v="g"/>
    <n v="1"/>
    <n v="0.408949700009543"/>
    <s v="None"/>
    <n v="9"/>
    <n v="12"/>
    <n v="192"/>
    <n v="6"/>
    <n v="242.26106089999601"/>
    <m/>
    <m/>
    <m/>
    <m/>
    <n v="242.250777000037"/>
    <n v="242.26106089999601"/>
    <n v="242.761664999998"/>
    <n v="242.761664999998"/>
    <n v="242.761664999998"/>
    <n v="243.18320710002399"/>
    <s v="g"/>
    <n v="1"/>
    <n v="0.40894970000954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Panic"/>
    <s v="I"/>
    <x v="1"/>
    <s v="emotional"/>
    <s v="yellow"/>
    <s v="y"/>
    <n v="193"/>
    <n v="13"/>
    <n v="9"/>
    <s v="y"/>
    <n v="1"/>
    <n v="0.59620859997812603"/>
    <s v="None"/>
    <n v="9"/>
    <n v="13"/>
    <n v="193"/>
    <n v="3"/>
    <n v="243.19485949998401"/>
    <m/>
    <m/>
    <m/>
    <m/>
    <n v="243.18579570000199"/>
    <n v="243.19485949998401"/>
    <n v="243.694229400018"/>
    <n v="243.694229400018"/>
    <n v="243.694229400018"/>
    <n v="244.298722899984"/>
    <s v="y"/>
    <n v="1"/>
    <n v="0.59620859997812603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tone"/>
    <s v="I"/>
    <x v="0"/>
    <s v="neutral"/>
    <s v="yellow"/>
    <s v="y"/>
    <n v="194"/>
    <n v="14"/>
    <n v="9"/>
    <s v="y"/>
    <n v="1"/>
    <n v="0.89470860001165398"/>
    <s v="None"/>
    <n v="9"/>
    <n v="14"/>
    <n v="194"/>
    <n v="19"/>
    <n v="244.31057750002901"/>
    <m/>
    <m/>
    <m/>
    <m/>
    <n v="244.302482800034"/>
    <n v="244.31057750002901"/>
    <n v="244.81148710002799"/>
    <n v="244.81148710002799"/>
    <n v="244.81148710002799"/>
    <n v="245.71437210001699"/>
    <s v="y"/>
    <n v="1"/>
    <n v="0.894708600011653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Chair"/>
    <s v="I"/>
    <x v="0"/>
    <s v="neutral"/>
    <s v="green"/>
    <s v="g"/>
    <n v="195"/>
    <n v="15"/>
    <n v="9"/>
    <s v="g"/>
    <n v="1"/>
    <n v="0.87992320000194002"/>
    <s v="None"/>
    <n v="9"/>
    <n v="15"/>
    <n v="195"/>
    <n v="10"/>
    <n v="245.727819400024"/>
    <m/>
    <m/>
    <m/>
    <m/>
    <n v="245.71714900003201"/>
    <n v="245.727819400024"/>
    <n v="246.22797720000301"/>
    <n v="246.22797720000301"/>
    <n v="246.22797720000301"/>
    <n v="247.11529019998801"/>
    <s v="g"/>
    <n v="1"/>
    <n v="0.87992320000194002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Sadness"/>
    <s v="I"/>
    <x v="1"/>
    <s v="emotional"/>
    <s v="yellow"/>
    <s v="y"/>
    <n v="196"/>
    <n v="16"/>
    <n v="9"/>
    <s v="y"/>
    <n v="1"/>
    <n v="0.746933499991428"/>
    <s v="None"/>
    <n v="9"/>
    <n v="16"/>
    <n v="196"/>
    <n v="7"/>
    <n v="247.12828770000399"/>
    <m/>
    <m/>
    <m/>
    <m/>
    <n v="247.11794190003999"/>
    <n v="247.12828770000399"/>
    <n v="247.62775740004099"/>
    <n v="247.62775740004099"/>
    <n v="247.62775740004099"/>
    <n v="248.38160210003801"/>
    <s v="y"/>
    <n v="1"/>
    <n v="0.74693349999142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Threat"/>
    <s v="I"/>
    <x v="1"/>
    <s v="emotional"/>
    <s v="blue"/>
    <s v="b"/>
    <n v="197"/>
    <n v="17"/>
    <n v="9"/>
    <s v="b"/>
    <n v="1"/>
    <n v="0.71156169997993801"/>
    <s v="None"/>
    <n v="9"/>
    <n v="17"/>
    <n v="197"/>
    <n v="5"/>
    <n v="248.39488470001299"/>
    <m/>
    <m/>
    <m/>
    <m/>
    <n v="248.38422260002699"/>
    <n v="248.39488470001299"/>
    <n v="248.89495129999699"/>
    <n v="248.89495129999699"/>
    <n v="248.89495129999699"/>
    <n v="249.61484380002301"/>
    <s v="b"/>
    <n v="1"/>
    <n v="0.7115616999799380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Road"/>
    <s v="I"/>
    <x v="0"/>
    <s v="neutral"/>
    <s v="green"/>
    <s v="g"/>
    <n v="198"/>
    <n v="18"/>
    <n v="9"/>
    <s v="r"/>
    <n v="0"/>
    <n v="0.91161750000901498"/>
    <s v="None"/>
    <n v="9"/>
    <n v="18"/>
    <n v="198"/>
    <n v="18"/>
    <n v="249.62777260004"/>
    <m/>
    <m/>
    <m/>
    <m/>
    <n v="249.617696900037"/>
    <n v="249.62777260004"/>
    <n v="250.128101999987"/>
    <n v="250.128101999987"/>
    <n v="250.128101999987"/>
    <n v="251.04822570004001"/>
    <s v="r"/>
    <n v="0"/>
    <n v="0.91161750000901498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s v="Violence"/>
    <s v="I"/>
    <x v="1"/>
    <s v="emotional"/>
    <s v="blue"/>
    <s v="b"/>
    <n v="199"/>
    <n v="19"/>
    <n v="9"/>
    <s v="b"/>
    <n v="1"/>
    <n v="1.2940307999961"/>
    <s v="None"/>
    <n v="9"/>
    <n v="19"/>
    <n v="199"/>
    <n v="9"/>
    <n v="251.06131349998699"/>
    <m/>
    <m/>
    <m/>
    <m/>
    <n v="251.05094600003201"/>
    <n v="251.06131349998699"/>
    <n v="251.56144070002401"/>
    <n v="251.56144070002401"/>
    <n v="251.56144070002401"/>
    <n v="252.864042600034"/>
    <s v="b"/>
    <n v="1"/>
    <n v="1.2940307999961"/>
    <s v="None"/>
    <m/>
    <m/>
    <m/>
    <x v="4"/>
    <n v="1"/>
    <s v="2025-11-19_00h57.30.606"/>
    <s v="emotional stroop_untitled"/>
    <m/>
    <s v="2025.1.1"/>
    <n v="60.129904655169099"/>
    <s v="2025-11-19 00h57.36.210315 +0530"/>
    <m/>
    <m/>
  </r>
  <r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n v="252.86419880000099"/>
    <n v="252.87765839998599"/>
    <n v="253.864377600024"/>
    <x v="4"/>
    <n v="1"/>
    <s v="2025-11-19_00h57.30.606"/>
    <s v="emotional stroop_untitled"/>
    <m/>
    <s v="2025.1.1"/>
    <n v="60.129904655169099"/>
    <s v="2025-11-19 00h57.36.210315 +053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120FD-471C-4265-B52D-A20998B65F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29" firstHeaderRow="0" firstDataRow="1" firstDataCol="2"/>
  <pivotFields count="45">
    <pivotField compact="0" outline="0" showAll="0"/>
    <pivotField compact="0" outline="0" showAll="0"/>
    <pivotField axis="axisRow" compact="0" outline="0" showAll="0">
      <items count="6">
        <item x="3"/>
        <item x="2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5"/>
    <field x="2"/>
  </rowFields>
  <rowItems count="26">
    <i>
      <x/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ean RTs" fld="11" subtotal="average" baseField="2" baseItem="1" numFmtId="164"/>
    <dataField name="SD" fld="11" subtotal="stdDev" baseField="2" baseItem="1" numFmtId="164"/>
    <dataField name="n" fld="11" subtotal="count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2073-FD1D-48C9-A560-A9C016187F46}">
  <dimension ref="A1:AP202"/>
  <sheetViews>
    <sheetView workbookViewId="0">
      <selection activeCell="J1" sqref="J1"/>
    </sheetView>
  </sheetViews>
  <sheetFormatPr defaultRowHeight="14.4" x14ac:dyDescent="0.3"/>
  <cols>
    <col min="3" max="3" width="8.7773437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S2">
        <v>1.08137000352144E-2</v>
      </c>
      <c r="T2">
        <v>2.44849000009708E-2</v>
      </c>
      <c r="U2">
        <v>2.0111303000012399</v>
      </c>
      <c r="AI2">
        <v>1</v>
      </c>
      <c r="AJ2">
        <v>1</v>
      </c>
      <c r="AK2" t="s">
        <v>42</v>
      </c>
      <c r="AL2" t="s">
        <v>43</v>
      </c>
      <c r="AN2" t="s">
        <v>44</v>
      </c>
      <c r="AO2">
        <v>59.778723070926397</v>
      </c>
      <c r="AP2" t="s">
        <v>45</v>
      </c>
    </row>
    <row r="3" spans="1:42" x14ac:dyDescent="0.3">
      <c r="A3" t="s">
        <v>46</v>
      </c>
      <c r="B3" t="s">
        <v>47</v>
      </c>
      <c r="C3" t="s">
        <v>48</v>
      </c>
      <c r="D3" t="s">
        <v>49</v>
      </c>
      <c r="E3" t="s">
        <v>50</v>
      </c>
      <c r="F3">
        <v>0</v>
      </c>
      <c r="G3">
        <v>0</v>
      </c>
      <c r="H3">
        <v>0</v>
      </c>
      <c r="I3" t="s">
        <v>50</v>
      </c>
      <c r="J3">
        <v>1</v>
      </c>
      <c r="K3">
        <v>1.5350409999955399</v>
      </c>
      <c r="L3" t="s">
        <v>51</v>
      </c>
      <c r="M3">
        <v>0</v>
      </c>
      <c r="N3">
        <v>0</v>
      </c>
      <c r="O3">
        <v>0</v>
      </c>
      <c r="P3">
        <v>19</v>
      </c>
      <c r="Q3">
        <v>2.0573283000267102</v>
      </c>
      <c r="V3">
        <v>2.03979060001438</v>
      </c>
      <c r="W3">
        <v>2.0573283000267102</v>
      </c>
      <c r="X3">
        <v>2.50791889999527</v>
      </c>
      <c r="Y3">
        <v>2.50791889999527</v>
      </c>
      <c r="Z3">
        <v>2.50791889999527</v>
      </c>
      <c r="AA3">
        <v>4.0750645000371097</v>
      </c>
      <c r="AB3" t="s">
        <v>50</v>
      </c>
      <c r="AC3">
        <v>1</v>
      </c>
      <c r="AD3">
        <v>1.5350409999955399</v>
      </c>
      <c r="AE3" t="s">
        <v>51</v>
      </c>
      <c r="AI3">
        <v>1</v>
      </c>
      <c r="AJ3">
        <v>1</v>
      </c>
      <c r="AK3" t="s">
        <v>42</v>
      </c>
      <c r="AL3" t="s">
        <v>43</v>
      </c>
      <c r="AN3" t="s">
        <v>44</v>
      </c>
      <c r="AO3">
        <v>59.778723070926397</v>
      </c>
      <c r="AP3" t="s">
        <v>45</v>
      </c>
    </row>
    <row r="4" spans="1:42" x14ac:dyDescent="0.3">
      <c r="A4" t="s">
        <v>52</v>
      </c>
      <c r="B4" t="s">
        <v>47</v>
      </c>
      <c r="C4" t="s">
        <v>53</v>
      </c>
      <c r="D4" t="s">
        <v>49</v>
      </c>
      <c r="E4" t="s">
        <v>54</v>
      </c>
      <c r="F4">
        <v>1</v>
      </c>
      <c r="G4">
        <v>1</v>
      </c>
      <c r="H4">
        <v>0</v>
      </c>
      <c r="I4" t="s">
        <v>54</v>
      </c>
      <c r="J4">
        <v>1</v>
      </c>
      <c r="K4">
        <v>1.4325543000013501</v>
      </c>
      <c r="L4" t="s">
        <v>51</v>
      </c>
      <c r="M4">
        <v>0</v>
      </c>
      <c r="N4">
        <v>1</v>
      </c>
      <c r="O4">
        <v>1</v>
      </c>
      <c r="P4">
        <v>14</v>
      </c>
      <c r="Q4">
        <v>4.0906036000233099</v>
      </c>
      <c r="V4">
        <v>4.0786190000362597</v>
      </c>
      <c r="W4">
        <v>4.0906036000233099</v>
      </c>
      <c r="X4">
        <v>4.57514000002993</v>
      </c>
      <c r="Y4">
        <v>4.57514000002993</v>
      </c>
      <c r="Z4">
        <v>4.57514000002993</v>
      </c>
      <c r="AA4">
        <v>6.01180460001342</v>
      </c>
      <c r="AB4" t="s">
        <v>54</v>
      </c>
      <c r="AC4">
        <v>1</v>
      </c>
      <c r="AD4">
        <v>1.4325543000013501</v>
      </c>
      <c r="AE4" t="s">
        <v>51</v>
      </c>
      <c r="AI4">
        <v>1</v>
      </c>
      <c r="AJ4">
        <v>1</v>
      </c>
      <c r="AK4" t="s">
        <v>42</v>
      </c>
      <c r="AL4" t="s">
        <v>43</v>
      </c>
      <c r="AN4" t="s">
        <v>44</v>
      </c>
      <c r="AO4">
        <v>59.778723070926397</v>
      </c>
      <c r="AP4" t="s">
        <v>45</v>
      </c>
    </row>
    <row r="5" spans="1:42" x14ac:dyDescent="0.3">
      <c r="A5" t="s">
        <v>55</v>
      </c>
      <c r="B5" t="s">
        <v>47</v>
      </c>
      <c r="C5" t="s">
        <v>56</v>
      </c>
      <c r="D5" t="s">
        <v>49</v>
      </c>
      <c r="E5" t="s">
        <v>57</v>
      </c>
      <c r="F5">
        <v>2</v>
      </c>
      <c r="G5">
        <v>2</v>
      </c>
      <c r="H5">
        <v>0</v>
      </c>
      <c r="I5" t="s">
        <v>57</v>
      </c>
      <c r="J5">
        <v>1</v>
      </c>
      <c r="K5">
        <v>1.0838545000297</v>
      </c>
      <c r="L5" t="s">
        <v>51</v>
      </c>
      <c r="M5">
        <v>0</v>
      </c>
      <c r="N5">
        <v>2</v>
      </c>
      <c r="O5">
        <v>2</v>
      </c>
      <c r="P5">
        <v>13</v>
      </c>
      <c r="Q5">
        <v>6.0248994000139602</v>
      </c>
      <c r="V5">
        <v>6.01459690002957</v>
      </c>
      <c r="W5">
        <v>6.0248994000139602</v>
      </c>
      <c r="X5">
        <v>6.5245110000250799</v>
      </c>
      <c r="Y5">
        <v>6.5245110000250799</v>
      </c>
      <c r="Z5">
        <v>6.5245110000250799</v>
      </c>
      <c r="AA5">
        <v>7.6111892000189902</v>
      </c>
      <c r="AB5" t="s">
        <v>57</v>
      </c>
      <c r="AC5">
        <v>1</v>
      </c>
      <c r="AD5">
        <v>1.0838545000297</v>
      </c>
      <c r="AE5" t="s">
        <v>51</v>
      </c>
      <c r="AI5">
        <v>1</v>
      </c>
      <c r="AJ5">
        <v>1</v>
      </c>
      <c r="AK5" t="s">
        <v>42</v>
      </c>
      <c r="AL5" t="s">
        <v>43</v>
      </c>
      <c r="AN5" t="s">
        <v>44</v>
      </c>
      <c r="AO5">
        <v>59.778723070926397</v>
      </c>
      <c r="AP5" t="s">
        <v>45</v>
      </c>
    </row>
    <row r="6" spans="1:42" x14ac:dyDescent="0.3">
      <c r="A6" t="s">
        <v>58</v>
      </c>
      <c r="B6" t="s">
        <v>59</v>
      </c>
      <c r="C6" t="s">
        <v>48</v>
      </c>
      <c r="D6" t="s">
        <v>49</v>
      </c>
      <c r="E6" t="s">
        <v>50</v>
      </c>
      <c r="F6">
        <v>3</v>
      </c>
      <c r="G6">
        <v>3</v>
      </c>
      <c r="H6">
        <v>0</v>
      </c>
      <c r="I6" t="s">
        <v>50</v>
      </c>
      <c r="J6">
        <v>1</v>
      </c>
      <c r="K6">
        <v>0.73963969998294399</v>
      </c>
      <c r="L6" t="s">
        <v>51</v>
      </c>
      <c r="M6">
        <v>0</v>
      </c>
      <c r="N6">
        <v>3</v>
      </c>
      <c r="O6">
        <v>3</v>
      </c>
      <c r="P6">
        <v>7</v>
      </c>
      <c r="Q6">
        <v>7.6242268999922</v>
      </c>
      <c r="V6">
        <v>7.6140269000316003</v>
      </c>
      <c r="W6">
        <v>7.6242268999922</v>
      </c>
      <c r="X6">
        <v>8.1242010000278206</v>
      </c>
      <c r="Y6">
        <v>8.1242010000278206</v>
      </c>
      <c r="Z6">
        <v>8.1242010000278206</v>
      </c>
      <c r="AA6">
        <v>8.8773404000094107</v>
      </c>
      <c r="AB6" t="s">
        <v>50</v>
      </c>
      <c r="AC6">
        <v>1</v>
      </c>
      <c r="AD6">
        <v>0.73963969998294399</v>
      </c>
      <c r="AE6" t="s">
        <v>51</v>
      </c>
      <c r="AI6">
        <v>1</v>
      </c>
      <c r="AJ6">
        <v>1</v>
      </c>
      <c r="AK6" t="s">
        <v>42</v>
      </c>
      <c r="AL6" t="s">
        <v>43</v>
      </c>
      <c r="AN6" t="s">
        <v>44</v>
      </c>
      <c r="AO6">
        <v>59.778723070926397</v>
      </c>
      <c r="AP6" t="s">
        <v>45</v>
      </c>
    </row>
    <row r="7" spans="1:42" x14ac:dyDescent="0.3">
      <c r="A7" t="s">
        <v>60</v>
      </c>
      <c r="B7" t="s">
        <v>59</v>
      </c>
      <c r="C7" t="s">
        <v>61</v>
      </c>
      <c r="D7" t="s">
        <v>62</v>
      </c>
      <c r="E7" t="s">
        <v>63</v>
      </c>
      <c r="F7">
        <v>4</v>
      </c>
      <c r="G7">
        <v>4</v>
      </c>
      <c r="H7">
        <v>0</v>
      </c>
      <c r="I7" t="s">
        <v>63</v>
      </c>
      <c r="J7">
        <v>1</v>
      </c>
      <c r="K7">
        <v>1.46953579998807</v>
      </c>
      <c r="L7" t="s">
        <v>51</v>
      </c>
      <c r="M7">
        <v>0</v>
      </c>
      <c r="N7">
        <v>4</v>
      </c>
      <c r="O7">
        <v>4</v>
      </c>
      <c r="P7">
        <v>0</v>
      </c>
      <c r="Q7">
        <v>8.8905826000263897</v>
      </c>
      <c r="V7">
        <v>8.8825997000094503</v>
      </c>
      <c r="W7">
        <v>8.8905826000263897</v>
      </c>
      <c r="X7">
        <v>9.3916086000390298</v>
      </c>
      <c r="Y7">
        <v>9.3916086000390298</v>
      </c>
      <c r="Z7">
        <v>9.3916086000390298</v>
      </c>
      <c r="AA7">
        <v>10.861720899992999</v>
      </c>
      <c r="AB7" t="s">
        <v>63</v>
      </c>
      <c r="AC7">
        <v>1</v>
      </c>
      <c r="AD7">
        <v>1.46953579998807</v>
      </c>
      <c r="AE7" t="s">
        <v>51</v>
      </c>
      <c r="AI7">
        <v>1</v>
      </c>
      <c r="AJ7">
        <v>1</v>
      </c>
      <c r="AK7" t="s">
        <v>42</v>
      </c>
      <c r="AL7" t="s">
        <v>43</v>
      </c>
      <c r="AN7" t="s">
        <v>44</v>
      </c>
      <c r="AO7">
        <v>59.778723070926397</v>
      </c>
      <c r="AP7" t="s">
        <v>45</v>
      </c>
    </row>
    <row r="8" spans="1:42" x14ac:dyDescent="0.3">
      <c r="A8" t="s">
        <v>64</v>
      </c>
      <c r="B8" t="s">
        <v>47</v>
      </c>
      <c r="C8" t="s">
        <v>53</v>
      </c>
      <c r="D8" t="s">
        <v>49</v>
      </c>
      <c r="E8" t="s">
        <v>54</v>
      </c>
      <c r="F8">
        <v>5</v>
      </c>
      <c r="G8">
        <v>5</v>
      </c>
      <c r="H8">
        <v>0</v>
      </c>
      <c r="I8" t="s">
        <v>54</v>
      </c>
      <c r="J8">
        <v>1</v>
      </c>
      <c r="K8">
        <v>1.62222599994856</v>
      </c>
      <c r="L8" t="s">
        <v>51</v>
      </c>
      <c r="M8">
        <v>0</v>
      </c>
      <c r="N8">
        <v>5</v>
      </c>
      <c r="O8">
        <v>5</v>
      </c>
      <c r="P8">
        <v>18</v>
      </c>
      <c r="Q8">
        <v>10.8728338000364</v>
      </c>
      <c r="V8">
        <v>10.865294900024301</v>
      </c>
      <c r="W8">
        <v>10.8728338000364</v>
      </c>
      <c r="X8">
        <v>11.3733613000367</v>
      </c>
      <c r="Y8">
        <v>11.3733613000367</v>
      </c>
      <c r="Z8">
        <v>11.3733613000367</v>
      </c>
      <c r="AA8">
        <v>12.996382500045</v>
      </c>
      <c r="AB8" t="s">
        <v>54</v>
      </c>
      <c r="AC8">
        <v>1</v>
      </c>
      <c r="AD8">
        <v>1.62222599994856</v>
      </c>
      <c r="AE8" t="s">
        <v>51</v>
      </c>
      <c r="AI8">
        <v>1</v>
      </c>
      <c r="AJ8">
        <v>1</v>
      </c>
      <c r="AK8" t="s">
        <v>42</v>
      </c>
      <c r="AL8" t="s">
        <v>43</v>
      </c>
      <c r="AN8" t="s">
        <v>44</v>
      </c>
      <c r="AO8">
        <v>59.778723070926397</v>
      </c>
      <c r="AP8" t="s">
        <v>45</v>
      </c>
    </row>
    <row r="9" spans="1:42" x14ac:dyDescent="0.3">
      <c r="A9" t="s">
        <v>65</v>
      </c>
      <c r="B9" t="s">
        <v>59</v>
      </c>
      <c r="C9" t="s">
        <v>56</v>
      </c>
      <c r="D9" t="s">
        <v>49</v>
      </c>
      <c r="E9" t="s">
        <v>57</v>
      </c>
      <c r="F9">
        <v>6</v>
      </c>
      <c r="G9">
        <v>6</v>
      </c>
      <c r="H9">
        <v>0</v>
      </c>
      <c r="I9" t="s">
        <v>57</v>
      </c>
      <c r="J9">
        <v>1</v>
      </c>
      <c r="K9">
        <v>1.2838648000033499</v>
      </c>
      <c r="L9" t="s">
        <v>51</v>
      </c>
      <c r="M9">
        <v>0</v>
      </c>
      <c r="N9">
        <v>6</v>
      </c>
      <c r="O9">
        <v>6</v>
      </c>
      <c r="P9">
        <v>9</v>
      </c>
      <c r="Q9">
        <v>13.024639500014001</v>
      </c>
      <c r="V9">
        <v>13.002851500001199</v>
      </c>
      <c r="W9">
        <v>13.024639500014001</v>
      </c>
      <c r="X9">
        <v>13.5075027000275</v>
      </c>
      <c r="Y9">
        <v>13.5075027000275</v>
      </c>
      <c r="Z9">
        <v>13.5075027000275</v>
      </c>
      <c r="AA9">
        <v>14.794316000014</v>
      </c>
      <c r="AB9" t="s">
        <v>57</v>
      </c>
      <c r="AC9">
        <v>1</v>
      </c>
      <c r="AD9">
        <v>1.2838648000033499</v>
      </c>
      <c r="AE9" t="s">
        <v>51</v>
      </c>
      <c r="AI9">
        <v>1</v>
      </c>
      <c r="AJ9">
        <v>1</v>
      </c>
      <c r="AK9" t="s">
        <v>42</v>
      </c>
      <c r="AL9" t="s">
        <v>43</v>
      </c>
      <c r="AN9" t="s">
        <v>44</v>
      </c>
      <c r="AO9">
        <v>59.778723070926397</v>
      </c>
      <c r="AP9" t="s">
        <v>45</v>
      </c>
    </row>
    <row r="10" spans="1:42" x14ac:dyDescent="0.3">
      <c r="A10" t="s">
        <v>66</v>
      </c>
      <c r="B10" t="s">
        <v>47</v>
      </c>
      <c r="C10" t="s">
        <v>61</v>
      </c>
      <c r="D10" t="s">
        <v>49</v>
      </c>
      <c r="E10" t="s">
        <v>63</v>
      </c>
      <c r="F10">
        <v>7</v>
      </c>
      <c r="G10">
        <v>7</v>
      </c>
      <c r="H10">
        <v>0</v>
      </c>
      <c r="I10" t="s">
        <v>63</v>
      </c>
      <c r="J10">
        <v>1</v>
      </c>
      <c r="K10">
        <v>0.78497129998868298</v>
      </c>
      <c r="L10" t="s">
        <v>51</v>
      </c>
      <c r="M10">
        <v>0</v>
      </c>
      <c r="N10">
        <v>7</v>
      </c>
      <c r="O10">
        <v>7</v>
      </c>
      <c r="P10">
        <v>12</v>
      </c>
      <c r="Q10">
        <v>14.807522899995</v>
      </c>
      <c r="V10">
        <v>14.797185000032099</v>
      </c>
      <c r="W10">
        <v>14.807522899995</v>
      </c>
      <c r="X10">
        <v>15.307940400030899</v>
      </c>
      <c r="Y10">
        <v>15.307940400030899</v>
      </c>
      <c r="Z10">
        <v>15.307940400030899</v>
      </c>
      <c r="AA10">
        <v>16.094762600027</v>
      </c>
      <c r="AB10" t="s">
        <v>63</v>
      </c>
      <c r="AC10">
        <v>1</v>
      </c>
      <c r="AD10">
        <v>0.78497129998868298</v>
      </c>
      <c r="AE10" t="s">
        <v>51</v>
      </c>
      <c r="AI10">
        <v>1</v>
      </c>
      <c r="AJ10">
        <v>1</v>
      </c>
      <c r="AK10" t="s">
        <v>42</v>
      </c>
      <c r="AL10" t="s">
        <v>43</v>
      </c>
      <c r="AN10" t="s">
        <v>44</v>
      </c>
      <c r="AO10">
        <v>59.778723070926397</v>
      </c>
      <c r="AP10" t="s">
        <v>45</v>
      </c>
    </row>
    <row r="11" spans="1:42" x14ac:dyDescent="0.3">
      <c r="A11" t="s">
        <v>67</v>
      </c>
      <c r="B11" t="s">
        <v>47</v>
      </c>
      <c r="C11" t="s">
        <v>53</v>
      </c>
      <c r="D11" t="s">
        <v>49</v>
      </c>
      <c r="E11" t="s">
        <v>54</v>
      </c>
      <c r="F11">
        <v>8</v>
      </c>
      <c r="G11">
        <v>8</v>
      </c>
      <c r="H11">
        <v>0</v>
      </c>
      <c r="I11" t="s">
        <v>54</v>
      </c>
      <c r="J11">
        <v>1</v>
      </c>
      <c r="K11">
        <v>0.99462939996737898</v>
      </c>
      <c r="L11" t="s">
        <v>51</v>
      </c>
      <c r="M11">
        <v>0</v>
      </c>
      <c r="N11">
        <v>8</v>
      </c>
      <c r="O11">
        <v>8</v>
      </c>
      <c r="P11">
        <v>10</v>
      </c>
      <c r="Q11">
        <v>16.107440599996998</v>
      </c>
      <c r="V11">
        <v>16.097870199999299</v>
      </c>
      <c r="W11">
        <v>16.107440599996998</v>
      </c>
      <c r="X11">
        <v>16.607389200013099</v>
      </c>
      <c r="Y11">
        <v>16.607389200013099</v>
      </c>
      <c r="Z11">
        <v>16.607389200013099</v>
      </c>
      <c r="AA11">
        <v>17.611020500015002</v>
      </c>
      <c r="AB11" t="s">
        <v>54</v>
      </c>
      <c r="AC11">
        <v>1</v>
      </c>
      <c r="AD11">
        <v>0.99462939996737898</v>
      </c>
      <c r="AE11" t="s">
        <v>51</v>
      </c>
      <c r="AI11">
        <v>1</v>
      </c>
      <c r="AJ11">
        <v>1</v>
      </c>
      <c r="AK11" t="s">
        <v>42</v>
      </c>
      <c r="AL11" t="s">
        <v>43</v>
      </c>
      <c r="AN11" t="s">
        <v>44</v>
      </c>
      <c r="AO11">
        <v>59.778723070926397</v>
      </c>
      <c r="AP11" t="s">
        <v>45</v>
      </c>
    </row>
    <row r="12" spans="1:42" x14ac:dyDescent="0.3">
      <c r="A12" t="s">
        <v>68</v>
      </c>
      <c r="B12" t="s">
        <v>59</v>
      </c>
      <c r="C12" t="s">
        <v>53</v>
      </c>
      <c r="D12" t="s">
        <v>49</v>
      </c>
      <c r="E12" t="s">
        <v>54</v>
      </c>
      <c r="F12">
        <v>9</v>
      </c>
      <c r="G12">
        <v>9</v>
      </c>
      <c r="H12">
        <v>0</v>
      </c>
      <c r="I12" t="s">
        <v>54</v>
      </c>
      <c r="J12">
        <v>1</v>
      </c>
      <c r="K12">
        <v>0.70482320000883103</v>
      </c>
      <c r="L12" t="s">
        <v>51</v>
      </c>
      <c r="M12">
        <v>0</v>
      </c>
      <c r="N12">
        <v>9</v>
      </c>
      <c r="O12">
        <v>9</v>
      </c>
      <c r="P12">
        <v>6</v>
      </c>
      <c r="Q12">
        <v>17.623411800013798</v>
      </c>
      <c r="V12">
        <v>17.616250200022399</v>
      </c>
      <c r="W12">
        <v>17.623411800013798</v>
      </c>
      <c r="X12">
        <v>18.123588300019001</v>
      </c>
      <c r="Y12">
        <v>18.123588300019001</v>
      </c>
      <c r="Z12">
        <v>18.123588300019001</v>
      </c>
      <c r="AA12">
        <v>18.844352999993099</v>
      </c>
      <c r="AB12" t="s">
        <v>54</v>
      </c>
      <c r="AC12">
        <v>1</v>
      </c>
      <c r="AD12">
        <v>0.70482320000883103</v>
      </c>
      <c r="AE12" t="s">
        <v>51</v>
      </c>
      <c r="AI12">
        <v>1</v>
      </c>
      <c r="AJ12">
        <v>1</v>
      </c>
      <c r="AK12" t="s">
        <v>42</v>
      </c>
      <c r="AL12" t="s">
        <v>43</v>
      </c>
      <c r="AN12" t="s">
        <v>44</v>
      </c>
      <c r="AO12">
        <v>59.778723070926397</v>
      </c>
      <c r="AP12" t="s">
        <v>45</v>
      </c>
    </row>
    <row r="13" spans="1:42" x14ac:dyDescent="0.3">
      <c r="A13" t="s">
        <v>69</v>
      </c>
      <c r="B13" t="s">
        <v>59</v>
      </c>
      <c r="C13" t="s">
        <v>56</v>
      </c>
      <c r="D13" t="s">
        <v>49</v>
      </c>
      <c r="E13" t="s">
        <v>57</v>
      </c>
      <c r="F13">
        <v>10</v>
      </c>
      <c r="G13">
        <v>10</v>
      </c>
      <c r="H13">
        <v>0</v>
      </c>
      <c r="I13" t="s">
        <v>57</v>
      </c>
      <c r="J13">
        <v>1</v>
      </c>
      <c r="K13">
        <v>1.30152959999395</v>
      </c>
      <c r="L13" t="s">
        <v>51</v>
      </c>
      <c r="M13">
        <v>0</v>
      </c>
      <c r="N13">
        <v>10</v>
      </c>
      <c r="O13">
        <v>10</v>
      </c>
      <c r="P13">
        <v>5</v>
      </c>
      <c r="Q13">
        <v>18.858561400033</v>
      </c>
      <c r="V13">
        <v>18.847476200025898</v>
      </c>
      <c r="W13">
        <v>18.858561400033</v>
      </c>
      <c r="X13">
        <v>19.357572900014901</v>
      </c>
      <c r="Y13">
        <v>19.357572900014901</v>
      </c>
      <c r="Z13">
        <v>19.357572900014901</v>
      </c>
      <c r="AA13">
        <v>20.661642400023901</v>
      </c>
      <c r="AB13" t="s">
        <v>57</v>
      </c>
      <c r="AC13">
        <v>1</v>
      </c>
      <c r="AD13">
        <v>1.30152959999395</v>
      </c>
      <c r="AE13" t="s">
        <v>51</v>
      </c>
      <c r="AI13">
        <v>1</v>
      </c>
      <c r="AJ13">
        <v>1</v>
      </c>
      <c r="AK13" t="s">
        <v>42</v>
      </c>
      <c r="AL13" t="s">
        <v>43</v>
      </c>
      <c r="AN13" t="s">
        <v>44</v>
      </c>
      <c r="AO13">
        <v>59.778723070926397</v>
      </c>
      <c r="AP13" t="s">
        <v>45</v>
      </c>
    </row>
    <row r="14" spans="1:42" x14ac:dyDescent="0.3">
      <c r="A14" t="s">
        <v>70</v>
      </c>
      <c r="B14" t="s">
        <v>59</v>
      </c>
      <c r="C14" t="s">
        <v>53</v>
      </c>
      <c r="D14" t="s">
        <v>49</v>
      </c>
      <c r="E14" t="s">
        <v>54</v>
      </c>
      <c r="F14">
        <v>11</v>
      </c>
      <c r="G14">
        <v>11</v>
      </c>
      <c r="H14">
        <v>0</v>
      </c>
      <c r="I14" t="s">
        <v>54</v>
      </c>
      <c r="J14">
        <v>1</v>
      </c>
      <c r="K14">
        <v>1.7711194999865201</v>
      </c>
      <c r="L14" t="s">
        <v>51</v>
      </c>
      <c r="M14">
        <v>0</v>
      </c>
      <c r="N14">
        <v>11</v>
      </c>
      <c r="O14">
        <v>11</v>
      </c>
      <c r="P14">
        <v>2</v>
      </c>
      <c r="Q14">
        <v>20.689859100035299</v>
      </c>
      <c r="V14">
        <v>20.668219600047401</v>
      </c>
      <c r="W14">
        <v>20.689859100035299</v>
      </c>
      <c r="X14">
        <v>21.173336400010101</v>
      </c>
      <c r="Y14">
        <v>21.173336400010101</v>
      </c>
      <c r="Z14">
        <v>21.173336400010101</v>
      </c>
      <c r="AA14">
        <v>22.962265600042802</v>
      </c>
      <c r="AB14" t="s">
        <v>54</v>
      </c>
      <c r="AC14">
        <v>1</v>
      </c>
      <c r="AD14">
        <v>1.7711194999865201</v>
      </c>
      <c r="AE14" t="s">
        <v>51</v>
      </c>
      <c r="AI14">
        <v>1</v>
      </c>
      <c r="AJ14">
        <v>1</v>
      </c>
      <c r="AK14" t="s">
        <v>42</v>
      </c>
      <c r="AL14" t="s">
        <v>43</v>
      </c>
      <c r="AN14" t="s">
        <v>44</v>
      </c>
      <c r="AO14">
        <v>59.778723070926397</v>
      </c>
      <c r="AP14" t="s">
        <v>45</v>
      </c>
    </row>
    <row r="15" spans="1:42" x14ac:dyDescent="0.3">
      <c r="A15" t="s">
        <v>71</v>
      </c>
      <c r="B15" t="s">
        <v>47</v>
      </c>
      <c r="C15" t="s">
        <v>48</v>
      </c>
      <c r="D15" t="s">
        <v>49</v>
      </c>
      <c r="E15" t="s">
        <v>50</v>
      </c>
      <c r="F15">
        <v>12</v>
      </c>
      <c r="G15">
        <v>12</v>
      </c>
      <c r="H15">
        <v>0</v>
      </c>
      <c r="I15" t="s">
        <v>50</v>
      </c>
      <c r="J15">
        <v>1</v>
      </c>
      <c r="K15">
        <v>1.0291376999812201</v>
      </c>
      <c r="L15" t="s">
        <v>51</v>
      </c>
      <c r="M15">
        <v>0</v>
      </c>
      <c r="N15">
        <v>12</v>
      </c>
      <c r="O15">
        <v>12</v>
      </c>
      <c r="P15">
        <v>15</v>
      </c>
      <c r="Q15">
        <v>22.9742561000166</v>
      </c>
      <c r="V15">
        <v>22.966379499994201</v>
      </c>
      <c r="W15">
        <v>22.9742561000166</v>
      </c>
      <c r="X15">
        <v>23.473785700043599</v>
      </c>
      <c r="Y15">
        <v>23.473785700043599</v>
      </c>
      <c r="Z15">
        <v>23.473785700043599</v>
      </c>
      <c r="AA15">
        <v>24.510514700028502</v>
      </c>
      <c r="AB15" t="s">
        <v>50</v>
      </c>
      <c r="AC15">
        <v>1</v>
      </c>
      <c r="AD15">
        <v>1.0291376999812201</v>
      </c>
      <c r="AE15" t="s">
        <v>51</v>
      </c>
      <c r="AI15">
        <v>1</v>
      </c>
      <c r="AJ15">
        <v>1</v>
      </c>
      <c r="AK15" t="s">
        <v>42</v>
      </c>
      <c r="AL15" t="s">
        <v>43</v>
      </c>
      <c r="AN15" t="s">
        <v>44</v>
      </c>
      <c r="AO15">
        <v>59.778723070926397</v>
      </c>
      <c r="AP15" t="s">
        <v>45</v>
      </c>
    </row>
    <row r="16" spans="1:42" x14ac:dyDescent="0.3">
      <c r="A16" t="s">
        <v>72</v>
      </c>
      <c r="B16" t="s">
        <v>59</v>
      </c>
      <c r="C16" t="s">
        <v>61</v>
      </c>
      <c r="D16" t="s">
        <v>62</v>
      </c>
      <c r="E16" t="s">
        <v>63</v>
      </c>
      <c r="F16">
        <v>13</v>
      </c>
      <c r="G16">
        <v>13</v>
      </c>
      <c r="H16">
        <v>0</v>
      </c>
      <c r="I16" t="s">
        <v>63</v>
      </c>
      <c r="J16">
        <v>1</v>
      </c>
      <c r="K16">
        <v>0.96321910002734501</v>
      </c>
      <c r="L16" t="s">
        <v>51</v>
      </c>
      <c r="M16">
        <v>0</v>
      </c>
      <c r="N16">
        <v>13</v>
      </c>
      <c r="O16">
        <v>13</v>
      </c>
      <c r="P16">
        <v>8</v>
      </c>
      <c r="Q16">
        <v>24.523327700037001</v>
      </c>
      <c r="V16">
        <v>24.513577700010501</v>
      </c>
      <c r="W16">
        <v>24.523327700037001</v>
      </c>
      <c r="X16">
        <v>25.0237120999954</v>
      </c>
      <c r="Y16">
        <v>25.0237120999954</v>
      </c>
      <c r="Z16">
        <v>25.0237120999954</v>
      </c>
      <c r="AA16">
        <v>25.9939701000112</v>
      </c>
      <c r="AB16" t="s">
        <v>63</v>
      </c>
      <c r="AC16">
        <v>1</v>
      </c>
      <c r="AD16">
        <v>0.96321910002734501</v>
      </c>
      <c r="AE16" t="s">
        <v>51</v>
      </c>
      <c r="AI16">
        <v>1</v>
      </c>
      <c r="AJ16">
        <v>1</v>
      </c>
      <c r="AK16" t="s">
        <v>42</v>
      </c>
      <c r="AL16" t="s">
        <v>43</v>
      </c>
      <c r="AN16" t="s">
        <v>44</v>
      </c>
      <c r="AO16">
        <v>59.778723070926397</v>
      </c>
      <c r="AP16" t="s">
        <v>45</v>
      </c>
    </row>
    <row r="17" spans="1:42" x14ac:dyDescent="0.3">
      <c r="A17" t="s">
        <v>73</v>
      </c>
      <c r="B17" t="s">
        <v>59</v>
      </c>
      <c r="C17" t="s">
        <v>56</v>
      </c>
      <c r="D17" t="s">
        <v>49</v>
      </c>
      <c r="E17" t="s">
        <v>57</v>
      </c>
      <c r="F17">
        <v>14</v>
      </c>
      <c r="G17">
        <v>14</v>
      </c>
      <c r="H17">
        <v>0</v>
      </c>
      <c r="I17" t="s">
        <v>57</v>
      </c>
      <c r="J17">
        <v>1</v>
      </c>
      <c r="K17">
        <v>0.993037500011269</v>
      </c>
      <c r="L17" t="s">
        <v>51</v>
      </c>
      <c r="M17">
        <v>0</v>
      </c>
      <c r="N17">
        <v>14</v>
      </c>
      <c r="O17">
        <v>14</v>
      </c>
      <c r="P17">
        <v>1</v>
      </c>
      <c r="Q17">
        <v>26.007223599997801</v>
      </c>
      <c r="V17">
        <v>25.996545800007802</v>
      </c>
      <c r="W17">
        <v>26.007223599997801</v>
      </c>
      <c r="X17">
        <v>26.5066772000282</v>
      </c>
      <c r="Y17">
        <v>26.5066772000282</v>
      </c>
      <c r="Z17">
        <v>26.5066772000282</v>
      </c>
      <c r="AA17">
        <v>27.510247500031198</v>
      </c>
      <c r="AB17" t="s">
        <v>57</v>
      </c>
      <c r="AC17">
        <v>1</v>
      </c>
      <c r="AD17">
        <v>0.993037500011269</v>
      </c>
      <c r="AE17" t="s">
        <v>51</v>
      </c>
      <c r="AI17">
        <v>1</v>
      </c>
      <c r="AJ17">
        <v>1</v>
      </c>
      <c r="AK17" t="s">
        <v>42</v>
      </c>
      <c r="AL17" t="s">
        <v>43</v>
      </c>
      <c r="AN17" t="s">
        <v>44</v>
      </c>
      <c r="AO17">
        <v>59.778723070926397</v>
      </c>
      <c r="AP17" t="s">
        <v>45</v>
      </c>
    </row>
    <row r="18" spans="1:42" x14ac:dyDescent="0.3">
      <c r="A18" t="s">
        <v>74</v>
      </c>
      <c r="B18" t="s">
        <v>47</v>
      </c>
      <c r="C18" t="s">
        <v>48</v>
      </c>
      <c r="D18" t="s">
        <v>49</v>
      </c>
      <c r="E18" t="s">
        <v>50</v>
      </c>
      <c r="F18">
        <v>15</v>
      </c>
      <c r="G18">
        <v>15</v>
      </c>
      <c r="H18">
        <v>0</v>
      </c>
      <c r="I18" t="s">
        <v>50</v>
      </c>
      <c r="J18">
        <v>1</v>
      </c>
      <c r="K18">
        <v>0.92349839996313599</v>
      </c>
      <c r="L18" t="s">
        <v>51</v>
      </c>
      <c r="M18">
        <v>0</v>
      </c>
      <c r="N18">
        <v>15</v>
      </c>
      <c r="O18">
        <v>15</v>
      </c>
      <c r="P18">
        <v>11</v>
      </c>
      <c r="Q18">
        <v>27.5244976000394</v>
      </c>
      <c r="V18">
        <v>27.5134147000499</v>
      </c>
      <c r="W18">
        <v>27.5244976000394</v>
      </c>
      <c r="X18">
        <v>28.023710200039201</v>
      </c>
      <c r="Y18">
        <v>28.023710200039201</v>
      </c>
      <c r="Z18">
        <v>28.023710200039201</v>
      </c>
      <c r="AA18">
        <v>28.9602023000479</v>
      </c>
      <c r="AB18" t="s">
        <v>50</v>
      </c>
      <c r="AC18">
        <v>1</v>
      </c>
      <c r="AD18">
        <v>0.92349839996313599</v>
      </c>
      <c r="AE18" t="s">
        <v>51</v>
      </c>
      <c r="AI18">
        <v>1</v>
      </c>
      <c r="AJ18">
        <v>1</v>
      </c>
      <c r="AK18" t="s">
        <v>42</v>
      </c>
      <c r="AL18" t="s">
        <v>43</v>
      </c>
      <c r="AN18" t="s">
        <v>44</v>
      </c>
      <c r="AO18">
        <v>59.778723070926397</v>
      </c>
      <c r="AP18" t="s">
        <v>45</v>
      </c>
    </row>
    <row r="19" spans="1:42" x14ac:dyDescent="0.3">
      <c r="A19" t="s">
        <v>75</v>
      </c>
      <c r="B19" t="s">
        <v>47</v>
      </c>
      <c r="C19" t="s">
        <v>61</v>
      </c>
      <c r="D19" t="s">
        <v>49</v>
      </c>
      <c r="E19" t="s">
        <v>63</v>
      </c>
      <c r="F19">
        <v>16</v>
      </c>
      <c r="G19">
        <v>16</v>
      </c>
      <c r="H19">
        <v>0</v>
      </c>
      <c r="I19" t="s">
        <v>63</v>
      </c>
      <c r="J19">
        <v>1</v>
      </c>
      <c r="K19">
        <v>0.648784300021361</v>
      </c>
      <c r="L19" t="s">
        <v>51</v>
      </c>
      <c r="M19">
        <v>0</v>
      </c>
      <c r="N19">
        <v>16</v>
      </c>
      <c r="O19">
        <v>16</v>
      </c>
      <c r="P19">
        <v>16</v>
      </c>
      <c r="Q19">
        <v>28.973710899997901</v>
      </c>
      <c r="V19">
        <v>28.962873600015801</v>
      </c>
      <c r="W19">
        <v>28.973710899997901</v>
      </c>
      <c r="X19">
        <v>29.474675800010999</v>
      </c>
      <c r="Y19">
        <v>29.474675800010999</v>
      </c>
      <c r="Z19">
        <v>29.474675800010999</v>
      </c>
      <c r="AA19">
        <v>30.126941599999501</v>
      </c>
      <c r="AB19" t="s">
        <v>63</v>
      </c>
      <c r="AC19">
        <v>1</v>
      </c>
      <c r="AD19">
        <v>0.648784300021361</v>
      </c>
      <c r="AE19" t="s">
        <v>51</v>
      </c>
      <c r="AI19">
        <v>1</v>
      </c>
      <c r="AJ19">
        <v>1</v>
      </c>
      <c r="AK19" t="s">
        <v>42</v>
      </c>
      <c r="AL19" t="s">
        <v>43</v>
      </c>
      <c r="AN19" t="s">
        <v>44</v>
      </c>
      <c r="AO19">
        <v>59.778723070926397</v>
      </c>
      <c r="AP19" t="s">
        <v>45</v>
      </c>
    </row>
    <row r="20" spans="1:42" x14ac:dyDescent="0.3">
      <c r="A20" t="s">
        <v>76</v>
      </c>
      <c r="B20" t="s">
        <v>59</v>
      </c>
      <c r="C20" t="s">
        <v>48</v>
      </c>
      <c r="D20" t="s">
        <v>49</v>
      </c>
      <c r="E20" t="s">
        <v>50</v>
      </c>
      <c r="F20">
        <v>17</v>
      </c>
      <c r="G20">
        <v>17</v>
      </c>
      <c r="H20">
        <v>0</v>
      </c>
      <c r="I20" t="s">
        <v>50</v>
      </c>
      <c r="J20">
        <v>1</v>
      </c>
      <c r="K20">
        <v>1.05651660001603</v>
      </c>
      <c r="L20" t="s">
        <v>51</v>
      </c>
      <c r="M20">
        <v>0</v>
      </c>
      <c r="N20">
        <v>17</v>
      </c>
      <c r="O20">
        <v>17</v>
      </c>
      <c r="P20">
        <v>3</v>
      </c>
      <c r="Q20">
        <v>30.141102300025501</v>
      </c>
      <c r="V20">
        <v>30.1297132000327</v>
      </c>
      <c r="W20">
        <v>30.141102300025501</v>
      </c>
      <c r="X20">
        <v>30.6401149000157</v>
      </c>
      <c r="Y20">
        <v>30.6401149000157</v>
      </c>
      <c r="Z20">
        <v>30.6401149000157</v>
      </c>
      <c r="AA20">
        <v>31.710906199994401</v>
      </c>
      <c r="AB20" t="s">
        <v>50</v>
      </c>
      <c r="AC20">
        <v>1</v>
      </c>
      <c r="AD20">
        <v>1.05651660001603</v>
      </c>
      <c r="AE20" t="s">
        <v>51</v>
      </c>
      <c r="AI20">
        <v>1</v>
      </c>
      <c r="AJ20">
        <v>1</v>
      </c>
      <c r="AK20" t="s">
        <v>42</v>
      </c>
      <c r="AL20" t="s">
        <v>43</v>
      </c>
      <c r="AN20" t="s">
        <v>44</v>
      </c>
      <c r="AO20">
        <v>59.778723070926397</v>
      </c>
      <c r="AP20" t="s">
        <v>45</v>
      </c>
    </row>
    <row r="21" spans="1:42" x14ac:dyDescent="0.3">
      <c r="A21" t="s">
        <v>77</v>
      </c>
      <c r="B21" t="s">
        <v>59</v>
      </c>
      <c r="C21" t="s">
        <v>61</v>
      </c>
      <c r="D21" t="s">
        <v>62</v>
      </c>
      <c r="E21" t="s">
        <v>63</v>
      </c>
      <c r="F21">
        <v>18</v>
      </c>
      <c r="G21">
        <v>18</v>
      </c>
      <c r="H21">
        <v>0</v>
      </c>
      <c r="I21" t="s">
        <v>63</v>
      </c>
      <c r="J21">
        <v>1</v>
      </c>
      <c r="K21">
        <v>0.62281219998840198</v>
      </c>
      <c r="L21" t="s">
        <v>51</v>
      </c>
      <c r="M21">
        <v>0</v>
      </c>
      <c r="N21">
        <v>18</v>
      </c>
      <c r="O21">
        <v>18</v>
      </c>
      <c r="P21">
        <v>4</v>
      </c>
      <c r="Q21">
        <v>31.723213899996999</v>
      </c>
      <c r="V21">
        <v>31.7135424000443</v>
      </c>
      <c r="W21">
        <v>31.723213899996999</v>
      </c>
      <c r="X21">
        <v>32.223322000005197</v>
      </c>
      <c r="Y21">
        <v>32.223322000005197</v>
      </c>
      <c r="Z21">
        <v>32.223322000005197</v>
      </c>
      <c r="AA21">
        <v>32.860314699995797</v>
      </c>
      <c r="AB21" t="s">
        <v>63</v>
      </c>
      <c r="AC21">
        <v>1</v>
      </c>
      <c r="AD21">
        <v>0.62281219998840198</v>
      </c>
      <c r="AE21" t="s">
        <v>51</v>
      </c>
      <c r="AI21">
        <v>1</v>
      </c>
      <c r="AJ21">
        <v>1</v>
      </c>
      <c r="AK21" t="s">
        <v>42</v>
      </c>
      <c r="AL21" t="s">
        <v>43</v>
      </c>
      <c r="AN21" t="s">
        <v>44</v>
      </c>
      <c r="AO21">
        <v>59.778723070926397</v>
      </c>
      <c r="AP21" t="s">
        <v>45</v>
      </c>
    </row>
    <row r="22" spans="1:42" x14ac:dyDescent="0.3">
      <c r="A22" t="s">
        <v>78</v>
      </c>
      <c r="B22" t="s">
        <v>47</v>
      </c>
      <c r="C22" t="s">
        <v>56</v>
      </c>
      <c r="D22" t="s">
        <v>49</v>
      </c>
      <c r="E22" t="s">
        <v>57</v>
      </c>
      <c r="F22">
        <v>19</v>
      </c>
      <c r="G22">
        <v>19</v>
      </c>
      <c r="H22">
        <v>0</v>
      </c>
      <c r="I22" t="s">
        <v>57</v>
      </c>
      <c r="J22">
        <v>1</v>
      </c>
      <c r="K22">
        <v>0.75071069999830797</v>
      </c>
      <c r="L22" t="s">
        <v>51</v>
      </c>
      <c r="M22">
        <v>0</v>
      </c>
      <c r="N22">
        <v>19</v>
      </c>
      <c r="O22">
        <v>19</v>
      </c>
      <c r="P22">
        <v>17</v>
      </c>
      <c r="Q22">
        <v>32.873477699991703</v>
      </c>
      <c r="V22">
        <v>32.862819600035401</v>
      </c>
      <c r="W22">
        <v>32.873477699991703</v>
      </c>
      <c r="X22">
        <v>33.373045900021602</v>
      </c>
      <c r="Y22">
        <v>33.373045900021602</v>
      </c>
      <c r="Z22">
        <v>33.373045900021602</v>
      </c>
      <c r="AA22">
        <v>34.126590400002897</v>
      </c>
      <c r="AB22" t="s">
        <v>57</v>
      </c>
      <c r="AC22">
        <v>1</v>
      </c>
      <c r="AD22">
        <v>0.75071069999830797</v>
      </c>
      <c r="AE22" t="s">
        <v>51</v>
      </c>
      <c r="AI22">
        <v>1</v>
      </c>
      <c r="AJ22">
        <v>1</v>
      </c>
      <c r="AK22" t="s">
        <v>42</v>
      </c>
      <c r="AL22" t="s">
        <v>43</v>
      </c>
      <c r="AN22" t="s">
        <v>44</v>
      </c>
      <c r="AO22">
        <v>59.778723070926397</v>
      </c>
      <c r="AP22" t="s">
        <v>45</v>
      </c>
    </row>
    <row r="23" spans="1:42" x14ac:dyDescent="0.3">
      <c r="A23" t="s">
        <v>72</v>
      </c>
      <c r="B23" t="s">
        <v>59</v>
      </c>
      <c r="C23" t="s">
        <v>61</v>
      </c>
      <c r="D23" t="s">
        <v>62</v>
      </c>
      <c r="E23" t="s">
        <v>63</v>
      </c>
      <c r="F23">
        <v>20</v>
      </c>
      <c r="G23">
        <v>0</v>
      </c>
      <c r="H23">
        <v>1</v>
      </c>
      <c r="I23" t="s">
        <v>63</v>
      </c>
      <c r="J23">
        <v>1</v>
      </c>
      <c r="K23">
        <v>0.98692230001324699</v>
      </c>
      <c r="L23" t="s">
        <v>51</v>
      </c>
      <c r="M23">
        <v>1</v>
      </c>
      <c r="N23">
        <v>0</v>
      </c>
      <c r="O23">
        <v>20</v>
      </c>
      <c r="P23">
        <v>8</v>
      </c>
      <c r="Q23">
        <v>34.140098900010301</v>
      </c>
      <c r="V23">
        <v>34.131296200037397</v>
      </c>
      <c r="W23">
        <v>34.140098900010301</v>
      </c>
      <c r="X23">
        <v>34.639927800046202</v>
      </c>
      <c r="Y23">
        <v>34.639927800046202</v>
      </c>
      <c r="Z23">
        <v>34.639927800046202</v>
      </c>
      <c r="AA23">
        <v>35.628105600015203</v>
      </c>
      <c r="AB23" t="s">
        <v>63</v>
      </c>
      <c r="AC23">
        <v>1</v>
      </c>
      <c r="AD23">
        <v>0.98692230001324699</v>
      </c>
      <c r="AE23" t="s">
        <v>51</v>
      </c>
      <c r="AI23">
        <v>1</v>
      </c>
      <c r="AJ23">
        <v>1</v>
      </c>
      <c r="AK23" t="s">
        <v>42</v>
      </c>
      <c r="AL23" t="s">
        <v>43</v>
      </c>
      <c r="AN23" t="s">
        <v>44</v>
      </c>
      <c r="AO23">
        <v>59.778723070926397</v>
      </c>
      <c r="AP23" t="s">
        <v>45</v>
      </c>
    </row>
    <row r="24" spans="1:42" x14ac:dyDescent="0.3">
      <c r="A24" t="s">
        <v>76</v>
      </c>
      <c r="B24" t="s">
        <v>59</v>
      </c>
      <c r="C24" t="s">
        <v>48</v>
      </c>
      <c r="D24" t="s">
        <v>49</v>
      </c>
      <c r="E24" t="s">
        <v>50</v>
      </c>
      <c r="F24">
        <v>21</v>
      </c>
      <c r="G24">
        <v>1</v>
      </c>
      <c r="H24">
        <v>1</v>
      </c>
      <c r="I24" t="s">
        <v>50</v>
      </c>
      <c r="J24">
        <v>1</v>
      </c>
      <c r="K24">
        <v>1.5155499000102199</v>
      </c>
      <c r="L24" t="s">
        <v>51</v>
      </c>
      <c r="M24">
        <v>1</v>
      </c>
      <c r="N24">
        <v>1</v>
      </c>
      <c r="O24">
        <v>21</v>
      </c>
      <c r="P24">
        <v>3</v>
      </c>
      <c r="Q24">
        <v>35.6399502000422</v>
      </c>
      <c r="V24">
        <v>35.631956800003501</v>
      </c>
      <c r="W24">
        <v>35.6399502000422</v>
      </c>
      <c r="X24">
        <v>36.139951299992298</v>
      </c>
      <c r="Y24">
        <v>36.139951299992298</v>
      </c>
      <c r="Z24">
        <v>36.139951299992298</v>
      </c>
      <c r="AA24">
        <v>37.660562600009101</v>
      </c>
      <c r="AB24" t="s">
        <v>50</v>
      </c>
      <c r="AC24">
        <v>1</v>
      </c>
      <c r="AD24">
        <v>1.5155499000102199</v>
      </c>
      <c r="AE24" t="s">
        <v>51</v>
      </c>
      <c r="AI24">
        <v>1</v>
      </c>
      <c r="AJ24">
        <v>1</v>
      </c>
      <c r="AK24" t="s">
        <v>42</v>
      </c>
      <c r="AL24" t="s">
        <v>43</v>
      </c>
      <c r="AN24" t="s">
        <v>44</v>
      </c>
      <c r="AO24">
        <v>59.778723070926397</v>
      </c>
      <c r="AP24" t="s">
        <v>45</v>
      </c>
    </row>
    <row r="25" spans="1:42" x14ac:dyDescent="0.3">
      <c r="A25" t="s">
        <v>58</v>
      </c>
      <c r="B25" t="s">
        <v>59</v>
      </c>
      <c r="C25" t="s">
        <v>48</v>
      </c>
      <c r="D25" t="s">
        <v>49</v>
      </c>
      <c r="E25" t="s">
        <v>50</v>
      </c>
      <c r="F25">
        <v>22</v>
      </c>
      <c r="G25">
        <v>2</v>
      </c>
      <c r="H25">
        <v>1</v>
      </c>
      <c r="I25" t="s">
        <v>50</v>
      </c>
      <c r="J25">
        <v>1</v>
      </c>
      <c r="K25">
        <v>0.65680330002214704</v>
      </c>
      <c r="L25" t="s">
        <v>51</v>
      </c>
      <c r="M25">
        <v>1</v>
      </c>
      <c r="N25">
        <v>2</v>
      </c>
      <c r="O25">
        <v>22</v>
      </c>
      <c r="P25">
        <v>7</v>
      </c>
      <c r="Q25">
        <v>37.673285400029201</v>
      </c>
      <c r="V25">
        <v>37.663423200021498</v>
      </c>
      <c r="W25">
        <v>37.673285400029201</v>
      </c>
      <c r="X25">
        <v>38.172922600002401</v>
      </c>
      <c r="Y25">
        <v>38.172922600002401</v>
      </c>
      <c r="Z25">
        <v>38.172922600002401</v>
      </c>
      <c r="AA25">
        <v>38.843520700000198</v>
      </c>
      <c r="AB25" t="s">
        <v>50</v>
      </c>
      <c r="AC25">
        <v>1</v>
      </c>
      <c r="AD25">
        <v>0.65680330002214704</v>
      </c>
      <c r="AE25" t="s">
        <v>51</v>
      </c>
      <c r="AI25">
        <v>1</v>
      </c>
      <c r="AJ25">
        <v>1</v>
      </c>
      <c r="AK25" t="s">
        <v>42</v>
      </c>
      <c r="AL25" t="s">
        <v>43</v>
      </c>
      <c r="AN25" t="s">
        <v>44</v>
      </c>
      <c r="AO25">
        <v>59.778723070926397</v>
      </c>
      <c r="AP25" t="s">
        <v>45</v>
      </c>
    </row>
    <row r="26" spans="1:42" x14ac:dyDescent="0.3">
      <c r="A26" t="s">
        <v>71</v>
      </c>
      <c r="B26" t="s">
        <v>47</v>
      </c>
      <c r="C26" t="s">
        <v>48</v>
      </c>
      <c r="D26" t="s">
        <v>49</v>
      </c>
      <c r="E26" t="s">
        <v>50</v>
      </c>
      <c r="F26">
        <v>23</v>
      </c>
      <c r="G26">
        <v>3</v>
      </c>
      <c r="H26">
        <v>1</v>
      </c>
      <c r="I26" t="s">
        <v>50</v>
      </c>
      <c r="J26">
        <v>1</v>
      </c>
      <c r="K26">
        <v>0.57917979999910996</v>
      </c>
      <c r="L26" t="s">
        <v>51</v>
      </c>
      <c r="M26">
        <v>1</v>
      </c>
      <c r="N26">
        <v>3</v>
      </c>
      <c r="O26">
        <v>23</v>
      </c>
      <c r="P26">
        <v>15</v>
      </c>
      <c r="Q26">
        <v>38.856756900029701</v>
      </c>
      <c r="V26">
        <v>38.847112100047497</v>
      </c>
      <c r="W26">
        <v>38.856756900029701</v>
      </c>
      <c r="X26">
        <v>39.356361200043402</v>
      </c>
      <c r="Y26">
        <v>39.356361200043402</v>
      </c>
      <c r="Z26">
        <v>39.356361200043402</v>
      </c>
      <c r="AA26">
        <v>39.943028600013299</v>
      </c>
      <c r="AB26" t="s">
        <v>50</v>
      </c>
      <c r="AC26">
        <v>1</v>
      </c>
      <c r="AD26">
        <v>0.57917979999910996</v>
      </c>
      <c r="AE26" t="s">
        <v>51</v>
      </c>
      <c r="AI26">
        <v>1</v>
      </c>
      <c r="AJ26">
        <v>1</v>
      </c>
      <c r="AK26" t="s">
        <v>42</v>
      </c>
      <c r="AL26" t="s">
        <v>43</v>
      </c>
      <c r="AN26" t="s">
        <v>44</v>
      </c>
      <c r="AO26">
        <v>59.778723070926397</v>
      </c>
      <c r="AP26" t="s">
        <v>45</v>
      </c>
    </row>
    <row r="27" spans="1:42" x14ac:dyDescent="0.3">
      <c r="A27" t="s">
        <v>55</v>
      </c>
      <c r="B27" t="s">
        <v>47</v>
      </c>
      <c r="C27" t="s">
        <v>56</v>
      </c>
      <c r="D27" t="s">
        <v>49</v>
      </c>
      <c r="E27" t="s">
        <v>57</v>
      </c>
      <c r="F27">
        <v>24</v>
      </c>
      <c r="G27">
        <v>4</v>
      </c>
      <c r="H27">
        <v>1</v>
      </c>
      <c r="I27" t="s">
        <v>57</v>
      </c>
      <c r="J27">
        <v>1</v>
      </c>
      <c r="K27">
        <v>0.88088140002218995</v>
      </c>
      <c r="L27" t="s">
        <v>51</v>
      </c>
      <c r="M27">
        <v>1</v>
      </c>
      <c r="N27">
        <v>4</v>
      </c>
      <c r="O27">
        <v>24</v>
      </c>
      <c r="P27">
        <v>13</v>
      </c>
      <c r="Q27">
        <v>39.956386200035901</v>
      </c>
      <c r="V27">
        <v>39.945968999992999</v>
      </c>
      <c r="W27">
        <v>39.956386200035901</v>
      </c>
      <c r="X27">
        <v>40.456794600002397</v>
      </c>
      <c r="Y27">
        <v>40.456794600002397</v>
      </c>
      <c r="Z27">
        <v>40.456794600002397</v>
      </c>
      <c r="AA27">
        <v>41.3436367000103</v>
      </c>
      <c r="AB27" t="s">
        <v>57</v>
      </c>
      <c r="AC27">
        <v>1</v>
      </c>
      <c r="AD27">
        <v>0.88088140002218995</v>
      </c>
      <c r="AE27" t="s">
        <v>51</v>
      </c>
      <c r="AI27">
        <v>1</v>
      </c>
      <c r="AJ27">
        <v>1</v>
      </c>
      <c r="AK27" t="s">
        <v>42</v>
      </c>
      <c r="AL27" t="s">
        <v>43</v>
      </c>
      <c r="AN27" t="s">
        <v>44</v>
      </c>
      <c r="AO27">
        <v>59.778723070926397</v>
      </c>
      <c r="AP27" t="s">
        <v>45</v>
      </c>
    </row>
    <row r="28" spans="1:42" x14ac:dyDescent="0.3">
      <c r="A28" t="s">
        <v>66</v>
      </c>
      <c r="B28" t="s">
        <v>47</v>
      </c>
      <c r="C28" t="s">
        <v>61</v>
      </c>
      <c r="D28" t="s">
        <v>49</v>
      </c>
      <c r="E28" t="s">
        <v>63</v>
      </c>
      <c r="F28">
        <v>25</v>
      </c>
      <c r="G28">
        <v>5</v>
      </c>
      <c r="H28">
        <v>1</v>
      </c>
      <c r="I28" t="s">
        <v>63</v>
      </c>
      <c r="J28">
        <v>1</v>
      </c>
      <c r="K28">
        <v>0.56971549999434501</v>
      </c>
      <c r="L28" t="s">
        <v>51</v>
      </c>
      <c r="M28">
        <v>1</v>
      </c>
      <c r="N28">
        <v>5</v>
      </c>
      <c r="O28">
        <v>25</v>
      </c>
      <c r="P28">
        <v>12</v>
      </c>
      <c r="Q28">
        <v>41.356142700009499</v>
      </c>
      <c r="V28">
        <v>41.346442100009803</v>
      </c>
      <c r="W28">
        <v>41.356142700009499</v>
      </c>
      <c r="X28">
        <v>41.857288099999998</v>
      </c>
      <c r="Y28">
        <v>41.857288099999998</v>
      </c>
      <c r="Z28">
        <v>41.857288099999998</v>
      </c>
      <c r="AA28">
        <v>42.428038300014997</v>
      </c>
      <c r="AB28" t="s">
        <v>63</v>
      </c>
      <c r="AC28">
        <v>1</v>
      </c>
      <c r="AD28">
        <v>0.56971549999434501</v>
      </c>
      <c r="AE28" t="s">
        <v>51</v>
      </c>
      <c r="AI28">
        <v>1</v>
      </c>
      <c r="AJ28">
        <v>1</v>
      </c>
      <c r="AK28" t="s">
        <v>42</v>
      </c>
      <c r="AL28" t="s">
        <v>43</v>
      </c>
      <c r="AN28" t="s">
        <v>44</v>
      </c>
      <c r="AO28">
        <v>59.778723070926397</v>
      </c>
      <c r="AP28" t="s">
        <v>45</v>
      </c>
    </row>
    <row r="29" spans="1:42" x14ac:dyDescent="0.3">
      <c r="A29" t="s">
        <v>78</v>
      </c>
      <c r="B29" t="s">
        <v>47</v>
      </c>
      <c r="C29" t="s">
        <v>56</v>
      </c>
      <c r="D29" t="s">
        <v>49</v>
      </c>
      <c r="E29" t="s">
        <v>57</v>
      </c>
      <c r="F29">
        <v>26</v>
      </c>
      <c r="G29">
        <v>6</v>
      </c>
      <c r="H29">
        <v>1</v>
      </c>
      <c r="I29" t="s">
        <v>57</v>
      </c>
      <c r="J29">
        <v>1</v>
      </c>
      <c r="K29">
        <v>0.75970100000267804</v>
      </c>
      <c r="L29" t="s">
        <v>51</v>
      </c>
      <c r="M29">
        <v>1</v>
      </c>
      <c r="N29">
        <v>6</v>
      </c>
      <c r="O29">
        <v>26</v>
      </c>
      <c r="P29">
        <v>17</v>
      </c>
      <c r="Q29">
        <v>42.439452400023498</v>
      </c>
      <c r="V29">
        <v>42.431106800038798</v>
      </c>
      <c r="W29">
        <v>42.439452400023498</v>
      </c>
      <c r="X29">
        <v>42.939586199994601</v>
      </c>
      <c r="Y29">
        <v>42.939586199994601</v>
      </c>
      <c r="Z29">
        <v>42.939586199994601</v>
      </c>
      <c r="AA29">
        <v>43.7100341000477</v>
      </c>
      <c r="AB29" t="s">
        <v>57</v>
      </c>
      <c r="AC29">
        <v>1</v>
      </c>
      <c r="AD29">
        <v>0.75970100000267804</v>
      </c>
      <c r="AE29" t="s">
        <v>51</v>
      </c>
      <c r="AI29">
        <v>1</v>
      </c>
      <c r="AJ29">
        <v>1</v>
      </c>
      <c r="AK29" t="s">
        <v>42</v>
      </c>
      <c r="AL29" t="s">
        <v>43</v>
      </c>
      <c r="AN29" t="s">
        <v>44</v>
      </c>
      <c r="AO29">
        <v>59.778723070926397</v>
      </c>
      <c r="AP29" t="s">
        <v>45</v>
      </c>
    </row>
    <row r="30" spans="1:42" x14ac:dyDescent="0.3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F30">
        <v>27</v>
      </c>
      <c r="G30">
        <v>7</v>
      </c>
      <c r="H30">
        <v>1</v>
      </c>
      <c r="I30" t="s">
        <v>50</v>
      </c>
      <c r="J30">
        <v>1</v>
      </c>
      <c r="K30">
        <v>0.99808479996863697</v>
      </c>
      <c r="L30" t="s">
        <v>51</v>
      </c>
      <c r="M30">
        <v>1</v>
      </c>
      <c r="N30">
        <v>7</v>
      </c>
      <c r="O30">
        <v>27</v>
      </c>
      <c r="P30">
        <v>19</v>
      </c>
      <c r="Q30">
        <v>43.722965700027999</v>
      </c>
      <c r="V30">
        <v>43.7126861000433</v>
      </c>
      <c r="W30">
        <v>43.722965700027999</v>
      </c>
      <c r="X30">
        <v>44.223297999997101</v>
      </c>
      <c r="Y30">
        <v>44.223297999997101</v>
      </c>
      <c r="Z30">
        <v>44.223297999997101</v>
      </c>
      <c r="AA30">
        <v>45.2273411000496</v>
      </c>
      <c r="AB30" t="s">
        <v>50</v>
      </c>
      <c r="AC30">
        <v>1</v>
      </c>
      <c r="AD30">
        <v>0.99808479996863697</v>
      </c>
      <c r="AE30" t="s">
        <v>51</v>
      </c>
      <c r="AI30">
        <v>1</v>
      </c>
      <c r="AJ30">
        <v>1</v>
      </c>
      <c r="AK30" t="s">
        <v>42</v>
      </c>
      <c r="AL30" t="s">
        <v>43</v>
      </c>
      <c r="AN30" t="s">
        <v>44</v>
      </c>
      <c r="AO30">
        <v>59.778723070926397</v>
      </c>
      <c r="AP30" t="s">
        <v>45</v>
      </c>
    </row>
    <row r="31" spans="1:42" x14ac:dyDescent="0.3">
      <c r="A31" t="s">
        <v>70</v>
      </c>
      <c r="B31" t="s">
        <v>59</v>
      </c>
      <c r="C31" t="s">
        <v>53</v>
      </c>
      <c r="D31" t="s">
        <v>49</v>
      </c>
      <c r="E31" t="s">
        <v>54</v>
      </c>
      <c r="F31">
        <v>28</v>
      </c>
      <c r="G31">
        <v>8</v>
      </c>
      <c r="H31">
        <v>1</v>
      </c>
      <c r="I31" t="s">
        <v>54</v>
      </c>
      <c r="J31">
        <v>1</v>
      </c>
      <c r="K31">
        <v>0.92719449999276504</v>
      </c>
      <c r="L31" t="s">
        <v>51</v>
      </c>
      <c r="M31">
        <v>1</v>
      </c>
      <c r="N31">
        <v>8</v>
      </c>
      <c r="O31">
        <v>28</v>
      </c>
      <c r="P31">
        <v>2</v>
      </c>
      <c r="Q31">
        <v>45.239229200000402</v>
      </c>
      <c r="V31">
        <v>45.229940399993197</v>
      </c>
      <c r="W31">
        <v>45.239229200000402</v>
      </c>
      <c r="X31">
        <v>45.7390601999941</v>
      </c>
      <c r="Y31">
        <v>45.7390601999941</v>
      </c>
      <c r="Z31">
        <v>45.7390601999941</v>
      </c>
      <c r="AA31">
        <v>46.676763900031801</v>
      </c>
      <c r="AB31" t="s">
        <v>54</v>
      </c>
      <c r="AC31">
        <v>1</v>
      </c>
      <c r="AD31">
        <v>0.92719449999276504</v>
      </c>
      <c r="AE31" t="s">
        <v>51</v>
      </c>
      <c r="AI31">
        <v>1</v>
      </c>
      <c r="AJ31">
        <v>1</v>
      </c>
      <c r="AK31" t="s">
        <v>42</v>
      </c>
      <c r="AL31" t="s">
        <v>43</v>
      </c>
      <c r="AN31" t="s">
        <v>44</v>
      </c>
      <c r="AO31">
        <v>59.778723070926397</v>
      </c>
      <c r="AP31" t="s">
        <v>45</v>
      </c>
    </row>
    <row r="32" spans="1:42" x14ac:dyDescent="0.3">
      <c r="A32" t="s">
        <v>68</v>
      </c>
      <c r="B32" t="s">
        <v>59</v>
      </c>
      <c r="C32" t="s">
        <v>53</v>
      </c>
      <c r="D32" t="s">
        <v>49</v>
      </c>
      <c r="E32" t="s">
        <v>54</v>
      </c>
      <c r="F32">
        <v>29</v>
      </c>
      <c r="G32">
        <v>9</v>
      </c>
      <c r="H32">
        <v>1</v>
      </c>
      <c r="I32" t="s">
        <v>54</v>
      </c>
      <c r="J32">
        <v>1</v>
      </c>
      <c r="K32">
        <v>1.11945810000179</v>
      </c>
      <c r="L32" t="s">
        <v>51</v>
      </c>
      <c r="M32">
        <v>1</v>
      </c>
      <c r="N32">
        <v>9</v>
      </c>
      <c r="O32">
        <v>29</v>
      </c>
      <c r="P32">
        <v>6</v>
      </c>
      <c r="Q32">
        <v>46.690112200041703</v>
      </c>
      <c r="V32">
        <v>46.679424800036898</v>
      </c>
      <c r="W32">
        <v>46.690112200041703</v>
      </c>
      <c r="X32">
        <v>47.189202200039198</v>
      </c>
      <c r="Y32">
        <v>47.189202200039198</v>
      </c>
      <c r="Z32">
        <v>47.189202200039198</v>
      </c>
      <c r="AA32">
        <v>48.311238900001598</v>
      </c>
      <c r="AB32" t="s">
        <v>54</v>
      </c>
      <c r="AC32">
        <v>1</v>
      </c>
      <c r="AD32">
        <v>1.11945810000179</v>
      </c>
      <c r="AE32" t="s">
        <v>51</v>
      </c>
      <c r="AI32">
        <v>1</v>
      </c>
      <c r="AJ32">
        <v>1</v>
      </c>
      <c r="AK32" t="s">
        <v>42</v>
      </c>
      <c r="AL32" t="s">
        <v>43</v>
      </c>
      <c r="AN32" t="s">
        <v>44</v>
      </c>
      <c r="AO32">
        <v>59.778723070926397</v>
      </c>
      <c r="AP32" t="s">
        <v>45</v>
      </c>
    </row>
    <row r="33" spans="1:42" x14ac:dyDescent="0.3">
      <c r="A33" t="s">
        <v>74</v>
      </c>
      <c r="B33" t="s">
        <v>47</v>
      </c>
      <c r="C33" t="s">
        <v>48</v>
      </c>
      <c r="D33" t="s">
        <v>49</v>
      </c>
      <c r="E33" t="s">
        <v>50</v>
      </c>
      <c r="F33">
        <v>30</v>
      </c>
      <c r="G33">
        <v>10</v>
      </c>
      <c r="H33">
        <v>1</v>
      </c>
      <c r="I33" t="s">
        <v>50</v>
      </c>
      <c r="J33">
        <v>1</v>
      </c>
      <c r="K33">
        <v>0.78925979998894003</v>
      </c>
      <c r="L33" t="s">
        <v>51</v>
      </c>
      <c r="M33">
        <v>1</v>
      </c>
      <c r="N33">
        <v>10</v>
      </c>
      <c r="O33">
        <v>30</v>
      </c>
      <c r="P33">
        <v>11</v>
      </c>
      <c r="Q33">
        <v>48.322324900014699</v>
      </c>
      <c r="V33">
        <v>48.315476900024798</v>
      </c>
      <c r="W33">
        <v>48.322324900014699</v>
      </c>
      <c r="X33">
        <v>48.822120400029199</v>
      </c>
      <c r="Y33">
        <v>48.822120400029199</v>
      </c>
      <c r="Z33">
        <v>48.822120400029199</v>
      </c>
      <c r="AA33">
        <v>49.6262293000472</v>
      </c>
      <c r="AB33" t="s">
        <v>50</v>
      </c>
      <c r="AC33">
        <v>1</v>
      </c>
      <c r="AD33">
        <v>0.78925979998894003</v>
      </c>
      <c r="AE33" t="s">
        <v>51</v>
      </c>
      <c r="AI33">
        <v>1</v>
      </c>
      <c r="AJ33">
        <v>1</v>
      </c>
      <c r="AK33" t="s">
        <v>42</v>
      </c>
      <c r="AL33" t="s">
        <v>43</v>
      </c>
      <c r="AN33" t="s">
        <v>44</v>
      </c>
      <c r="AO33">
        <v>59.778723070926397</v>
      </c>
      <c r="AP33" t="s">
        <v>45</v>
      </c>
    </row>
    <row r="34" spans="1:42" x14ac:dyDescent="0.3">
      <c r="A34" t="s">
        <v>64</v>
      </c>
      <c r="B34" t="s">
        <v>47</v>
      </c>
      <c r="C34" t="s">
        <v>53</v>
      </c>
      <c r="D34" t="s">
        <v>49</v>
      </c>
      <c r="E34" t="s">
        <v>54</v>
      </c>
      <c r="F34">
        <v>31</v>
      </c>
      <c r="G34">
        <v>11</v>
      </c>
      <c r="H34">
        <v>1</v>
      </c>
      <c r="I34" t="s">
        <v>54</v>
      </c>
      <c r="J34">
        <v>1</v>
      </c>
      <c r="K34">
        <v>0.74914150004042301</v>
      </c>
      <c r="L34" t="s">
        <v>51</v>
      </c>
      <c r="M34">
        <v>1</v>
      </c>
      <c r="N34">
        <v>11</v>
      </c>
      <c r="O34">
        <v>31</v>
      </c>
      <c r="P34">
        <v>18</v>
      </c>
      <c r="Q34">
        <v>49.639300300041199</v>
      </c>
      <c r="V34">
        <v>49.630294400034401</v>
      </c>
      <c r="W34">
        <v>49.639300300041199</v>
      </c>
      <c r="X34">
        <v>50.139371299999702</v>
      </c>
      <c r="Y34">
        <v>50.139371299999702</v>
      </c>
      <c r="Z34">
        <v>50.139371299999702</v>
      </c>
      <c r="AA34">
        <v>50.894102799997199</v>
      </c>
      <c r="AB34" t="s">
        <v>54</v>
      </c>
      <c r="AC34">
        <v>1</v>
      </c>
      <c r="AD34">
        <v>0.74914150004042301</v>
      </c>
      <c r="AE34" t="s">
        <v>51</v>
      </c>
      <c r="AI34">
        <v>1</v>
      </c>
      <c r="AJ34">
        <v>1</v>
      </c>
      <c r="AK34" t="s">
        <v>42</v>
      </c>
      <c r="AL34" t="s">
        <v>43</v>
      </c>
      <c r="AN34" t="s">
        <v>44</v>
      </c>
      <c r="AO34">
        <v>59.778723070926397</v>
      </c>
      <c r="AP34" t="s">
        <v>45</v>
      </c>
    </row>
    <row r="35" spans="1:42" x14ac:dyDescent="0.3">
      <c r="A35" t="s">
        <v>67</v>
      </c>
      <c r="B35" t="s">
        <v>47</v>
      </c>
      <c r="C35" t="s">
        <v>53</v>
      </c>
      <c r="D35" t="s">
        <v>49</v>
      </c>
      <c r="E35" t="s">
        <v>54</v>
      </c>
      <c r="F35">
        <v>32</v>
      </c>
      <c r="G35">
        <v>12</v>
      </c>
      <c r="H35">
        <v>1</v>
      </c>
      <c r="I35" t="s">
        <v>54</v>
      </c>
      <c r="J35">
        <v>1</v>
      </c>
      <c r="K35">
        <v>0.76926109998021197</v>
      </c>
      <c r="L35" t="s">
        <v>51</v>
      </c>
      <c r="M35">
        <v>1</v>
      </c>
      <c r="N35">
        <v>12</v>
      </c>
      <c r="O35">
        <v>32</v>
      </c>
      <c r="P35">
        <v>10</v>
      </c>
      <c r="Q35">
        <v>50.905838400009003</v>
      </c>
      <c r="V35">
        <v>50.897383700008497</v>
      </c>
      <c r="W35">
        <v>50.905838400009003</v>
      </c>
      <c r="X35">
        <v>51.405864600033901</v>
      </c>
      <c r="Y35">
        <v>51.405864600033901</v>
      </c>
      <c r="Z35">
        <v>51.405864600033901</v>
      </c>
      <c r="AA35">
        <v>52.176661000004898</v>
      </c>
      <c r="AB35" t="s">
        <v>54</v>
      </c>
      <c r="AC35">
        <v>1</v>
      </c>
      <c r="AD35">
        <v>0.76926109998021197</v>
      </c>
      <c r="AE35" t="s">
        <v>51</v>
      </c>
      <c r="AI35">
        <v>1</v>
      </c>
      <c r="AJ35">
        <v>1</v>
      </c>
      <c r="AK35" t="s">
        <v>42</v>
      </c>
      <c r="AL35" t="s">
        <v>43</v>
      </c>
      <c r="AN35" t="s">
        <v>44</v>
      </c>
      <c r="AO35">
        <v>59.778723070926397</v>
      </c>
      <c r="AP35" t="s">
        <v>45</v>
      </c>
    </row>
    <row r="36" spans="1:42" x14ac:dyDescent="0.3">
      <c r="A36" t="s">
        <v>77</v>
      </c>
      <c r="B36" t="s">
        <v>59</v>
      </c>
      <c r="C36" t="s">
        <v>61</v>
      </c>
      <c r="D36" t="s">
        <v>62</v>
      </c>
      <c r="E36" t="s">
        <v>63</v>
      </c>
      <c r="F36">
        <v>33</v>
      </c>
      <c r="G36">
        <v>13</v>
      </c>
      <c r="H36">
        <v>1</v>
      </c>
      <c r="I36" t="s">
        <v>63</v>
      </c>
      <c r="J36">
        <v>1</v>
      </c>
      <c r="K36">
        <v>1.88923420000355</v>
      </c>
      <c r="L36" t="s">
        <v>51</v>
      </c>
      <c r="M36">
        <v>1</v>
      </c>
      <c r="N36">
        <v>13</v>
      </c>
      <c r="O36">
        <v>33</v>
      </c>
      <c r="P36">
        <v>4</v>
      </c>
      <c r="Q36">
        <v>52.189035799994599</v>
      </c>
      <c r="V36">
        <v>52.180673199996797</v>
      </c>
      <c r="W36">
        <v>52.189035799994599</v>
      </c>
      <c r="X36">
        <v>52.689788600022403</v>
      </c>
      <c r="Y36">
        <v>52.689788600022403</v>
      </c>
      <c r="Z36">
        <v>52.689788600022403</v>
      </c>
      <c r="AA36">
        <v>54.593637800018698</v>
      </c>
      <c r="AB36" t="s">
        <v>63</v>
      </c>
      <c r="AC36">
        <v>1</v>
      </c>
      <c r="AD36">
        <v>1.88923420000355</v>
      </c>
      <c r="AE36" t="s">
        <v>51</v>
      </c>
      <c r="AI36">
        <v>1</v>
      </c>
      <c r="AJ36">
        <v>1</v>
      </c>
      <c r="AK36" t="s">
        <v>42</v>
      </c>
      <c r="AL36" t="s">
        <v>43</v>
      </c>
      <c r="AN36" t="s">
        <v>44</v>
      </c>
      <c r="AO36">
        <v>59.778723070926397</v>
      </c>
      <c r="AP36" t="s">
        <v>45</v>
      </c>
    </row>
    <row r="37" spans="1:42" x14ac:dyDescent="0.3">
      <c r="A37" t="s">
        <v>75</v>
      </c>
      <c r="B37" t="s">
        <v>47</v>
      </c>
      <c r="C37" t="s">
        <v>61</v>
      </c>
      <c r="D37" t="s">
        <v>49</v>
      </c>
      <c r="E37" t="s">
        <v>63</v>
      </c>
      <c r="F37">
        <v>34</v>
      </c>
      <c r="G37">
        <v>14</v>
      </c>
      <c r="H37">
        <v>1</v>
      </c>
      <c r="I37" t="s">
        <v>63</v>
      </c>
      <c r="J37">
        <v>1</v>
      </c>
      <c r="K37">
        <v>0.80532189999939796</v>
      </c>
      <c r="L37" t="s">
        <v>51</v>
      </c>
      <c r="M37">
        <v>1</v>
      </c>
      <c r="N37">
        <v>14</v>
      </c>
      <c r="O37">
        <v>34</v>
      </c>
      <c r="P37">
        <v>16</v>
      </c>
      <c r="Q37">
        <v>54.6057891999953</v>
      </c>
      <c r="V37">
        <v>54.597089200047698</v>
      </c>
      <c r="W37">
        <v>54.6057891999953</v>
      </c>
      <c r="X37">
        <v>55.106565700029002</v>
      </c>
      <c r="Y37">
        <v>55.106565700029002</v>
      </c>
      <c r="Z37">
        <v>55.106565700029002</v>
      </c>
      <c r="AA37">
        <v>55.926176600041799</v>
      </c>
      <c r="AB37" t="s">
        <v>63</v>
      </c>
      <c r="AC37">
        <v>1</v>
      </c>
      <c r="AD37">
        <v>0.80532189999939796</v>
      </c>
      <c r="AE37" t="s">
        <v>51</v>
      </c>
      <c r="AI37">
        <v>1</v>
      </c>
      <c r="AJ37">
        <v>1</v>
      </c>
      <c r="AK37" t="s">
        <v>42</v>
      </c>
      <c r="AL37" t="s">
        <v>43</v>
      </c>
      <c r="AN37" t="s">
        <v>44</v>
      </c>
      <c r="AO37">
        <v>59.778723070926397</v>
      </c>
      <c r="AP37" t="s">
        <v>45</v>
      </c>
    </row>
    <row r="38" spans="1:42" x14ac:dyDescent="0.3">
      <c r="A38" t="s">
        <v>69</v>
      </c>
      <c r="B38" t="s">
        <v>59</v>
      </c>
      <c r="C38" t="s">
        <v>56</v>
      </c>
      <c r="D38" t="s">
        <v>49</v>
      </c>
      <c r="E38" t="s">
        <v>57</v>
      </c>
      <c r="F38">
        <v>35</v>
      </c>
      <c r="G38">
        <v>15</v>
      </c>
      <c r="H38">
        <v>1</v>
      </c>
      <c r="I38" t="s">
        <v>57</v>
      </c>
      <c r="J38">
        <v>1</v>
      </c>
      <c r="K38">
        <v>0.73971350002102498</v>
      </c>
      <c r="L38" t="s">
        <v>51</v>
      </c>
      <c r="M38">
        <v>1</v>
      </c>
      <c r="N38">
        <v>15</v>
      </c>
      <c r="O38">
        <v>35</v>
      </c>
      <c r="P38">
        <v>5</v>
      </c>
      <c r="Q38">
        <v>55.939836100034803</v>
      </c>
      <c r="V38">
        <v>55.928977100003898</v>
      </c>
      <c r="W38">
        <v>55.939836100034803</v>
      </c>
      <c r="X38">
        <v>56.438719000027</v>
      </c>
      <c r="Y38">
        <v>56.438719000027</v>
      </c>
      <c r="Z38">
        <v>56.438719000027</v>
      </c>
      <c r="AA38">
        <v>57.193243700021398</v>
      </c>
      <c r="AB38" t="s">
        <v>57</v>
      </c>
      <c r="AC38">
        <v>1</v>
      </c>
      <c r="AD38">
        <v>0.73971350002102498</v>
      </c>
      <c r="AE38" t="s">
        <v>51</v>
      </c>
      <c r="AI38">
        <v>1</v>
      </c>
      <c r="AJ38">
        <v>1</v>
      </c>
      <c r="AK38" t="s">
        <v>42</v>
      </c>
      <c r="AL38" t="s">
        <v>43</v>
      </c>
      <c r="AN38" t="s">
        <v>44</v>
      </c>
      <c r="AO38">
        <v>59.778723070926397</v>
      </c>
      <c r="AP38" t="s">
        <v>45</v>
      </c>
    </row>
    <row r="39" spans="1:42" x14ac:dyDescent="0.3">
      <c r="A39" t="s">
        <v>73</v>
      </c>
      <c r="B39" t="s">
        <v>59</v>
      </c>
      <c r="C39" t="s">
        <v>56</v>
      </c>
      <c r="D39" t="s">
        <v>49</v>
      </c>
      <c r="E39" t="s">
        <v>57</v>
      </c>
      <c r="F39">
        <v>36</v>
      </c>
      <c r="G39">
        <v>16</v>
      </c>
      <c r="H39">
        <v>1</v>
      </c>
      <c r="I39" t="s">
        <v>57</v>
      </c>
      <c r="J39">
        <v>1</v>
      </c>
      <c r="K39">
        <v>0.70396889996482004</v>
      </c>
      <c r="L39" t="s">
        <v>51</v>
      </c>
      <c r="M39">
        <v>1</v>
      </c>
      <c r="N39">
        <v>16</v>
      </c>
      <c r="O39">
        <v>36</v>
      </c>
      <c r="P39">
        <v>1</v>
      </c>
      <c r="Q39">
        <v>57.206388799997498</v>
      </c>
      <c r="V39">
        <v>57.196245800005201</v>
      </c>
      <c r="W39">
        <v>57.206388799997498</v>
      </c>
      <c r="X39">
        <v>57.706426499993498</v>
      </c>
      <c r="Y39">
        <v>57.706426499993498</v>
      </c>
      <c r="Z39">
        <v>57.706426499993498</v>
      </c>
      <c r="AA39">
        <v>58.426328500034202</v>
      </c>
      <c r="AB39" t="s">
        <v>57</v>
      </c>
      <c r="AC39">
        <v>1</v>
      </c>
      <c r="AD39">
        <v>0.70396889996482004</v>
      </c>
      <c r="AE39" t="s">
        <v>51</v>
      </c>
      <c r="AI39">
        <v>1</v>
      </c>
      <c r="AJ39">
        <v>1</v>
      </c>
      <c r="AK39" t="s">
        <v>42</v>
      </c>
      <c r="AL39" t="s">
        <v>43</v>
      </c>
      <c r="AN39" t="s">
        <v>44</v>
      </c>
      <c r="AO39">
        <v>59.778723070926397</v>
      </c>
      <c r="AP39" t="s">
        <v>45</v>
      </c>
    </row>
    <row r="40" spans="1:42" x14ac:dyDescent="0.3">
      <c r="A40" t="s">
        <v>60</v>
      </c>
      <c r="B40" t="s">
        <v>59</v>
      </c>
      <c r="C40" t="s">
        <v>61</v>
      </c>
      <c r="D40" t="s">
        <v>62</v>
      </c>
      <c r="E40" t="s">
        <v>63</v>
      </c>
      <c r="F40">
        <v>37</v>
      </c>
      <c r="G40">
        <v>17</v>
      </c>
      <c r="H40">
        <v>1</v>
      </c>
      <c r="I40" t="s">
        <v>63</v>
      </c>
      <c r="J40">
        <v>1</v>
      </c>
      <c r="K40">
        <v>0.73132179997628499</v>
      </c>
      <c r="L40" t="s">
        <v>51</v>
      </c>
      <c r="M40">
        <v>1</v>
      </c>
      <c r="N40">
        <v>17</v>
      </c>
      <c r="O40">
        <v>37</v>
      </c>
      <c r="P40">
        <v>0</v>
      </c>
      <c r="Q40">
        <v>58.439457800006402</v>
      </c>
      <c r="V40">
        <v>58.428820100030798</v>
      </c>
      <c r="W40">
        <v>58.439457800006402</v>
      </c>
      <c r="X40">
        <v>58.938738199998603</v>
      </c>
      <c r="Y40">
        <v>58.938738199998603</v>
      </c>
      <c r="Z40">
        <v>58.938738199998603</v>
      </c>
      <c r="AA40">
        <v>59.676014900032897</v>
      </c>
      <c r="AB40" t="s">
        <v>63</v>
      </c>
      <c r="AC40">
        <v>1</v>
      </c>
      <c r="AD40">
        <v>0.73132179997628499</v>
      </c>
      <c r="AE40" t="s">
        <v>51</v>
      </c>
      <c r="AI40">
        <v>1</v>
      </c>
      <c r="AJ40">
        <v>1</v>
      </c>
      <c r="AK40" t="s">
        <v>42</v>
      </c>
      <c r="AL40" t="s">
        <v>43</v>
      </c>
      <c r="AN40" t="s">
        <v>44</v>
      </c>
      <c r="AO40">
        <v>59.778723070926397</v>
      </c>
      <c r="AP40" t="s">
        <v>45</v>
      </c>
    </row>
    <row r="41" spans="1:42" x14ac:dyDescent="0.3">
      <c r="A41" t="s">
        <v>65</v>
      </c>
      <c r="B41" t="s">
        <v>59</v>
      </c>
      <c r="C41" t="s">
        <v>56</v>
      </c>
      <c r="D41" t="s">
        <v>49</v>
      </c>
      <c r="E41" t="s">
        <v>57</v>
      </c>
      <c r="F41">
        <v>38</v>
      </c>
      <c r="G41">
        <v>18</v>
      </c>
      <c r="H41">
        <v>1</v>
      </c>
      <c r="I41" t="s">
        <v>57</v>
      </c>
      <c r="J41">
        <v>1</v>
      </c>
      <c r="K41">
        <v>0.75086750002810698</v>
      </c>
      <c r="L41" t="s">
        <v>51</v>
      </c>
      <c r="M41">
        <v>1</v>
      </c>
      <c r="N41">
        <v>18</v>
      </c>
      <c r="O41">
        <v>38</v>
      </c>
      <c r="P41">
        <v>9</v>
      </c>
      <c r="Q41">
        <v>59.689187800046</v>
      </c>
      <c r="V41">
        <v>59.678722900047397</v>
      </c>
      <c r="W41">
        <v>59.689187800046</v>
      </c>
      <c r="X41">
        <v>60.189398400019797</v>
      </c>
      <c r="Y41">
        <v>60.189398400019797</v>
      </c>
      <c r="Z41">
        <v>60.189398400019797</v>
      </c>
      <c r="AA41">
        <v>60.942788700049199</v>
      </c>
      <c r="AB41" t="s">
        <v>57</v>
      </c>
      <c r="AC41">
        <v>1</v>
      </c>
      <c r="AD41">
        <v>0.75086750002810698</v>
      </c>
      <c r="AE41" t="s">
        <v>51</v>
      </c>
      <c r="AI41">
        <v>1</v>
      </c>
      <c r="AJ41">
        <v>1</v>
      </c>
      <c r="AK41" t="s">
        <v>42</v>
      </c>
      <c r="AL41" t="s">
        <v>43</v>
      </c>
      <c r="AN41" t="s">
        <v>44</v>
      </c>
      <c r="AO41">
        <v>59.778723070926397</v>
      </c>
      <c r="AP41" t="s">
        <v>45</v>
      </c>
    </row>
    <row r="42" spans="1:42" x14ac:dyDescent="0.3">
      <c r="A42" t="s">
        <v>52</v>
      </c>
      <c r="B42" t="s">
        <v>47</v>
      </c>
      <c r="C42" t="s">
        <v>53</v>
      </c>
      <c r="D42" t="s">
        <v>49</v>
      </c>
      <c r="E42" t="s">
        <v>54</v>
      </c>
      <c r="F42">
        <v>39</v>
      </c>
      <c r="G42">
        <v>19</v>
      </c>
      <c r="H42">
        <v>1</v>
      </c>
      <c r="I42" t="s">
        <v>54</v>
      </c>
      <c r="J42">
        <v>1</v>
      </c>
      <c r="K42">
        <v>0.980700200016144</v>
      </c>
      <c r="L42" t="s">
        <v>51</v>
      </c>
      <c r="M42">
        <v>1</v>
      </c>
      <c r="N42">
        <v>19</v>
      </c>
      <c r="O42">
        <v>39</v>
      </c>
      <c r="P42">
        <v>14</v>
      </c>
      <c r="Q42">
        <v>60.956375400011801</v>
      </c>
      <c r="V42">
        <v>60.945598500023998</v>
      </c>
      <c r="W42">
        <v>60.956375400011801</v>
      </c>
      <c r="X42">
        <v>61.454546199995001</v>
      </c>
      <c r="Y42">
        <v>61.454546199995001</v>
      </c>
      <c r="Z42">
        <v>61.454546199995001</v>
      </c>
      <c r="AA42">
        <v>62.442269799998002</v>
      </c>
      <c r="AB42" t="s">
        <v>54</v>
      </c>
      <c r="AC42">
        <v>1</v>
      </c>
      <c r="AD42">
        <v>0.980700200016144</v>
      </c>
      <c r="AE42" t="s">
        <v>51</v>
      </c>
      <c r="AI42">
        <v>1</v>
      </c>
      <c r="AJ42">
        <v>1</v>
      </c>
      <c r="AK42" t="s">
        <v>42</v>
      </c>
      <c r="AL42" t="s">
        <v>43</v>
      </c>
      <c r="AN42" t="s">
        <v>44</v>
      </c>
      <c r="AO42">
        <v>59.778723070926397</v>
      </c>
      <c r="AP42" t="s">
        <v>45</v>
      </c>
    </row>
    <row r="43" spans="1:42" x14ac:dyDescent="0.3">
      <c r="A43" t="s">
        <v>60</v>
      </c>
      <c r="B43" t="s">
        <v>59</v>
      </c>
      <c r="C43" t="s">
        <v>61</v>
      </c>
      <c r="D43" t="s">
        <v>62</v>
      </c>
      <c r="E43" t="s">
        <v>63</v>
      </c>
      <c r="F43">
        <v>40</v>
      </c>
      <c r="G43">
        <v>0</v>
      </c>
      <c r="H43">
        <v>2</v>
      </c>
      <c r="I43" t="s">
        <v>63</v>
      </c>
      <c r="J43">
        <v>1</v>
      </c>
      <c r="K43">
        <v>0.875049200025387</v>
      </c>
      <c r="L43" t="s">
        <v>51</v>
      </c>
      <c r="M43">
        <v>2</v>
      </c>
      <c r="N43">
        <v>0</v>
      </c>
      <c r="O43">
        <v>40</v>
      </c>
      <c r="P43">
        <v>0</v>
      </c>
      <c r="Q43">
        <v>62.454199600033398</v>
      </c>
      <c r="V43">
        <v>62.444667400035499</v>
      </c>
      <c r="W43">
        <v>62.454199600033398</v>
      </c>
      <c r="X43">
        <v>62.956925700011197</v>
      </c>
      <c r="Y43">
        <v>62.956925700011197</v>
      </c>
      <c r="Z43">
        <v>62.956925700011197</v>
      </c>
      <c r="AA43">
        <v>63.842644700023797</v>
      </c>
      <c r="AB43" t="s">
        <v>63</v>
      </c>
      <c r="AC43">
        <v>1</v>
      </c>
      <c r="AD43">
        <v>0.875049200025387</v>
      </c>
      <c r="AE43" t="s">
        <v>51</v>
      </c>
      <c r="AI43">
        <v>1</v>
      </c>
      <c r="AJ43">
        <v>1</v>
      </c>
      <c r="AK43" t="s">
        <v>42</v>
      </c>
      <c r="AL43" t="s">
        <v>43</v>
      </c>
      <c r="AN43" t="s">
        <v>44</v>
      </c>
      <c r="AO43">
        <v>59.778723070926397</v>
      </c>
      <c r="AP43" t="s">
        <v>45</v>
      </c>
    </row>
    <row r="44" spans="1:42" x14ac:dyDescent="0.3">
      <c r="A44" t="s">
        <v>65</v>
      </c>
      <c r="B44" t="s">
        <v>59</v>
      </c>
      <c r="C44" t="s">
        <v>56</v>
      </c>
      <c r="D44" t="s">
        <v>49</v>
      </c>
      <c r="E44" t="s">
        <v>57</v>
      </c>
      <c r="F44">
        <v>41</v>
      </c>
      <c r="G44">
        <v>1</v>
      </c>
      <c r="H44">
        <v>2</v>
      </c>
      <c r="I44" t="s">
        <v>57</v>
      </c>
      <c r="J44">
        <v>1</v>
      </c>
      <c r="K44">
        <v>0.71260079997591597</v>
      </c>
      <c r="L44" t="s">
        <v>51</v>
      </c>
      <c r="M44">
        <v>2</v>
      </c>
      <c r="N44">
        <v>1</v>
      </c>
      <c r="O44">
        <v>41</v>
      </c>
      <c r="P44">
        <v>9</v>
      </c>
      <c r="Q44">
        <v>63.855401400010997</v>
      </c>
      <c r="V44">
        <v>63.845883800007798</v>
      </c>
      <c r="W44">
        <v>63.855401400010997</v>
      </c>
      <c r="X44">
        <v>64.355440200015394</v>
      </c>
      <c r="Y44">
        <v>64.355440200015394</v>
      </c>
      <c r="Z44">
        <v>64.355440200015394</v>
      </c>
      <c r="AA44">
        <v>65.077360800001699</v>
      </c>
      <c r="AB44" t="s">
        <v>57</v>
      </c>
      <c r="AC44">
        <v>1</v>
      </c>
      <c r="AD44">
        <v>0.71260079997591597</v>
      </c>
      <c r="AE44" t="s">
        <v>51</v>
      </c>
      <c r="AI44">
        <v>1</v>
      </c>
      <c r="AJ44">
        <v>1</v>
      </c>
      <c r="AK44" t="s">
        <v>42</v>
      </c>
      <c r="AL44" t="s">
        <v>43</v>
      </c>
      <c r="AN44" t="s">
        <v>44</v>
      </c>
      <c r="AO44">
        <v>59.778723070926397</v>
      </c>
      <c r="AP44" t="s">
        <v>45</v>
      </c>
    </row>
    <row r="45" spans="1:42" x14ac:dyDescent="0.3">
      <c r="A45" t="s">
        <v>46</v>
      </c>
      <c r="B45" t="s">
        <v>47</v>
      </c>
      <c r="C45" t="s">
        <v>48</v>
      </c>
      <c r="D45" t="s">
        <v>49</v>
      </c>
      <c r="E45" t="s">
        <v>50</v>
      </c>
      <c r="F45">
        <v>42</v>
      </c>
      <c r="G45">
        <v>2</v>
      </c>
      <c r="H45">
        <v>2</v>
      </c>
      <c r="I45" t="s">
        <v>50</v>
      </c>
      <c r="J45">
        <v>1</v>
      </c>
      <c r="K45">
        <v>0.67997120000654798</v>
      </c>
      <c r="L45" t="s">
        <v>51</v>
      </c>
      <c r="M45">
        <v>2</v>
      </c>
      <c r="N45">
        <v>2</v>
      </c>
      <c r="O45">
        <v>42</v>
      </c>
      <c r="P45">
        <v>19</v>
      </c>
      <c r="Q45">
        <v>65.088932400045394</v>
      </c>
      <c r="V45">
        <v>65.080881600035298</v>
      </c>
      <c r="W45">
        <v>65.088932400045394</v>
      </c>
      <c r="X45">
        <v>65.588866300007794</v>
      </c>
      <c r="Y45">
        <v>65.588866300007794</v>
      </c>
      <c r="Z45">
        <v>65.588866300007794</v>
      </c>
      <c r="AA45">
        <v>66.276164400042006</v>
      </c>
      <c r="AB45" t="s">
        <v>50</v>
      </c>
      <c r="AC45">
        <v>1</v>
      </c>
      <c r="AD45">
        <v>0.67997120000654798</v>
      </c>
      <c r="AE45" t="s">
        <v>51</v>
      </c>
      <c r="AI45">
        <v>1</v>
      </c>
      <c r="AJ45">
        <v>1</v>
      </c>
      <c r="AK45" t="s">
        <v>42</v>
      </c>
      <c r="AL45" t="s">
        <v>43</v>
      </c>
      <c r="AN45" t="s">
        <v>44</v>
      </c>
      <c r="AO45">
        <v>59.778723070926397</v>
      </c>
      <c r="AP45" t="s">
        <v>45</v>
      </c>
    </row>
    <row r="46" spans="1:42" x14ac:dyDescent="0.3">
      <c r="A46" t="s">
        <v>64</v>
      </c>
      <c r="B46" t="s">
        <v>47</v>
      </c>
      <c r="C46" t="s">
        <v>53</v>
      </c>
      <c r="D46" t="s">
        <v>49</v>
      </c>
      <c r="E46" t="s">
        <v>54</v>
      </c>
      <c r="F46">
        <v>43</v>
      </c>
      <c r="G46">
        <v>3</v>
      </c>
      <c r="H46">
        <v>2</v>
      </c>
      <c r="I46" t="s">
        <v>63</v>
      </c>
      <c r="J46">
        <v>0</v>
      </c>
      <c r="K46">
        <v>0.68622319999849402</v>
      </c>
      <c r="L46" t="s">
        <v>51</v>
      </c>
      <c r="M46">
        <v>2</v>
      </c>
      <c r="N46">
        <v>3</v>
      </c>
      <c r="O46">
        <v>43</v>
      </c>
      <c r="P46">
        <v>18</v>
      </c>
      <c r="Q46">
        <v>66.288880300009595</v>
      </c>
      <c r="V46">
        <v>66.278802899992996</v>
      </c>
      <c r="W46">
        <v>66.288880300009595</v>
      </c>
      <c r="X46">
        <v>66.7883920000167</v>
      </c>
      <c r="Y46">
        <v>66.7883920000167</v>
      </c>
      <c r="Z46">
        <v>66.7883920000167</v>
      </c>
      <c r="AA46">
        <v>67.475494500016794</v>
      </c>
      <c r="AB46" t="s">
        <v>63</v>
      </c>
      <c r="AC46">
        <v>0</v>
      </c>
      <c r="AD46">
        <v>0.68622319999849402</v>
      </c>
      <c r="AE46" t="s">
        <v>51</v>
      </c>
      <c r="AI46">
        <v>1</v>
      </c>
      <c r="AJ46">
        <v>1</v>
      </c>
      <c r="AK46" t="s">
        <v>42</v>
      </c>
      <c r="AL46" t="s">
        <v>43</v>
      </c>
      <c r="AN46" t="s">
        <v>44</v>
      </c>
      <c r="AO46">
        <v>59.778723070926397</v>
      </c>
      <c r="AP46" t="s">
        <v>45</v>
      </c>
    </row>
    <row r="47" spans="1:42" x14ac:dyDescent="0.3">
      <c r="A47" t="s">
        <v>72</v>
      </c>
      <c r="B47" t="s">
        <v>59</v>
      </c>
      <c r="C47" t="s">
        <v>61</v>
      </c>
      <c r="D47" t="s">
        <v>62</v>
      </c>
      <c r="E47" t="s">
        <v>63</v>
      </c>
      <c r="F47">
        <v>44</v>
      </c>
      <c r="G47">
        <v>4</v>
      </c>
      <c r="H47">
        <v>2</v>
      </c>
      <c r="I47" t="s">
        <v>63</v>
      </c>
      <c r="J47">
        <v>1</v>
      </c>
      <c r="K47">
        <v>0.903859000012744</v>
      </c>
      <c r="L47" t="s">
        <v>51</v>
      </c>
      <c r="M47">
        <v>2</v>
      </c>
      <c r="N47">
        <v>4</v>
      </c>
      <c r="O47">
        <v>44</v>
      </c>
      <c r="P47">
        <v>8</v>
      </c>
      <c r="Q47">
        <v>67.488462500041294</v>
      </c>
      <c r="V47">
        <v>67.478484100021802</v>
      </c>
      <c r="W47">
        <v>67.488462500041294</v>
      </c>
      <c r="X47">
        <v>67.9892720000352</v>
      </c>
      <c r="Y47">
        <v>67.9892720000352</v>
      </c>
      <c r="Z47">
        <v>67.9892720000352</v>
      </c>
      <c r="AA47">
        <v>68.909015700046396</v>
      </c>
      <c r="AB47" t="s">
        <v>63</v>
      </c>
      <c r="AC47">
        <v>1</v>
      </c>
      <c r="AD47">
        <v>0.903859000012744</v>
      </c>
      <c r="AE47" t="s">
        <v>51</v>
      </c>
      <c r="AI47">
        <v>1</v>
      </c>
      <c r="AJ47">
        <v>1</v>
      </c>
      <c r="AK47" t="s">
        <v>42</v>
      </c>
      <c r="AL47" t="s">
        <v>43</v>
      </c>
      <c r="AN47" t="s">
        <v>44</v>
      </c>
      <c r="AO47">
        <v>59.778723070926397</v>
      </c>
      <c r="AP47" t="s">
        <v>45</v>
      </c>
    </row>
    <row r="48" spans="1:42" x14ac:dyDescent="0.3">
      <c r="A48" t="s">
        <v>75</v>
      </c>
      <c r="B48" t="s">
        <v>47</v>
      </c>
      <c r="C48" t="s">
        <v>61</v>
      </c>
      <c r="D48" t="s">
        <v>49</v>
      </c>
      <c r="E48" t="s">
        <v>63</v>
      </c>
      <c r="F48">
        <v>45</v>
      </c>
      <c r="G48">
        <v>5</v>
      </c>
      <c r="H48">
        <v>2</v>
      </c>
      <c r="I48" t="s">
        <v>63</v>
      </c>
      <c r="J48">
        <v>1</v>
      </c>
      <c r="K48">
        <v>1.7657798000145699</v>
      </c>
      <c r="L48" t="s">
        <v>51</v>
      </c>
      <c r="M48">
        <v>2</v>
      </c>
      <c r="N48">
        <v>5</v>
      </c>
      <c r="O48">
        <v>45</v>
      </c>
      <c r="P48">
        <v>16</v>
      </c>
      <c r="Q48">
        <v>68.921843799995202</v>
      </c>
      <c r="V48">
        <v>68.911732300010001</v>
      </c>
      <c r="W48">
        <v>68.921843799995202</v>
      </c>
      <c r="X48">
        <v>69.423137400008201</v>
      </c>
      <c r="Y48">
        <v>69.423137400008201</v>
      </c>
      <c r="Z48">
        <v>69.423137400008201</v>
      </c>
      <c r="AA48">
        <v>71.192689699993906</v>
      </c>
      <c r="AB48" t="s">
        <v>63</v>
      </c>
      <c r="AC48">
        <v>1</v>
      </c>
      <c r="AD48">
        <v>1.7657798000145699</v>
      </c>
      <c r="AE48" t="s">
        <v>51</v>
      </c>
      <c r="AI48">
        <v>1</v>
      </c>
      <c r="AJ48">
        <v>1</v>
      </c>
      <c r="AK48" t="s">
        <v>42</v>
      </c>
      <c r="AL48" t="s">
        <v>43</v>
      </c>
      <c r="AN48" t="s">
        <v>44</v>
      </c>
      <c r="AO48">
        <v>59.778723070926397</v>
      </c>
      <c r="AP48" t="s">
        <v>45</v>
      </c>
    </row>
    <row r="49" spans="1:42" x14ac:dyDescent="0.3">
      <c r="A49" t="s">
        <v>68</v>
      </c>
      <c r="B49" t="s">
        <v>59</v>
      </c>
      <c r="C49" t="s">
        <v>53</v>
      </c>
      <c r="D49" t="s">
        <v>49</v>
      </c>
      <c r="E49" t="s">
        <v>54</v>
      </c>
      <c r="F49">
        <v>46</v>
      </c>
      <c r="G49">
        <v>6</v>
      </c>
      <c r="H49">
        <v>2</v>
      </c>
      <c r="I49" t="s">
        <v>54</v>
      </c>
      <c r="J49">
        <v>1</v>
      </c>
      <c r="K49">
        <v>1.19390510005177</v>
      </c>
      <c r="L49" t="s">
        <v>51</v>
      </c>
      <c r="M49">
        <v>2</v>
      </c>
      <c r="N49">
        <v>6</v>
      </c>
      <c r="O49">
        <v>46</v>
      </c>
      <c r="P49">
        <v>6</v>
      </c>
      <c r="Q49">
        <v>71.205125900043598</v>
      </c>
      <c r="V49">
        <v>71.195649200002606</v>
      </c>
      <c r="W49">
        <v>71.205125900043598</v>
      </c>
      <c r="X49">
        <v>71.704904800048098</v>
      </c>
      <c r="Y49">
        <v>71.704904800048098</v>
      </c>
      <c r="Z49">
        <v>71.704904800048098</v>
      </c>
      <c r="AA49">
        <v>72.908761900034705</v>
      </c>
      <c r="AB49" t="s">
        <v>54</v>
      </c>
      <c r="AC49">
        <v>1</v>
      </c>
      <c r="AD49">
        <v>1.19390510005177</v>
      </c>
      <c r="AE49" t="s">
        <v>51</v>
      </c>
      <c r="AI49">
        <v>1</v>
      </c>
      <c r="AJ49">
        <v>1</v>
      </c>
      <c r="AK49" t="s">
        <v>42</v>
      </c>
      <c r="AL49" t="s">
        <v>43</v>
      </c>
      <c r="AN49" t="s">
        <v>44</v>
      </c>
      <c r="AO49">
        <v>59.778723070926397</v>
      </c>
      <c r="AP49" t="s">
        <v>45</v>
      </c>
    </row>
    <row r="50" spans="1:42" x14ac:dyDescent="0.3">
      <c r="A50" t="s">
        <v>78</v>
      </c>
      <c r="B50" t="s">
        <v>47</v>
      </c>
      <c r="C50" t="s">
        <v>56</v>
      </c>
      <c r="D50" t="s">
        <v>49</v>
      </c>
      <c r="E50" t="s">
        <v>57</v>
      </c>
      <c r="F50">
        <v>47</v>
      </c>
      <c r="G50">
        <v>7</v>
      </c>
      <c r="H50">
        <v>2</v>
      </c>
      <c r="I50" t="s">
        <v>57</v>
      </c>
      <c r="J50">
        <v>1</v>
      </c>
      <c r="K50">
        <v>1.2224168999819001</v>
      </c>
      <c r="L50" t="s">
        <v>51</v>
      </c>
      <c r="M50">
        <v>2</v>
      </c>
      <c r="N50">
        <v>7</v>
      </c>
      <c r="O50">
        <v>47</v>
      </c>
      <c r="P50">
        <v>17</v>
      </c>
      <c r="Q50">
        <v>72.921741800033402</v>
      </c>
      <c r="V50">
        <v>72.911435100017101</v>
      </c>
      <c r="W50">
        <v>72.921741800033402</v>
      </c>
      <c r="X50">
        <v>73.421733500028495</v>
      </c>
      <c r="Y50">
        <v>73.421733500028495</v>
      </c>
      <c r="Z50">
        <v>73.421733500028495</v>
      </c>
      <c r="AA50">
        <v>74.660192600043899</v>
      </c>
      <c r="AB50" t="s">
        <v>57</v>
      </c>
      <c r="AC50">
        <v>1</v>
      </c>
      <c r="AD50">
        <v>1.2224168999819001</v>
      </c>
      <c r="AE50" t="s">
        <v>51</v>
      </c>
      <c r="AI50">
        <v>1</v>
      </c>
      <c r="AJ50">
        <v>1</v>
      </c>
      <c r="AK50" t="s">
        <v>42</v>
      </c>
      <c r="AL50" t="s">
        <v>43</v>
      </c>
      <c r="AN50" t="s">
        <v>44</v>
      </c>
      <c r="AO50">
        <v>59.778723070926397</v>
      </c>
      <c r="AP50" t="s">
        <v>45</v>
      </c>
    </row>
    <row r="51" spans="1:42" x14ac:dyDescent="0.3">
      <c r="A51" t="s">
        <v>70</v>
      </c>
      <c r="B51" t="s">
        <v>59</v>
      </c>
      <c r="C51" t="s">
        <v>53</v>
      </c>
      <c r="D51" t="s">
        <v>49</v>
      </c>
      <c r="E51" t="s">
        <v>54</v>
      </c>
      <c r="F51">
        <v>48</v>
      </c>
      <c r="G51">
        <v>8</v>
      </c>
      <c r="H51">
        <v>2</v>
      </c>
      <c r="I51" t="s">
        <v>54</v>
      </c>
      <c r="J51">
        <v>1</v>
      </c>
      <c r="K51">
        <v>3.52781270002014</v>
      </c>
      <c r="L51" t="s">
        <v>51</v>
      </c>
      <c r="M51">
        <v>2</v>
      </c>
      <c r="N51">
        <v>8</v>
      </c>
      <c r="O51">
        <v>48</v>
      </c>
      <c r="P51">
        <v>2</v>
      </c>
      <c r="Q51">
        <v>74.671313600032505</v>
      </c>
      <c r="V51">
        <v>74.662876999995206</v>
      </c>
      <c r="W51">
        <v>74.671313600032505</v>
      </c>
      <c r="X51">
        <v>75.172367500024805</v>
      </c>
      <c r="Y51">
        <v>75.172367500024805</v>
      </c>
      <c r="Z51">
        <v>75.172367500024805</v>
      </c>
      <c r="AA51">
        <v>78.7083677000482</v>
      </c>
      <c r="AB51" t="s">
        <v>54</v>
      </c>
      <c r="AC51">
        <v>1</v>
      </c>
      <c r="AD51">
        <v>3.52781270002014</v>
      </c>
      <c r="AE51" t="s">
        <v>51</v>
      </c>
      <c r="AI51">
        <v>1</v>
      </c>
      <c r="AJ51">
        <v>1</v>
      </c>
      <c r="AK51" t="s">
        <v>42</v>
      </c>
      <c r="AL51" t="s">
        <v>43</v>
      </c>
      <c r="AN51" t="s">
        <v>44</v>
      </c>
      <c r="AO51">
        <v>59.778723070926397</v>
      </c>
      <c r="AP51" t="s">
        <v>45</v>
      </c>
    </row>
    <row r="52" spans="1:42" x14ac:dyDescent="0.3">
      <c r="A52" t="s">
        <v>69</v>
      </c>
      <c r="B52" t="s">
        <v>59</v>
      </c>
      <c r="C52" t="s">
        <v>56</v>
      </c>
      <c r="D52" t="s">
        <v>49</v>
      </c>
      <c r="E52" t="s">
        <v>57</v>
      </c>
      <c r="F52">
        <v>49</v>
      </c>
      <c r="G52">
        <v>9</v>
      </c>
      <c r="H52">
        <v>2</v>
      </c>
      <c r="I52" t="s">
        <v>57</v>
      </c>
      <c r="J52">
        <v>1</v>
      </c>
      <c r="K52">
        <v>0.84053240000503104</v>
      </c>
      <c r="L52" t="s">
        <v>51</v>
      </c>
      <c r="M52">
        <v>2</v>
      </c>
      <c r="N52">
        <v>9</v>
      </c>
      <c r="O52">
        <v>49</v>
      </c>
      <c r="P52">
        <v>5</v>
      </c>
      <c r="Q52">
        <v>78.721379499998804</v>
      </c>
      <c r="V52">
        <v>78.7115793999983</v>
      </c>
      <c r="W52">
        <v>78.721379499998804</v>
      </c>
      <c r="X52">
        <v>79.221314500027802</v>
      </c>
      <c r="Y52">
        <v>79.221314500027802</v>
      </c>
      <c r="Z52">
        <v>79.221314500027802</v>
      </c>
      <c r="AA52">
        <v>80.076954699994502</v>
      </c>
      <c r="AB52" t="s">
        <v>57</v>
      </c>
      <c r="AC52">
        <v>1</v>
      </c>
      <c r="AD52">
        <v>0.84053240000503104</v>
      </c>
      <c r="AE52" t="s">
        <v>51</v>
      </c>
      <c r="AI52">
        <v>1</v>
      </c>
      <c r="AJ52">
        <v>1</v>
      </c>
      <c r="AK52" t="s">
        <v>42</v>
      </c>
      <c r="AL52" t="s">
        <v>43</v>
      </c>
      <c r="AN52" t="s">
        <v>44</v>
      </c>
      <c r="AO52">
        <v>59.778723070926397</v>
      </c>
      <c r="AP52" t="s">
        <v>45</v>
      </c>
    </row>
    <row r="53" spans="1:42" x14ac:dyDescent="0.3">
      <c r="A53" t="s">
        <v>71</v>
      </c>
      <c r="B53" t="s">
        <v>47</v>
      </c>
      <c r="C53" t="s">
        <v>48</v>
      </c>
      <c r="D53" t="s">
        <v>49</v>
      </c>
      <c r="E53" t="s">
        <v>50</v>
      </c>
      <c r="F53">
        <v>50</v>
      </c>
      <c r="G53">
        <v>10</v>
      </c>
      <c r="H53">
        <v>2</v>
      </c>
      <c r="I53" t="s">
        <v>50</v>
      </c>
      <c r="J53">
        <v>1</v>
      </c>
      <c r="K53">
        <v>0.91597570001613304</v>
      </c>
      <c r="L53" t="s">
        <v>51</v>
      </c>
      <c r="M53">
        <v>2</v>
      </c>
      <c r="N53">
        <v>10</v>
      </c>
      <c r="O53">
        <v>50</v>
      </c>
      <c r="P53">
        <v>15</v>
      </c>
      <c r="Q53">
        <v>80.088736800011205</v>
      </c>
      <c r="V53">
        <v>80.0801708000362</v>
      </c>
      <c r="W53">
        <v>80.088736800011205</v>
      </c>
      <c r="X53">
        <v>80.588910699996603</v>
      </c>
      <c r="Y53">
        <v>80.588910699996603</v>
      </c>
      <c r="Z53">
        <v>80.588910699996603</v>
      </c>
      <c r="AA53">
        <v>81.508823800017097</v>
      </c>
      <c r="AB53" t="s">
        <v>50</v>
      </c>
      <c r="AC53">
        <v>1</v>
      </c>
      <c r="AD53">
        <v>0.91597570001613304</v>
      </c>
      <c r="AE53" t="s">
        <v>51</v>
      </c>
      <c r="AI53">
        <v>1</v>
      </c>
      <c r="AJ53">
        <v>1</v>
      </c>
      <c r="AK53" t="s">
        <v>42</v>
      </c>
      <c r="AL53" t="s">
        <v>43</v>
      </c>
      <c r="AN53" t="s">
        <v>44</v>
      </c>
      <c r="AO53">
        <v>59.778723070926397</v>
      </c>
      <c r="AP53" t="s">
        <v>45</v>
      </c>
    </row>
    <row r="54" spans="1:42" x14ac:dyDescent="0.3">
      <c r="A54" t="s">
        <v>66</v>
      </c>
      <c r="B54" t="s">
        <v>47</v>
      </c>
      <c r="C54" t="s">
        <v>61</v>
      </c>
      <c r="D54" t="s">
        <v>49</v>
      </c>
      <c r="E54" t="s">
        <v>63</v>
      </c>
      <c r="F54">
        <v>51</v>
      </c>
      <c r="G54">
        <v>11</v>
      </c>
      <c r="H54">
        <v>2</v>
      </c>
      <c r="I54" t="s">
        <v>63</v>
      </c>
      <c r="J54">
        <v>1</v>
      </c>
      <c r="K54">
        <v>0.73868609999772095</v>
      </c>
      <c r="L54" t="s">
        <v>51</v>
      </c>
      <c r="M54">
        <v>2</v>
      </c>
      <c r="N54">
        <v>11</v>
      </c>
      <c r="O54">
        <v>51</v>
      </c>
      <c r="P54">
        <v>12</v>
      </c>
      <c r="Q54">
        <v>81.521163200028198</v>
      </c>
      <c r="V54">
        <v>81.512423000007402</v>
      </c>
      <c r="W54">
        <v>81.521163200028198</v>
      </c>
      <c r="X54">
        <v>82.021038900012996</v>
      </c>
      <c r="Y54">
        <v>82.021038900012996</v>
      </c>
      <c r="Z54">
        <v>82.021038900012996</v>
      </c>
      <c r="AA54">
        <v>82.775663700012899</v>
      </c>
      <c r="AB54" t="s">
        <v>63</v>
      </c>
      <c r="AC54">
        <v>1</v>
      </c>
      <c r="AD54">
        <v>0.73868609999772095</v>
      </c>
      <c r="AE54" t="s">
        <v>51</v>
      </c>
      <c r="AI54">
        <v>1</v>
      </c>
      <c r="AJ54">
        <v>1</v>
      </c>
      <c r="AK54" t="s">
        <v>42</v>
      </c>
      <c r="AL54" t="s">
        <v>43</v>
      </c>
      <c r="AN54" t="s">
        <v>44</v>
      </c>
      <c r="AO54">
        <v>59.778723070926397</v>
      </c>
      <c r="AP54" t="s">
        <v>45</v>
      </c>
    </row>
    <row r="55" spans="1:42" x14ac:dyDescent="0.3">
      <c r="A55" t="s">
        <v>55</v>
      </c>
      <c r="B55" t="s">
        <v>47</v>
      </c>
      <c r="C55" t="s">
        <v>56</v>
      </c>
      <c r="D55" t="s">
        <v>49</v>
      </c>
      <c r="E55" t="s">
        <v>57</v>
      </c>
      <c r="F55">
        <v>52</v>
      </c>
      <c r="G55">
        <v>12</v>
      </c>
      <c r="H55">
        <v>2</v>
      </c>
      <c r="I55" t="s">
        <v>57</v>
      </c>
      <c r="J55">
        <v>1</v>
      </c>
      <c r="K55">
        <v>0.71549160004360601</v>
      </c>
      <c r="L55" t="s">
        <v>51</v>
      </c>
      <c r="M55">
        <v>2</v>
      </c>
      <c r="N55">
        <v>12</v>
      </c>
      <c r="O55">
        <v>52</v>
      </c>
      <c r="P55">
        <v>13</v>
      </c>
      <c r="Q55">
        <v>82.788273500045705</v>
      </c>
      <c r="V55">
        <v>82.778454500017602</v>
      </c>
      <c r="W55">
        <v>82.788273500045705</v>
      </c>
      <c r="X55">
        <v>83.287648500001495</v>
      </c>
      <c r="Y55">
        <v>83.287648500001495</v>
      </c>
      <c r="Z55">
        <v>83.287648500001495</v>
      </c>
      <c r="AA55">
        <v>84.008972700044893</v>
      </c>
      <c r="AB55" t="s">
        <v>57</v>
      </c>
      <c r="AC55">
        <v>1</v>
      </c>
      <c r="AD55">
        <v>0.71549160004360601</v>
      </c>
      <c r="AE55" t="s">
        <v>51</v>
      </c>
      <c r="AI55">
        <v>1</v>
      </c>
      <c r="AJ55">
        <v>1</v>
      </c>
      <c r="AK55" t="s">
        <v>42</v>
      </c>
      <c r="AL55" t="s">
        <v>43</v>
      </c>
      <c r="AN55" t="s">
        <v>44</v>
      </c>
      <c r="AO55">
        <v>59.778723070926397</v>
      </c>
      <c r="AP55" t="s">
        <v>45</v>
      </c>
    </row>
    <row r="56" spans="1:42" x14ac:dyDescent="0.3">
      <c r="A56" t="s">
        <v>67</v>
      </c>
      <c r="B56" t="s">
        <v>47</v>
      </c>
      <c r="C56" t="s">
        <v>53</v>
      </c>
      <c r="D56" t="s">
        <v>49</v>
      </c>
      <c r="E56" t="s">
        <v>54</v>
      </c>
      <c r="F56">
        <v>53</v>
      </c>
      <c r="G56">
        <v>13</v>
      </c>
      <c r="H56">
        <v>2</v>
      </c>
      <c r="I56" t="s">
        <v>54</v>
      </c>
      <c r="J56">
        <v>1</v>
      </c>
      <c r="K56">
        <v>0.73290529998484999</v>
      </c>
      <c r="L56" t="s">
        <v>51</v>
      </c>
      <c r="M56">
        <v>2</v>
      </c>
      <c r="N56">
        <v>13</v>
      </c>
      <c r="O56">
        <v>53</v>
      </c>
      <c r="P56">
        <v>10</v>
      </c>
      <c r="Q56">
        <v>84.020908800011895</v>
      </c>
      <c r="V56">
        <v>84.012235600035595</v>
      </c>
      <c r="W56">
        <v>84.020908800011895</v>
      </c>
      <c r="X56">
        <v>84.521762699994696</v>
      </c>
      <c r="Y56">
        <v>84.521762699994696</v>
      </c>
      <c r="Z56">
        <v>84.521762699994696</v>
      </c>
      <c r="AA56">
        <v>85.259154900035298</v>
      </c>
      <c r="AB56" t="s">
        <v>54</v>
      </c>
      <c r="AC56">
        <v>1</v>
      </c>
      <c r="AD56">
        <v>0.73290529998484999</v>
      </c>
      <c r="AE56" t="s">
        <v>51</v>
      </c>
      <c r="AI56">
        <v>1</v>
      </c>
      <c r="AJ56">
        <v>1</v>
      </c>
      <c r="AK56" t="s">
        <v>42</v>
      </c>
      <c r="AL56" t="s">
        <v>43</v>
      </c>
      <c r="AN56" t="s">
        <v>44</v>
      </c>
      <c r="AO56">
        <v>59.778723070926397</v>
      </c>
      <c r="AP56" t="s">
        <v>45</v>
      </c>
    </row>
    <row r="57" spans="1:42" x14ac:dyDescent="0.3">
      <c r="A57" t="s">
        <v>77</v>
      </c>
      <c r="B57" t="s">
        <v>59</v>
      </c>
      <c r="C57" t="s">
        <v>61</v>
      </c>
      <c r="D57" t="s">
        <v>62</v>
      </c>
      <c r="E57" t="s">
        <v>63</v>
      </c>
      <c r="F57">
        <v>54</v>
      </c>
      <c r="G57">
        <v>14</v>
      </c>
      <c r="H57">
        <v>2</v>
      </c>
      <c r="I57" t="s">
        <v>63</v>
      </c>
      <c r="J57">
        <v>1</v>
      </c>
      <c r="K57">
        <v>0.70075700001325403</v>
      </c>
      <c r="L57" t="s">
        <v>51</v>
      </c>
      <c r="M57">
        <v>2</v>
      </c>
      <c r="N57">
        <v>14</v>
      </c>
      <c r="O57">
        <v>54</v>
      </c>
      <c r="P57">
        <v>4</v>
      </c>
      <c r="Q57">
        <v>85.272787399997398</v>
      </c>
      <c r="V57">
        <v>85.262660700012901</v>
      </c>
      <c r="W57">
        <v>85.272787399997398</v>
      </c>
      <c r="X57">
        <v>85.770904000033596</v>
      </c>
      <c r="Y57">
        <v>85.770904000033596</v>
      </c>
      <c r="Z57">
        <v>85.770904000033596</v>
      </c>
      <c r="AA57">
        <v>86.475347200001096</v>
      </c>
      <c r="AB57" t="s">
        <v>63</v>
      </c>
      <c r="AC57">
        <v>1</v>
      </c>
      <c r="AD57">
        <v>0.70075700001325403</v>
      </c>
      <c r="AE57" t="s">
        <v>51</v>
      </c>
      <c r="AI57">
        <v>1</v>
      </c>
      <c r="AJ57">
        <v>1</v>
      </c>
      <c r="AK57" t="s">
        <v>42</v>
      </c>
      <c r="AL57" t="s">
        <v>43</v>
      </c>
      <c r="AN57" t="s">
        <v>44</v>
      </c>
      <c r="AO57">
        <v>59.778723070926397</v>
      </c>
      <c r="AP57" t="s">
        <v>45</v>
      </c>
    </row>
    <row r="58" spans="1:42" x14ac:dyDescent="0.3">
      <c r="A58" t="s">
        <v>74</v>
      </c>
      <c r="B58" t="s">
        <v>47</v>
      </c>
      <c r="C58" t="s">
        <v>48</v>
      </c>
      <c r="D58" t="s">
        <v>49</v>
      </c>
      <c r="E58" t="s">
        <v>50</v>
      </c>
      <c r="F58">
        <v>55</v>
      </c>
      <c r="G58">
        <v>15</v>
      </c>
      <c r="H58">
        <v>2</v>
      </c>
      <c r="I58" t="s">
        <v>57</v>
      </c>
      <c r="J58">
        <v>0</v>
      </c>
      <c r="K58">
        <v>0.59687959996517703</v>
      </c>
      <c r="L58" t="s">
        <v>51</v>
      </c>
      <c r="M58">
        <v>2</v>
      </c>
      <c r="N58">
        <v>15</v>
      </c>
      <c r="O58">
        <v>55</v>
      </c>
      <c r="P58">
        <v>11</v>
      </c>
      <c r="Q58">
        <v>86.488400800037198</v>
      </c>
      <c r="V58">
        <v>86.478497000003699</v>
      </c>
      <c r="W58">
        <v>86.488400800037198</v>
      </c>
      <c r="X58">
        <v>86.987920000043204</v>
      </c>
      <c r="Y58">
        <v>86.987920000043204</v>
      </c>
      <c r="Z58">
        <v>86.987920000043204</v>
      </c>
      <c r="AA58">
        <v>87.591250500001394</v>
      </c>
      <c r="AB58" t="s">
        <v>57</v>
      </c>
      <c r="AC58">
        <v>0</v>
      </c>
      <c r="AD58">
        <v>0.59687959996517703</v>
      </c>
      <c r="AE58" t="s">
        <v>51</v>
      </c>
      <c r="AI58">
        <v>1</v>
      </c>
      <c r="AJ58">
        <v>1</v>
      </c>
      <c r="AK58" t="s">
        <v>42</v>
      </c>
      <c r="AL58" t="s">
        <v>43</v>
      </c>
      <c r="AN58" t="s">
        <v>44</v>
      </c>
      <c r="AO58">
        <v>59.778723070926397</v>
      </c>
      <c r="AP58" t="s">
        <v>45</v>
      </c>
    </row>
    <row r="59" spans="1:42" x14ac:dyDescent="0.3">
      <c r="A59" t="s">
        <v>52</v>
      </c>
      <c r="B59" t="s">
        <v>47</v>
      </c>
      <c r="C59" t="s">
        <v>53</v>
      </c>
      <c r="D59" t="s">
        <v>49</v>
      </c>
      <c r="E59" t="s">
        <v>54</v>
      </c>
      <c r="F59">
        <v>56</v>
      </c>
      <c r="G59">
        <v>16</v>
      </c>
      <c r="H59">
        <v>2</v>
      </c>
      <c r="I59" t="s">
        <v>54</v>
      </c>
      <c r="J59">
        <v>1</v>
      </c>
      <c r="K59">
        <v>2.0791054999572198</v>
      </c>
      <c r="L59" t="s">
        <v>51</v>
      </c>
      <c r="M59">
        <v>2</v>
      </c>
      <c r="N59">
        <v>16</v>
      </c>
      <c r="O59">
        <v>56</v>
      </c>
      <c r="P59">
        <v>14</v>
      </c>
      <c r="Q59">
        <v>87.605404800036894</v>
      </c>
      <c r="V59">
        <v>87.594005900027696</v>
      </c>
      <c r="W59">
        <v>87.605404800036894</v>
      </c>
      <c r="X59">
        <v>88.105055499996496</v>
      </c>
      <c r="Y59">
        <v>88.105055499996496</v>
      </c>
      <c r="Z59">
        <v>88.105055499996496</v>
      </c>
      <c r="AA59">
        <v>90.192537299997596</v>
      </c>
      <c r="AB59" t="s">
        <v>54</v>
      </c>
      <c r="AC59">
        <v>1</v>
      </c>
      <c r="AD59">
        <v>2.0791054999572198</v>
      </c>
      <c r="AE59" t="s">
        <v>51</v>
      </c>
      <c r="AI59">
        <v>1</v>
      </c>
      <c r="AJ59">
        <v>1</v>
      </c>
      <c r="AK59" t="s">
        <v>42</v>
      </c>
      <c r="AL59" t="s">
        <v>43</v>
      </c>
      <c r="AN59" t="s">
        <v>44</v>
      </c>
      <c r="AO59">
        <v>59.778723070926397</v>
      </c>
      <c r="AP59" t="s">
        <v>45</v>
      </c>
    </row>
    <row r="60" spans="1:42" x14ac:dyDescent="0.3">
      <c r="A60" t="s">
        <v>76</v>
      </c>
      <c r="B60" t="s">
        <v>59</v>
      </c>
      <c r="C60" t="s">
        <v>48</v>
      </c>
      <c r="D60" t="s">
        <v>49</v>
      </c>
      <c r="E60" t="s">
        <v>50</v>
      </c>
      <c r="F60">
        <v>57</v>
      </c>
      <c r="G60">
        <v>17</v>
      </c>
      <c r="H60">
        <v>2</v>
      </c>
      <c r="I60" t="s">
        <v>50</v>
      </c>
      <c r="J60">
        <v>1</v>
      </c>
      <c r="K60">
        <v>1.1079665000434</v>
      </c>
      <c r="L60" t="s">
        <v>51</v>
      </c>
      <c r="M60">
        <v>2</v>
      </c>
      <c r="N60">
        <v>17</v>
      </c>
      <c r="O60">
        <v>57</v>
      </c>
      <c r="P60">
        <v>3</v>
      </c>
      <c r="Q60">
        <v>90.204383300035204</v>
      </c>
      <c r="V60">
        <v>90.196062400005701</v>
      </c>
      <c r="W60">
        <v>90.204383300035204</v>
      </c>
      <c r="X60">
        <v>90.7048271000385</v>
      </c>
      <c r="Y60">
        <v>90.7048271000385</v>
      </c>
      <c r="Z60">
        <v>90.7048271000385</v>
      </c>
      <c r="AA60">
        <v>91.825408300035605</v>
      </c>
      <c r="AB60" t="s">
        <v>50</v>
      </c>
      <c r="AC60">
        <v>1</v>
      </c>
      <c r="AD60">
        <v>1.1079665000434</v>
      </c>
      <c r="AE60" t="s">
        <v>51</v>
      </c>
      <c r="AI60">
        <v>1</v>
      </c>
      <c r="AJ60">
        <v>1</v>
      </c>
      <c r="AK60" t="s">
        <v>42</v>
      </c>
      <c r="AL60" t="s">
        <v>43</v>
      </c>
      <c r="AN60" t="s">
        <v>44</v>
      </c>
      <c r="AO60">
        <v>59.778723070926397</v>
      </c>
      <c r="AP60" t="s">
        <v>45</v>
      </c>
    </row>
    <row r="61" spans="1:42" x14ac:dyDescent="0.3">
      <c r="A61" t="s">
        <v>58</v>
      </c>
      <c r="B61" t="s">
        <v>59</v>
      </c>
      <c r="C61" t="s">
        <v>48</v>
      </c>
      <c r="D61" t="s">
        <v>49</v>
      </c>
      <c r="E61" t="s">
        <v>50</v>
      </c>
      <c r="F61">
        <v>58</v>
      </c>
      <c r="G61">
        <v>18</v>
      </c>
      <c r="H61">
        <v>2</v>
      </c>
      <c r="I61" t="s">
        <v>50</v>
      </c>
      <c r="J61">
        <v>1</v>
      </c>
      <c r="K61">
        <v>1.0445674000075</v>
      </c>
      <c r="L61" t="s">
        <v>51</v>
      </c>
      <c r="M61">
        <v>2</v>
      </c>
      <c r="N61">
        <v>18</v>
      </c>
      <c r="O61">
        <v>58</v>
      </c>
      <c r="P61">
        <v>7</v>
      </c>
      <c r="Q61">
        <v>91.8371914000017</v>
      </c>
      <c r="V61">
        <v>91.828449800028395</v>
      </c>
      <c r="W61">
        <v>91.8371914000017</v>
      </c>
      <c r="X61">
        <v>92.337367100000804</v>
      </c>
      <c r="Y61">
        <v>92.337367100000804</v>
      </c>
      <c r="Z61">
        <v>92.337367100000804</v>
      </c>
      <c r="AA61">
        <v>93.391291900013996</v>
      </c>
      <c r="AB61" t="s">
        <v>50</v>
      </c>
      <c r="AC61">
        <v>1</v>
      </c>
      <c r="AD61">
        <v>1.0445674000075</v>
      </c>
      <c r="AE61" t="s">
        <v>51</v>
      </c>
      <c r="AI61">
        <v>1</v>
      </c>
      <c r="AJ61">
        <v>1</v>
      </c>
      <c r="AK61" t="s">
        <v>42</v>
      </c>
      <c r="AL61" t="s">
        <v>43</v>
      </c>
      <c r="AN61" t="s">
        <v>44</v>
      </c>
      <c r="AO61">
        <v>59.778723070926397</v>
      </c>
      <c r="AP61" t="s">
        <v>45</v>
      </c>
    </row>
    <row r="62" spans="1:42" x14ac:dyDescent="0.3">
      <c r="A62" t="s">
        <v>73</v>
      </c>
      <c r="B62" t="s">
        <v>59</v>
      </c>
      <c r="C62" t="s">
        <v>56</v>
      </c>
      <c r="D62" t="s">
        <v>49</v>
      </c>
      <c r="E62" t="s">
        <v>57</v>
      </c>
      <c r="F62">
        <v>59</v>
      </c>
      <c r="G62">
        <v>19</v>
      </c>
      <c r="H62">
        <v>2</v>
      </c>
      <c r="I62" t="s">
        <v>57</v>
      </c>
      <c r="J62">
        <v>1</v>
      </c>
      <c r="K62">
        <v>0.77238670003134702</v>
      </c>
      <c r="L62" t="s">
        <v>51</v>
      </c>
      <c r="M62">
        <v>2</v>
      </c>
      <c r="N62">
        <v>19</v>
      </c>
      <c r="O62">
        <v>59</v>
      </c>
      <c r="P62">
        <v>1</v>
      </c>
      <c r="Q62">
        <v>93.403991100029003</v>
      </c>
      <c r="V62">
        <v>93.393998200015602</v>
      </c>
      <c r="W62">
        <v>93.403991100029003</v>
      </c>
      <c r="X62">
        <v>93.902928800031006</v>
      </c>
      <c r="Y62">
        <v>93.902928800031006</v>
      </c>
      <c r="Z62">
        <v>93.902928800031006</v>
      </c>
      <c r="AA62">
        <v>94.690341600042302</v>
      </c>
      <c r="AB62" t="s">
        <v>57</v>
      </c>
      <c r="AC62">
        <v>1</v>
      </c>
      <c r="AD62">
        <v>0.77238670003134702</v>
      </c>
      <c r="AE62" t="s">
        <v>51</v>
      </c>
      <c r="AI62">
        <v>1</v>
      </c>
      <c r="AJ62">
        <v>1</v>
      </c>
      <c r="AK62" t="s">
        <v>42</v>
      </c>
      <c r="AL62" t="s">
        <v>43</v>
      </c>
      <c r="AN62" t="s">
        <v>44</v>
      </c>
      <c r="AO62">
        <v>59.778723070926397</v>
      </c>
      <c r="AP62" t="s">
        <v>45</v>
      </c>
    </row>
    <row r="63" spans="1:42" x14ac:dyDescent="0.3">
      <c r="A63" t="s">
        <v>64</v>
      </c>
      <c r="B63" t="s">
        <v>47</v>
      </c>
      <c r="C63" t="s">
        <v>53</v>
      </c>
      <c r="D63" t="s">
        <v>49</v>
      </c>
      <c r="E63" t="s">
        <v>54</v>
      </c>
      <c r="F63">
        <v>60</v>
      </c>
      <c r="G63">
        <v>0</v>
      </c>
      <c r="H63">
        <v>3</v>
      </c>
      <c r="I63" t="s">
        <v>54</v>
      </c>
      <c r="J63">
        <v>1</v>
      </c>
      <c r="K63">
        <v>1.3039797000237701</v>
      </c>
      <c r="L63" t="s">
        <v>51</v>
      </c>
      <c r="M63">
        <v>3</v>
      </c>
      <c r="N63">
        <v>0</v>
      </c>
      <c r="O63">
        <v>60</v>
      </c>
      <c r="P63">
        <v>18</v>
      </c>
      <c r="Q63">
        <v>94.703216099995103</v>
      </c>
      <c r="V63">
        <v>94.692986100038894</v>
      </c>
      <c r="W63">
        <v>94.703216099995103</v>
      </c>
      <c r="X63">
        <v>95.203500800009294</v>
      </c>
      <c r="Y63">
        <v>95.203500800009294</v>
      </c>
      <c r="Z63">
        <v>95.203500800009294</v>
      </c>
      <c r="AA63">
        <v>96.523076200042794</v>
      </c>
      <c r="AB63" t="s">
        <v>54</v>
      </c>
      <c r="AC63">
        <v>1</v>
      </c>
      <c r="AD63">
        <v>1.3039797000237701</v>
      </c>
      <c r="AE63" t="s">
        <v>51</v>
      </c>
      <c r="AI63">
        <v>1</v>
      </c>
      <c r="AJ63">
        <v>1</v>
      </c>
      <c r="AK63" t="s">
        <v>42</v>
      </c>
      <c r="AL63" t="s">
        <v>43</v>
      </c>
      <c r="AN63" t="s">
        <v>44</v>
      </c>
      <c r="AO63">
        <v>59.778723070926397</v>
      </c>
      <c r="AP63" t="s">
        <v>45</v>
      </c>
    </row>
    <row r="64" spans="1:42" x14ac:dyDescent="0.3">
      <c r="A64" t="s">
        <v>73</v>
      </c>
      <c r="B64" t="s">
        <v>59</v>
      </c>
      <c r="C64" t="s">
        <v>56</v>
      </c>
      <c r="D64" t="s">
        <v>49</v>
      </c>
      <c r="E64" t="s">
        <v>57</v>
      </c>
      <c r="F64">
        <v>61</v>
      </c>
      <c r="G64">
        <v>1</v>
      </c>
      <c r="H64">
        <v>3</v>
      </c>
      <c r="I64" t="s">
        <v>57</v>
      </c>
      <c r="J64">
        <v>1</v>
      </c>
      <c r="K64">
        <v>0.830294399987906</v>
      </c>
      <c r="L64" t="s">
        <v>51</v>
      </c>
      <c r="M64">
        <v>3</v>
      </c>
      <c r="N64">
        <v>1</v>
      </c>
      <c r="O64">
        <v>61</v>
      </c>
      <c r="P64">
        <v>1</v>
      </c>
      <c r="Q64">
        <v>96.536251200013794</v>
      </c>
      <c r="V64">
        <v>96.525140100042293</v>
      </c>
      <c r="W64">
        <v>96.536251200013794</v>
      </c>
      <c r="X64">
        <v>97.037165000045206</v>
      </c>
      <c r="Y64">
        <v>97.037165000045206</v>
      </c>
      <c r="Z64">
        <v>97.037165000045206</v>
      </c>
      <c r="AA64">
        <v>97.872903900046296</v>
      </c>
      <c r="AB64" t="s">
        <v>57</v>
      </c>
      <c r="AC64">
        <v>1</v>
      </c>
      <c r="AD64">
        <v>0.830294399987906</v>
      </c>
      <c r="AE64" t="s">
        <v>51</v>
      </c>
      <c r="AI64">
        <v>1</v>
      </c>
      <c r="AJ64">
        <v>1</v>
      </c>
      <c r="AK64" t="s">
        <v>42</v>
      </c>
      <c r="AL64" t="s">
        <v>43</v>
      </c>
      <c r="AN64" t="s">
        <v>44</v>
      </c>
      <c r="AO64">
        <v>59.778723070926397</v>
      </c>
      <c r="AP64" t="s">
        <v>45</v>
      </c>
    </row>
    <row r="65" spans="1:42" x14ac:dyDescent="0.3">
      <c r="A65" t="s">
        <v>67</v>
      </c>
      <c r="B65" t="s">
        <v>47</v>
      </c>
      <c r="C65" t="s">
        <v>53</v>
      </c>
      <c r="D65" t="s">
        <v>49</v>
      </c>
      <c r="E65" t="s">
        <v>54</v>
      </c>
      <c r="F65">
        <v>62</v>
      </c>
      <c r="G65">
        <v>2</v>
      </c>
      <c r="H65">
        <v>3</v>
      </c>
      <c r="I65" t="s">
        <v>54</v>
      </c>
      <c r="J65">
        <v>1</v>
      </c>
      <c r="K65">
        <v>1.08055549999699</v>
      </c>
      <c r="L65" t="s">
        <v>51</v>
      </c>
      <c r="M65">
        <v>3</v>
      </c>
      <c r="N65">
        <v>2</v>
      </c>
      <c r="O65">
        <v>62</v>
      </c>
      <c r="P65">
        <v>10</v>
      </c>
      <c r="Q65">
        <v>97.886501800036001</v>
      </c>
      <c r="V65">
        <v>97.875290099997002</v>
      </c>
      <c r="W65">
        <v>97.886501800036001</v>
      </c>
      <c r="X65">
        <v>98.386309400026207</v>
      </c>
      <c r="Y65">
        <v>98.386309400026207</v>
      </c>
      <c r="Z65">
        <v>98.386309400026207</v>
      </c>
      <c r="AA65">
        <v>99.4748280000058</v>
      </c>
      <c r="AB65" t="s">
        <v>54</v>
      </c>
      <c r="AC65">
        <v>1</v>
      </c>
      <c r="AD65">
        <v>1.08055549999699</v>
      </c>
      <c r="AE65" t="s">
        <v>51</v>
      </c>
      <c r="AI65">
        <v>1</v>
      </c>
      <c r="AJ65">
        <v>1</v>
      </c>
      <c r="AK65" t="s">
        <v>42</v>
      </c>
      <c r="AL65" t="s">
        <v>43</v>
      </c>
      <c r="AN65" t="s">
        <v>44</v>
      </c>
      <c r="AO65">
        <v>59.778723070926397</v>
      </c>
      <c r="AP65" t="s">
        <v>45</v>
      </c>
    </row>
    <row r="66" spans="1:42" x14ac:dyDescent="0.3">
      <c r="A66" t="s">
        <v>69</v>
      </c>
      <c r="B66" t="s">
        <v>59</v>
      </c>
      <c r="C66" t="s">
        <v>56</v>
      </c>
      <c r="D66" t="s">
        <v>49</v>
      </c>
      <c r="E66" t="s">
        <v>57</v>
      </c>
      <c r="F66">
        <v>63</v>
      </c>
      <c r="G66">
        <v>3</v>
      </c>
      <c r="H66">
        <v>3</v>
      </c>
      <c r="I66" t="s">
        <v>57</v>
      </c>
      <c r="J66">
        <v>1</v>
      </c>
      <c r="K66">
        <v>0.77397420001216199</v>
      </c>
      <c r="L66" t="s">
        <v>51</v>
      </c>
      <c r="M66">
        <v>3</v>
      </c>
      <c r="N66">
        <v>3</v>
      </c>
      <c r="O66">
        <v>63</v>
      </c>
      <c r="P66">
        <v>5</v>
      </c>
      <c r="Q66">
        <v>99.486757900041994</v>
      </c>
      <c r="V66">
        <v>99.478418000042396</v>
      </c>
      <c r="W66">
        <v>99.486757900041994</v>
      </c>
      <c r="X66">
        <v>99.986945300013701</v>
      </c>
      <c r="Y66">
        <v>99.986945300013701</v>
      </c>
      <c r="Z66">
        <v>99.986945300013701</v>
      </c>
      <c r="AA66">
        <v>100.77439199999201</v>
      </c>
      <c r="AB66" t="s">
        <v>57</v>
      </c>
      <c r="AC66">
        <v>1</v>
      </c>
      <c r="AD66">
        <v>0.77397420001216199</v>
      </c>
      <c r="AE66" t="s">
        <v>51</v>
      </c>
      <c r="AI66">
        <v>1</v>
      </c>
      <c r="AJ66">
        <v>1</v>
      </c>
      <c r="AK66" t="s">
        <v>42</v>
      </c>
      <c r="AL66" t="s">
        <v>43</v>
      </c>
      <c r="AN66" t="s">
        <v>44</v>
      </c>
      <c r="AO66">
        <v>59.778723070926397</v>
      </c>
      <c r="AP66" t="s">
        <v>45</v>
      </c>
    </row>
    <row r="67" spans="1:42" x14ac:dyDescent="0.3">
      <c r="A67" t="s">
        <v>72</v>
      </c>
      <c r="B67" t="s">
        <v>59</v>
      </c>
      <c r="C67" t="s">
        <v>61</v>
      </c>
      <c r="D67" t="s">
        <v>62</v>
      </c>
      <c r="E67" t="s">
        <v>63</v>
      </c>
      <c r="F67">
        <v>64</v>
      </c>
      <c r="G67">
        <v>4</v>
      </c>
      <c r="H67">
        <v>3</v>
      </c>
      <c r="I67" t="s">
        <v>63</v>
      </c>
      <c r="J67">
        <v>1</v>
      </c>
      <c r="K67">
        <v>0.71493349998490796</v>
      </c>
      <c r="L67" t="s">
        <v>51</v>
      </c>
      <c r="M67">
        <v>3</v>
      </c>
      <c r="N67">
        <v>4</v>
      </c>
      <c r="O67">
        <v>64</v>
      </c>
      <c r="P67">
        <v>8</v>
      </c>
      <c r="Q67">
        <v>100.78720070002601</v>
      </c>
      <c r="V67">
        <v>100.777318600041</v>
      </c>
      <c r="W67">
        <v>100.78720070002601</v>
      </c>
      <c r="X67">
        <v>101.28747999999899</v>
      </c>
      <c r="Y67">
        <v>101.28747999999899</v>
      </c>
      <c r="Z67">
        <v>101.28747999999899</v>
      </c>
      <c r="AA67">
        <v>102.00765430001699</v>
      </c>
      <c r="AB67" t="s">
        <v>63</v>
      </c>
      <c r="AC67">
        <v>1</v>
      </c>
      <c r="AD67">
        <v>0.71493349998490796</v>
      </c>
      <c r="AE67" t="s">
        <v>51</v>
      </c>
      <c r="AI67">
        <v>1</v>
      </c>
      <c r="AJ67">
        <v>1</v>
      </c>
      <c r="AK67" t="s">
        <v>42</v>
      </c>
      <c r="AL67" t="s">
        <v>43</v>
      </c>
      <c r="AN67" t="s">
        <v>44</v>
      </c>
      <c r="AO67">
        <v>59.778723070926397</v>
      </c>
      <c r="AP67" t="s">
        <v>45</v>
      </c>
    </row>
    <row r="68" spans="1:42" x14ac:dyDescent="0.3">
      <c r="A68" t="s">
        <v>71</v>
      </c>
      <c r="B68" t="s">
        <v>47</v>
      </c>
      <c r="C68" t="s">
        <v>48</v>
      </c>
      <c r="D68" t="s">
        <v>49</v>
      </c>
      <c r="E68" t="s">
        <v>50</v>
      </c>
      <c r="F68">
        <v>65</v>
      </c>
      <c r="G68">
        <v>5</v>
      </c>
      <c r="H68">
        <v>3</v>
      </c>
      <c r="I68" t="s">
        <v>50</v>
      </c>
      <c r="J68">
        <v>1</v>
      </c>
      <c r="K68">
        <v>0.97530719998758197</v>
      </c>
      <c r="L68" t="s">
        <v>51</v>
      </c>
      <c r="M68">
        <v>3</v>
      </c>
      <c r="N68">
        <v>5</v>
      </c>
      <c r="O68">
        <v>65</v>
      </c>
      <c r="P68">
        <v>15</v>
      </c>
      <c r="Q68">
        <v>102.020629900041</v>
      </c>
      <c r="V68">
        <v>102.010892599995</v>
      </c>
      <c r="W68">
        <v>102.020629900041</v>
      </c>
      <c r="X68">
        <v>102.520542100013</v>
      </c>
      <c r="Y68">
        <v>102.520542100013</v>
      </c>
      <c r="Z68">
        <v>102.520542100013</v>
      </c>
      <c r="AA68">
        <v>103.507212700031</v>
      </c>
      <c r="AB68" t="s">
        <v>50</v>
      </c>
      <c r="AC68">
        <v>1</v>
      </c>
      <c r="AD68">
        <v>0.97530719998758197</v>
      </c>
      <c r="AE68" t="s">
        <v>51</v>
      </c>
      <c r="AI68">
        <v>1</v>
      </c>
      <c r="AJ68">
        <v>1</v>
      </c>
      <c r="AK68" t="s">
        <v>42</v>
      </c>
      <c r="AL68" t="s">
        <v>43</v>
      </c>
      <c r="AN68" t="s">
        <v>44</v>
      </c>
      <c r="AO68">
        <v>59.778723070926397</v>
      </c>
      <c r="AP68" t="s">
        <v>45</v>
      </c>
    </row>
    <row r="69" spans="1:42" x14ac:dyDescent="0.3">
      <c r="A69" t="s">
        <v>60</v>
      </c>
      <c r="B69" t="s">
        <v>59</v>
      </c>
      <c r="C69" t="s">
        <v>61</v>
      </c>
      <c r="D69" t="s">
        <v>62</v>
      </c>
      <c r="E69" t="s">
        <v>63</v>
      </c>
      <c r="F69">
        <v>66</v>
      </c>
      <c r="G69">
        <v>6</v>
      </c>
      <c r="H69">
        <v>3</v>
      </c>
      <c r="I69" t="s">
        <v>63</v>
      </c>
      <c r="J69">
        <v>1</v>
      </c>
      <c r="K69">
        <v>0.95050129998708099</v>
      </c>
      <c r="L69" t="s">
        <v>51</v>
      </c>
      <c r="M69">
        <v>3</v>
      </c>
      <c r="N69">
        <v>6</v>
      </c>
      <c r="O69">
        <v>66</v>
      </c>
      <c r="P69">
        <v>0</v>
      </c>
      <c r="Q69">
        <v>103.520273500005</v>
      </c>
      <c r="V69">
        <v>103.510145900014</v>
      </c>
      <c r="W69">
        <v>103.520273500005</v>
      </c>
      <c r="X69">
        <v>104.020866600039</v>
      </c>
      <c r="Y69">
        <v>104.020866600039</v>
      </c>
      <c r="Z69">
        <v>104.020866600039</v>
      </c>
      <c r="AA69">
        <v>104.973938500043</v>
      </c>
      <c r="AB69" t="s">
        <v>63</v>
      </c>
      <c r="AC69">
        <v>1</v>
      </c>
      <c r="AD69">
        <v>0.95050129998708099</v>
      </c>
      <c r="AE69" t="s">
        <v>51</v>
      </c>
      <c r="AI69">
        <v>1</v>
      </c>
      <c r="AJ69">
        <v>1</v>
      </c>
      <c r="AK69" t="s">
        <v>42</v>
      </c>
      <c r="AL69" t="s">
        <v>43</v>
      </c>
      <c r="AN69" t="s">
        <v>44</v>
      </c>
      <c r="AO69">
        <v>59.778723070926397</v>
      </c>
      <c r="AP69" t="s">
        <v>45</v>
      </c>
    </row>
    <row r="70" spans="1:42" x14ac:dyDescent="0.3">
      <c r="A70" t="s">
        <v>58</v>
      </c>
      <c r="B70" t="s">
        <v>59</v>
      </c>
      <c r="C70" t="s">
        <v>48</v>
      </c>
      <c r="D70" t="s">
        <v>49</v>
      </c>
      <c r="E70" t="s">
        <v>50</v>
      </c>
      <c r="F70">
        <v>67</v>
      </c>
      <c r="G70">
        <v>7</v>
      </c>
      <c r="H70">
        <v>3</v>
      </c>
      <c r="I70" t="s">
        <v>50</v>
      </c>
      <c r="J70">
        <v>1</v>
      </c>
      <c r="K70">
        <v>0.90535789995919902</v>
      </c>
      <c r="L70" t="s">
        <v>51</v>
      </c>
      <c r="M70">
        <v>3</v>
      </c>
      <c r="N70">
        <v>7</v>
      </c>
      <c r="O70">
        <v>67</v>
      </c>
      <c r="P70">
        <v>7</v>
      </c>
      <c r="Q70">
        <v>104.987468500039</v>
      </c>
      <c r="V70">
        <v>104.97750370000701</v>
      </c>
      <c r="W70">
        <v>104.987468500039</v>
      </c>
      <c r="X70">
        <v>105.488889300031</v>
      </c>
      <c r="Y70">
        <v>105.488889300031</v>
      </c>
      <c r="Z70">
        <v>105.488889300031</v>
      </c>
      <c r="AA70">
        <v>106.40764430002299</v>
      </c>
      <c r="AB70" t="s">
        <v>50</v>
      </c>
      <c r="AC70">
        <v>1</v>
      </c>
      <c r="AD70">
        <v>0.90535789995919902</v>
      </c>
      <c r="AE70" t="s">
        <v>51</v>
      </c>
      <c r="AI70">
        <v>1</v>
      </c>
      <c r="AJ70">
        <v>1</v>
      </c>
      <c r="AK70" t="s">
        <v>42</v>
      </c>
      <c r="AL70" t="s">
        <v>43</v>
      </c>
      <c r="AN70" t="s">
        <v>44</v>
      </c>
      <c r="AO70">
        <v>59.778723070926397</v>
      </c>
      <c r="AP70" t="s">
        <v>45</v>
      </c>
    </row>
    <row r="71" spans="1:42" x14ac:dyDescent="0.3">
      <c r="A71" t="s">
        <v>55</v>
      </c>
      <c r="B71" t="s">
        <v>47</v>
      </c>
      <c r="C71" t="s">
        <v>56</v>
      </c>
      <c r="D71" t="s">
        <v>49</v>
      </c>
      <c r="E71" t="s">
        <v>57</v>
      </c>
      <c r="F71">
        <v>68</v>
      </c>
      <c r="G71">
        <v>8</v>
      </c>
      <c r="H71">
        <v>3</v>
      </c>
      <c r="I71" t="s">
        <v>57</v>
      </c>
      <c r="J71">
        <v>1</v>
      </c>
      <c r="K71">
        <v>0.70072650001384296</v>
      </c>
      <c r="L71" t="s">
        <v>51</v>
      </c>
      <c r="M71">
        <v>3</v>
      </c>
      <c r="N71">
        <v>8</v>
      </c>
      <c r="O71">
        <v>68</v>
      </c>
      <c r="P71">
        <v>13</v>
      </c>
      <c r="Q71">
        <v>106.420130800048</v>
      </c>
      <c r="V71">
        <v>106.410905600001</v>
      </c>
      <c r="W71">
        <v>106.420130800048</v>
      </c>
      <c r="X71">
        <v>106.920296300027</v>
      </c>
      <c r="Y71">
        <v>106.920296300027</v>
      </c>
      <c r="Z71">
        <v>106.920296300027</v>
      </c>
      <c r="AA71">
        <v>107.624720300023</v>
      </c>
      <c r="AB71" t="s">
        <v>57</v>
      </c>
      <c r="AC71">
        <v>1</v>
      </c>
      <c r="AD71">
        <v>0.70072650001384296</v>
      </c>
      <c r="AE71" t="s">
        <v>51</v>
      </c>
      <c r="AI71">
        <v>1</v>
      </c>
      <c r="AJ71">
        <v>1</v>
      </c>
      <c r="AK71" t="s">
        <v>42</v>
      </c>
      <c r="AL71" t="s">
        <v>43</v>
      </c>
      <c r="AN71" t="s">
        <v>44</v>
      </c>
      <c r="AO71">
        <v>59.778723070926397</v>
      </c>
      <c r="AP71" t="s">
        <v>45</v>
      </c>
    </row>
    <row r="72" spans="1:42" x14ac:dyDescent="0.3">
      <c r="A72" t="s">
        <v>65</v>
      </c>
      <c r="B72" t="s">
        <v>59</v>
      </c>
      <c r="C72" t="s">
        <v>56</v>
      </c>
      <c r="D72" t="s">
        <v>49</v>
      </c>
      <c r="E72" t="s">
        <v>57</v>
      </c>
      <c r="F72">
        <v>69</v>
      </c>
      <c r="G72">
        <v>9</v>
      </c>
      <c r="H72">
        <v>3</v>
      </c>
      <c r="I72" t="s">
        <v>57</v>
      </c>
      <c r="J72">
        <v>1</v>
      </c>
      <c r="K72">
        <v>0.42737639998085702</v>
      </c>
      <c r="L72" t="s">
        <v>51</v>
      </c>
      <c r="M72">
        <v>3</v>
      </c>
      <c r="N72">
        <v>9</v>
      </c>
      <c r="O72">
        <v>69</v>
      </c>
      <c r="P72">
        <v>9</v>
      </c>
      <c r="Q72">
        <v>107.636675900022</v>
      </c>
      <c r="V72">
        <v>107.62873400002699</v>
      </c>
      <c r="W72">
        <v>107.636675900022</v>
      </c>
      <c r="X72">
        <v>108.136855799995</v>
      </c>
      <c r="Y72">
        <v>108.136855799995</v>
      </c>
      <c r="Z72">
        <v>108.136855799995</v>
      </c>
      <c r="AA72">
        <v>108.573854100017</v>
      </c>
      <c r="AB72" t="s">
        <v>57</v>
      </c>
      <c r="AC72">
        <v>1</v>
      </c>
      <c r="AD72">
        <v>0.42737639998085702</v>
      </c>
      <c r="AE72" t="s">
        <v>51</v>
      </c>
      <c r="AI72">
        <v>1</v>
      </c>
      <c r="AJ72">
        <v>1</v>
      </c>
      <c r="AK72" t="s">
        <v>42</v>
      </c>
      <c r="AL72" t="s">
        <v>43</v>
      </c>
      <c r="AN72" t="s">
        <v>44</v>
      </c>
      <c r="AO72">
        <v>59.778723070926397</v>
      </c>
      <c r="AP72" t="s">
        <v>45</v>
      </c>
    </row>
    <row r="73" spans="1:42" x14ac:dyDescent="0.3">
      <c r="A73" t="s">
        <v>68</v>
      </c>
      <c r="B73" t="s">
        <v>59</v>
      </c>
      <c r="C73" t="s">
        <v>53</v>
      </c>
      <c r="D73" t="s">
        <v>49</v>
      </c>
      <c r="E73" t="s">
        <v>54</v>
      </c>
      <c r="F73">
        <v>70</v>
      </c>
      <c r="G73">
        <v>10</v>
      </c>
      <c r="H73">
        <v>3</v>
      </c>
      <c r="I73" t="s">
        <v>54</v>
      </c>
      <c r="J73">
        <v>1</v>
      </c>
      <c r="K73">
        <v>0.824257800006307</v>
      </c>
      <c r="L73" t="s">
        <v>51</v>
      </c>
      <c r="M73">
        <v>3</v>
      </c>
      <c r="N73">
        <v>10</v>
      </c>
      <c r="O73">
        <v>70</v>
      </c>
      <c r="P73">
        <v>6</v>
      </c>
      <c r="Q73">
        <v>108.58661890000801</v>
      </c>
      <c r="V73">
        <v>108.57682280003699</v>
      </c>
      <c r="W73">
        <v>108.58661890000801</v>
      </c>
      <c r="X73">
        <v>109.087047000008</v>
      </c>
      <c r="Y73">
        <v>109.087047000008</v>
      </c>
      <c r="Z73">
        <v>109.087047000008</v>
      </c>
      <c r="AA73">
        <v>109.923533299996</v>
      </c>
      <c r="AB73" t="s">
        <v>54</v>
      </c>
      <c r="AC73">
        <v>1</v>
      </c>
      <c r="AD73">
        <v>0.824257800006307</v>
      </c>
      <c r="AE73" t="s">
        <v>51</v>
      </c>
      <c r="AI73">
        <v>1</v>
      </c>
      <c r="AJ73">
        <v>1</v>
      </c>
      <c r="AK73" t="s">
        <v>42</v>
      </c>
      <c r="AL73" t="s">
        <v>43</v>
      </c>
      <c r="AN73" t="s">
        <v>44</v>
      </c>
      <c r="AO73">
        <v>59.778723070926397</v>
      </c>
      <c r="AP73" t="s">
        <v>45</v>
      </c>
    </row>
    <row r="74" spans="1:42" x14ac:dyDescent="0.3">
      <c r="A74" t="s">
        <v>46</v>
      </c>
      <c r="B74" t="s">
        <v>47</v>
      </c>
      <c r="C74" t="s">
        <v>48</v>
      </c>
      <c r="D74" t="s">
        <v>49</v>
      </c>
      <c r="E74" t="s">
        <v>50</v>
      </c>
      <c r="F74">
        <v>71</v>
      </c>
      <c r="G74">
        <v>11</v>
      </c>
      <c r="H74">
        <v>3</v>
      </c>
      <c r="I74" t="s">
        <v>50</v>
      </c>
      <c r="J74">
        <v>1</v>
      </c>
      <c r="K74">
        <v>0.65508340002270404</v>
      </c>
      <c r="L74" t="s">
        <v>51</v>
      </c>
      <c r="M74">
        <v>3</v>
      </c>
      <c r="N74">
        <v>11</v>
      </c>
      <c r="O74">
        <v>71</v>
      </c>
      <c r="P74">
        <v>19</v>
      </c>
      <c r="Q74">
        <v>109.93698420003</v>
      </c>
      <c r="V74">
        <v>109.926490000041</v>
      </c>
      <c r="W74">
        <v>109.93698420003</v>
      </c>
      <c r="X74">
        <v>110.437168600037</v>
      </c>
      <c r="Y74">
        <v>110.437168600037</v>
      </c>
      <c r="Z74">
        <v>110.437168600037</v>
      </c>
      <c r="AA74">
        <v>111.093107299995</v>
      </c>
      <c r="AB74" t="s">
        <v>50</v>
      </c>
      <c r="AC74">
        <v>1</v>
      </c>
      <c r="AD74">
        <v>0.65508340002270404</v>
      </c>
      <c r="AE74" t="s">
        <v>51</v>
      </c>
      <c r="AI74">
        <v>1</v>
      </c>
      <c r="AJ74">
        <v>1</v>
      </c>
      <c r="AK74" t="s">
        <v>42</v>
      </c>
      <c r="AL74" t="s">
        <v>43</v>
      </c>
      <c r="AN74" t="s">
        <v>44</v>
      </c>
      <c r="AO74">
        <v>59.778723070926397</v>
      </c>
      <c r="AP74" t="s">
        <v>45</v>
      </c>
    </row>
    <row r="75" spans="1:42" x14ac:dyDescent="0.3">
      <c r="A75" t="s">
        <v>78</v>
      </c>
      <c r="B75" t="s">
        <v>47</v>
      </c>
      <c r="C75" t="s">
        <v>56</v>
      </c>
      <c r="D75" t="s">
        <v>49</v>
      </c>
      <c r="E75" t="s">
        <v>57</v>
      </c>
      <c r="F75">
        <v>72</v>
      </c>
      <c r="G75">
        <v>12</v>
      </c>
      <c r="H75">
        <v>3</v>
      </c>
      <c r="I75" t="s">
        <v>57</v>
      </c>
      <c r="J75">
        <v>1</v>
      </c>
      <c r="K75">
        <v>0.68934410001384006</v>
      </c>
      <c r="L75" t="s">
        <v>51</v>
      </c>
      <c r="M75">
        <v>3</v>
      </c>
      <c r="N75">
        <v>12</v>
      </c>
      <c r="O75">
        <v>72</v>
      </c>
      <c r="P75">
        <v>17</v>
      </c>
      <c r="Q75">
        <v>111.10344000003499</v>
      </c>
      <c r="V75">
        <v>111.096527700021</v>
      </c>
      <c r="W75">
        <v>111.10344000003499</v>
      </c>
      <c r="X75">
        <v>111.603672600002</v>
      </c>
      <c r="Y75">
        <v>111.603672600002</v>
      </c>
      <c r="Z75">
        <v>111.603672600002</v>
      </c>
      <c r="AA75">
        <v>112.306470600015</v>
      </c>
      <c r="AB75" t="s">
        <v>57</v>
      </c>
      <c r="AC75">
        <v>1</v>
      </c>
      <c r="AD75">
        <v>0.68934410001384006</v>
      </c>
      <c r="AE75" t="s">
        <v>51</v>
      </c>
      <c r="AI75">
        <v>1</v>
      </c>
      <c r="AJ75">
        <v>1</v>
      </c>
      <c r="AK75" t="s">
        <v>42</v>
      </c>
      <c r="AL75" t="s">
        <v>43</v>
      </c>
      <c r="AN75" t="s">
        <v>44</v>
      </c>
      <c r="AO75">
        <v>59.778723070926397</v>
      </c>
      <c r="AP75" t="s">
        <v>45</v>
      </c>
    </row>
    <row r="76" spans="1:42" x14ac:dyDescent="0.3">
      <c r="A76" t="s">
        <v>75</v>
      </c>
      <c r="B76" t="s">
        <v>47</v>
      </c>
      <c r="C76" t="s">
        <v>61</v>
      </c>
      <c r="D76" t="s">
        <v>49</v>
      </c>
      <c r="E76" t="s">
        <v>63</v>
      </c>
      <c r="F76">
        <v>73</v>
      </c>
      <c r="G76">
        <v>13</v>
      </c>
      <c r="H76">
        <v>3</v>
      </c>
      <c r="I76" t="s">
        <v>63</v>
      </c>
      <c r="J76">
        <v>1</v>
      </c>
      <c r="K76">
        <v>0.59250299999257505</v>
      </c>
      <c r="L76" t="s">
        <v>51</v>
      </c>
      <c r="M76">
        <v>3</v>
      </c>
      <c r="N76">
        <v>13</v>
      </c>
      <c r="O76">
        <v>73</v>
      </c>
      <c r="P76">
        <v>16</v>
      </c>
      <c r="Q76">
        <v>112.319647299998</v>
      </c>
      <c r="V76">
        <v>112.3091671</v>
      </c>
      <c r="W76">
        <v>112.319647299998</v>
      </c>
      <c r="X76">
        <v>112.82039200002301</v>
      </c>
      <c r="Y76">
        <v>112.82039200002301</v>
      </c>
      <c r="Z76">
        <v>112.82039200002301</v>
      </c>
      <c r="AA76">
        <v>113.423616000043</v>
      </c>
      <c r="AB76" t="s">
        <v>63</v>
      </c>
      <c r="AC76">
        <v>1</v>
      </c>
      <c r="AD76">
        <v>0.59250299999257505</v>
      </c>
      <c r="AE76" t="s">
        <v>51</v>
      </c>
      <c r="AI76">
        <v>1</v>
      </c>
      <c r="AJ76">
        <v>1</v>
      </c>
      <c r="AK76" t="s">
        <v>42</v>
      </c>
      <c r="AL76" t="s">
        <v>43</v>
      </c>
      <c r="AN76" t="s">
        <v>44</v>
      </c>
      <c r="AO76">
        <v>59.778723070926397</v>
      </c>
      <c r="AP76" t="s">
        <v>45</v>
      </c>
    </row>
    <row r="77" spans="1:42" x14ac:dyDescent="0.3">
      <c r="A77" t="s">
        <v>66</v>
      </c>
      <c r="B77" t="s">
        <v>47</v>
      </c>
      <c r="C77" t="s">
        <v>61</v>
      </c>
      <c r="D77" t="s">
        <v>49</v>
      </c>
      <c r="E77" t="s">
        <v>63</v>
      </c>
      <c r="F77">
        <v>74</v>
      </c>
      <c r="G77">
        <v>14</v>
      </c>
      <c r="H77">
        <v>3</v>
      </c>
      <c r="I77" t="s">
        <v>63</v>
      </c>
      <c r="J77">
        <v>1</v>
      </c>
      <c r="K77">
        <v>0.46937269996851599</v>
      </c>
      <c r="L77" t="s">
        <v>51</v>
      </c>
      <c r="M77">
        <v>3</v>
      </c>
      <c r="N77">
        <v>14</v>
      </c>
      <c r="O77">
        <v>74</v>
      </c>
      <c r="P77">
        <v>12</v>
      </c>
      <c r="Q77">
        <v>113.438349000003</v>
      </c>
      <c r="V77">
        <v>113.427419300016</v>
      </c>
      <c r="W77">
        <v>113.438349000003</v>
      </c>
      <c r="X77">
        <v>113.936391399998</v>
      </c>
      <c r="Y77">
        <v>113.936391399998</v>
      </c>
      <c r="Z77">
        <v>113.936391399998</v>
      </c>
      <c r="AA77">
        <v>114.42156069999299</v>
      </c>
      <c r="AB77" t="s">
        <v>63</v>
      </c>
      <c r="AC77">
        <v>1</v>
      </c>
      <c r="AD77">
        <v>0.46937269996851599</v>
      </c>
      <c r="AE77" t="s">
        <v>51</v>
      </c>
      <c r="AI77">
        <v>1</v>
      </c>
      <c r="AJ77">
        <v>1</v>
      </c>
      <c r="AK77" t="s">
        <v>42</v>
      </c>
      <c r="AL77" t="s">
        <v>43</v>
      </c>
      <c r="AN77" t="s">
        <v>44</v>
      </c>
      <c r="AO77">
        <v>59.778723070926397</v>
      </c>
      <c r="AP77" t="s">
        <v>45</v>
      </c>
    </row>
    <row r="78" spans="1:42" x14ac:dyDescent="0.3">
      <c r="A78" t="s">
        <v>52</v>
      </c>
      <c r="B78" t="s">
        <v>47</v>
      </c>
      <c r="C78" t="s">
        <v>53</v>
      </c>
      <c r="D78" t="s">
        <v>49</v>
      </c>
      <c r="E78" t="s">
        <v>54</v>
      </c>
      <c r="F78">
        <v>75</v>
      </c>
      <c r="G78">
        <v>15</v>
      </c>
      <c r="H78">
        <v>3</v>
      </c>
      <c r="I78" t="s">
        <v>54</v>
      </c>
      <c r="J78">
        <v>1</v>
      </c>
      <c r="K78">
        <v>1.4228159000049301</v>
      </c>
      <c r="L78" t="s">
        <v>51</v>
      </c>
      <c r="M78">
        <v>3</v>
      </c>
      <c r="N78">
        <v>15</v>
      </c>
      <c r="O78">
        <v>75</v>
      </c>
      <c r="P78">
        <v>14</v>
      </c>
      <c r="Q78">
        <v>114.435580299992</v>
      </c>
      <c r="V78">
        <v>114.424169900012</v>
      </c>
      <c r="W78">
        <v>114.435580299992</v>
      </c>
      <c r="X78">
        <v>114.936322199995</v>
      </c>
      <c r="Y78">
        <v>114.936322199995</v>
      </c>
      <c r="Z78">
        <v>114.936322199995</v>
      </c>
      <c r="AA78">
        <v>116.374262600031</v>
      </c>
      <c r="AB78" t="s">
        <v>54</v>
      </c>
      <c r="AC78">
        <v>1</v>
      </c>
      <c r="AD78">
        <v>1.4228159000049301</v>
      </c>
      <c r="AE78" t="s">
        <v>51</v>
      </c>
      <c r="AI78">
        <v>1</v>
      </c>
      <c r="AJ78">
        <v>1</v>
      </c>
      <c r="AK78" t="s">
        <v>42</v>
      </c>
      <c r="AL78" t="s">
        <v>43</v>
      </c>
      <c r="AN78" t="s">
        <v>44</v>
      </c>
      <c r="AO78">
        <v>59.778723070926397</v>
      </c>
      <c r="AP78" t="s">
        <v>45</v>
      </c>
    </row>
    <row r="79" spans="1:42" x14ac:dyDescent="0.3">
      <c r="A79" t="s">
        <v>70</v>
      </c>
      <c r="B79" t="s">
        <v>59</v>
      </c>
      <c r="C79" t="s">
        <v>53</v>
      </c>
      <c r="D79" t="s">
        <v>49</v>
      </c>
      <c r="E79" t="s">
        <v>54</v>
      </c>
      <c r="F79">
        <v>76</v>
      </c>
      <c r="G79">
        <v>16</v>
      </c>
      <c r="H79">
        <v>3</v>
      </c>
      <c r="I79" t="s">
        <v>54</v>
      </c>
      <c r="J79">
        <v>1</v>
      </c>
      <c r="K79">
        <v>0.70803770003840305</v>
      </c>
      <c r="L79" t="s">
        <v>51</v>
      </c>
      <c r="M79">
        <v>3</v>
      </c>
      <c r="N79">
        <v>16</v>
      </c>
      <c r="O79">
        <v>76</v>
      </c>
      <c r="P79">
        <v>2</v>
      </c>
      <c r="Q79">
        <v>116.386217500024</v>
      </c>
      <c r="V79">
        <v>116.377609000017</v>
      </c>
      <c r="W79">
        <v>116.386217500024</v>
      </c>
      <c r="X79">
        <v>116.886205699993</v>
      </c>
      <c r="Y79">
        <v>116.886205699993</v>
      </c>
      <c r="Z79">
        <v>116.886205699993</v>
      </c>
      <c r="AA79">
        <v>117.607256100047</v>
      </c>
      <c r="AB79" t="s">
        <v>54</v>
      </c>
      <c r="AC79">
        <v>1</v>
      </c>
      <c r="AD79">
        <v>0.70803770003840305</v>
      </c>
      <c r="AE79" t="s">
        <v>51</v>
      </c>
      <c r="AI79">
        <v>1</v>
      </c>
      <c r="AJ79">
        <v>1</v>
      </c>
      <c r="AK79" t="s">
        <v>42</v>
      </c>
      <c r="AL79" t="s">
        <v>43</v>
      </c>
      <c r="AN79" t="s">
        <v>44</v>
      </c>
      <c r="AO79">
        <v>59.778723070926397</v>
      </c>
      <c r="AP79" t="s">
        <v>45</v>
      </c>
    </row>
    <row r="80" spans="1:42" x14ac:dyDescent="0.3">
      <c r="A80" t="s">
        <v>77</v>
      </c>
      <c r="B80" t="s">
        <v>59</v>
      </c>
      <c r="C80" t="s">
        <v>61</v>
      </c>
      <c r="D80" t="s">
        <v>62</v>
      </c>
      <c r="E80" t="s">
        <v>63</v>
      </c>
      <c r="F80">
        <v>77</v>
      </c>
      <c r="G80">
        <v>17</v>
      </c>
      <c r="H80">
        <v>3</v>
      </c>
      <c r="I80" t="s">
        <v>63</v>
      </c>
      <c r="J80">
        <v>1</v>
      </c>
      <c r="K80">
        <v>0.76081319997319896</v>
      </c>
      <c r="L80" t="s">
        <v>51</v>
      </c>
      <c r="M80">
        <v>3</v>
      </c>
      <c r="N80">
        <v>17</v>
      </c>
      <c r="O80">
        <v>77</v>
      </c>
      <c r="P80">
        <v>4</v>
      </c>
      <c r="Q80">
        <v>117.620208800013</v>
      </c>
      <c r="V80">
        <v>117.609906600031</v>
      </c>
      <c r="W80">
        <v>117.620208800013</v>
      </c>
      <c r="X80">
        <v>118.12007920001599</v>
      </c>
      <c r="Y80">
        <v>118.12007920001599</v>
      </c>
      <c r="Z80">
        <v>118.12007920001599</v>
      </c>
      <c r="AA80">
        <v>118.88984030002</v>
      </c>
      <c r="AB80" t="s">
        <v>63</v>
      </c>
      <c r="AC80">
        <v>1</v>
      </c>
      <c r="AD80">
        <v>0.76081319997319896</v>
      </c>
      <c r="AE80" t="s">
        <v>51</v>
      </c>
      <c r="AI80">
        <v>1</v>
      </c>
      <c r="AJ80">
        <v>1</v>
      </c>
      <c r="AK80" t="s">
        <v>42</v>
      </c>
      <c r="AL80" t="s">
        <v>43</v>
      </c>
      <c r="AN80" t="s">
        <v>44</v>
      </c>
      <c r="AO80">
        <v>59.778723070926397</v>
      </c>
      <c r="AP80" t="s">
        <v>45</v>
      </c>
    </row>
    <row r="81" spans="1:42" x14ac:dyDescent="0.3">
      <c r="A81" t="s">
        <v>74</v>
      </c>
      <c r="B81" t="s">
        <v>47</v>
      </c>
      <c r="C81" t="s">
        <v>48</v>
      </c>
      <c r="D81" t="s">
        <v>49</v>
      </c>
      <c r="E81" t="s">
        <v>50</v>
      </c>
      <c r="F81">
        <v>78</v>
      </c>
      <c r="G81">
        <v>18</v>
      </c>
      <c r="H81">
        <v>3</v>
      </c>
      <c r="I81" t="s">
        <v>50</v>
      </c>
      <c r="J81">
        <v>1</v>
      </c>
      <c r="K81">
        <v>0.94541769998613701</v>
      </c>
      <c r="L81" t="s">
        <v>51</v>
      </c>
      <c r="M81">
        <v>3</v>
      </c>
      <c r="N81">
        <v>18</v>
      </c>
      <c r="O81">
        <v>78</v>
      </c>
      <c r="P81">
        <v>11</v>
      </c>
      <c r="Q81">
        <v>118.903106500045</v>
      </c>
      <c r="V81">
        <v>118.892471800034</v>
      </c>
      <c r="W81">
        <v>118.903106500045</v>
      </c>
      <c r="X81">
        <v>119.403406500001</v>
      </c>
      <c r="Y81">
        <v>119.403406500001</v>
      </c>
      <c r="Z81">
        <v>119.403406500001</v>
      </c>
      <c r="AA81">
        <v>120.35634520003801</v>
      </c>
      <c r="AB81" t="s">
        <v>50</v>
      </c>
      <c r="AC81">
        <v>1</v>
      </c>
      <c r="AD81">
        <v>0.94541769998613701</v>
      </c>
      <c r="AE81" t="s">
        <v>51</v>
      </c>
      <c r="AI81">
        <v>1</v>
      </c>
      <c r="AJ81">
        <v>1</v>
      </c>
      <c r="AK81" t="s">
        <v>42</v>
      </c>
      <c r="AL81" t="s">
        <v>43</v>
      </c>
      <c r="AN81" t="s">
        <v>44</v>
      </c>
      <c r="AO81">
        <v>59.778723070926397</v>
      </c>
      <c r="AP81" t="s">
        <v>45</v>
      </c>
    </row>
    <row r="82" spans="1:42" x14ac:dyDescent="0.3">
      <c r="A82" t="s">
        <v>76</v>
      </c>
      <c r="B82" t="s">
        <v>59</v>
      </c>
      <c r="C82" t="s">
        <v>48</v>
      </c>
      <c r="D82" t="s">
        <v>49</v>
      </c>
      <c r="E82" t="s">
        <v>50</v>
      </c>
      <c r="F82">
        <v>79</v>
      </c>
      <c r="G82">
        <v>19</v>
      </c>
      <c r="H82">
        <v>3</v>
      </c>
      <c r="I82" t="s">
        <v>50</v>
      </c>
      <c r="J82">
        <v>1</v>
      </c>
      <c r="K82">
        <v>0.48774620000040098</v>
      </c>
      <c r="L82" t="s">
        <v>51</v>
      </c>
      <c r="M82">
        <v>3</v>
      </c>
      <c r="N82">
        <v>19</v>
      </c>
      <c r="O82">
        <v>79</v>
      </c>
      <c r="P82">
        <v>3</v>
      </c>
      <c r="Q82">
        <v>120.369377900031</v>
      </c>
      <c r="V82">
        <v>120.35958300001199</v>
      </c>
      <c r="W82">
        <v>120.369377900031</v>
      </c>
      <c r="X82">
        <v>120.87064530001901</v>
      </c>
      <c r="Y82">
        <v>120.87064530001901</v>
      </c>
      <c r="Z82">
        <v>120.87064530001901</v>
      </c>
      <c r="AA82">
        <v>121.374162700027</v>
      </c>
      <c r="AB82" t="s">
        <v>50</v>
      </c>
      <c r="AC82">
        <v>1</v>
      </c>
      <c r="AD82">
        <v>0.48774620000040098</v>
      </c>
      <c r="AE82" t="s">
        <v>51</v>
      </c>
      <c r="AI82">
        <v>1</v>
      </c>
      <c r="AJ82">
        <v>1</v>
      </c>
      <c r="AK82" t="s">
        <v>42</v>
      </c>
      <c r="AL82" t="s">
        <v>43</v>
      </c>
      <c r="AN82" t="s">
        <v>44</v>
      </c>
      <c r="AO82">
        <v>59.778723070926397</v>
      </c>
      <c r="AP82" t="s">
        <v>45</v>
      </c>
    </row>
    <row r="83" spans="1:42" x14ac:dyDescent="0.3">
      <c r="A83" t="s">
        <v>66</v>
      </c>
      <c r="B83" t="s">
        <v>47</v>
      </c>
      <c r="C83" t="s">
        <v>61</v>
      </c>
      <c r="D83" t="s">
        <v>49</v>
      </c>
      <c r="E83" t="s">
        <v>63</v>
      </c>
      <c r="F83">
        <v>80</v>
      </c>
      <c r="G83">
        <v>0</v>
      </c>
      <c r="H83">
        <v>4</v>
      </c>
      <c r="I83" t="s">
        <v>63</v>
      </c>
      <c r="J83">
        <v>1</v>
      </c>
      <c r="K83">
        <v>0.69880129996454299</v>
      </c>
      <c r="L83" t="s">
        <v>51</v>
      </c>
      <c r="M83">
        <v>4</v>
      </c>
      <c r="N83">
        <v>0</v>
      </c>
      <c r="O83">
        <v>80</v>
      </c>
      <c r="P83">
        <v>12</v>
      </c>
      <c r="Q83">
        <v>121.38610699999801</v>
      </c>
      <c r="V83">
        <v>121.377489600039</v>
      </c>
      <c r="W83">
        <v>121.38610699999801</v>
      </c>
      <c r="X83">
        <v>121.886069500003</v>
      </c>
      <c r="Y83">
        <v>121.886069500003</v>
      </c>
      <c r="Z83">
        <v>121.886069500003</v>
      </c>
      <c r="AA83">
        <v>122.590714100049</v>
      </c>
      <c r="AB83" t="s">
        <v>63</v>
      </c>
      <c r="AC83">
        <v>1</v>
      </c>
      <c r="AD83">
        <v>0.69880129996454299</v>
      </c>
      <c r="AE83" t="s">
        <v>51</v>
      </c>
      <c r="AI83">
        <v>1</v>
      </c>
      <c r="AJ83">
        <v>1</v>
      </c>
      <c r="AK83" t="s">
        <v>42</v>
      </c>
      <c r="AL83" t="s">
        <v>43</v>
      </c>
      <c r="AN83" t="s">
        <v>44</v>
      </c>
      <c r="AO83">
        <v>59.778723070926397</v>
      </c>
      <c r="AP83" t="s">
        <v>45</v>
      </c>
    </row>
    <row r="84" spans="1:42" x14ac:dyDescent="0.3">
      <c r="A84" t="s">
        <v>64</v>
      </c>
      <c r="B84" t="s">
        <v>47</v>
      </c>
      <c r="C84" t="s">
        <v>53</v>
      </c>
      <c r="D84" t="s">
        <v>49</v>
      </c>
      <c r="E84" t="s">
        <v>54</v>
      </c>
      <c r="F84">
        <v>81</v>
      </c>
      <c r="G84">
        <v>1</v>
      </c>
      <c r="H84">
        <v>4</v>
      </c>
      <c r="I84" t="s">
        <v>54</v>
      </c>
      <c r="J84">
        <v>1</v>
      </c>
      <c r="K84">
        <v>1.1959942000103101</v>
      </c>
      <c r="L84" t="s">
        <v>51</v>
      </c>
      <c r="M84">
        <v>4</v>
      </c>
      <c r="N84">
        <v>1</v>
      </c>
      <c r="O84">
        <v>81</v>
      </c>
      <c r="P84">
        <v>18</v>
      </c>
      <c r="Q84">
        <v>122.602806800045</v>
      </c>
      <c r="V84">
        <v>122.59361820004401</v>
      </c>
      <c r="W84">
        <v>122.602806800045</v>
      </c>
      <c r="X84">
        <v>123.103080500033</v>
      </c>
      <c r="Y84">
        <v>123.103080500033</v>
      </c>
      <c r="Z84">
        <v>123.103080500033</v>
      </c>
      <c r="AA84">
        <v>124.30691220000099</v>
      </c>
      <c r="AB84" t="s">
        <v>54</v>
      </c>
      <c r="AC84">
        <v>1</v>
      </c>
      <c r="AD84">
        <v>1.1959942000103101</v>
      </c>
      <c r="AE84" t="s">
        <v>51</v>
      </c>
      <c r="AI84">
        <v>1</v>
      </c>
      <c r="AJ84">
        <v>1</v>
      </c>
      <c r="AK84" t="s">
        <v>42</v>
      </c>
      <c r="AL84" t="s">
        <v>43</v>
      </c>
      <c r="AN84" t="s">
        <v>44</v>
      </c>
      <c r="AO84">
        <v>59.778723070926397</v>
      </c>
      <c r="AP84" t="s">
        <v>45</v>
      </c>
    </row>
    <row r="85" spans="1:42" x14ac:dyDescent="0.3">
      <c r="A85" t="s">
        <v>74</v>
      </c>
      <c r="B85" t="s">
        <v>47</v>
      </c>
      <c r="C85" t="s">
        <v>48</v>
      </c>
      <c r="D85" t="s">
        <v>49</v>
      </c>
      <c r="E85" t="s">
        <v>50</v>
      </c>
      <c r="F85">
        <v>82</v>
      </c>
      <c r="G85">
        <v>2</v>
      </c>
      <c r="H85">
        <v>4</v>
      </c>
      <c r="I85" t="s">
        <v>50</v>
      </c>
      <c r="J85">
        <v>1</v>
      </c>
      <c r="K85">
        <v>0.745323200011625</v>
      </c>
      <c r="L85" t="s">
        <v>51</v>
      </c>
      <c r="M85">
        <v>4</v>
      </c>
      <c r="N85">
        <v>2</v>
      </c>
      <c r="O85">
        <v>82</v>
      </c>
      <c r="P85">
        <v>11</v>
      </c>
      <c r="Q85">
        <v>124.319434200006</v>
      </c>
      <c r="V85">
        <v>124.309449899999</v>
      </c>
      <c r="W85">
        <v>124.319434200006</v>
      </c>
      <c r="X85">
        <v>124.81993650004701</v>
      </c>
      <c r="Y85">
        <v>124.81993650004701</v>
      </c>
      <c r="Z85">
        <v>124.81993650004701</v>
      </c>
      <c r="AA85">
        <v>125.57273810001701</v>
      </c>
      <c r="AB85" t="s">
        <v>50</v>
      </c>
      <c r="AC85">
        <v>1</v>
      </c>
      <c r="AD85">
        <v>0.745323200011625</v>
      </c>
      <c r="AE85" t="s">
        <v>51</v>
      </c>
      <c r="AI85">
        <v>1</v>
      </c>
      <c r="AJ85">
        <v>1</v>
      </c>
      <c r="AK85" t="s">
        <v>42</v>
      </c>
      <c r="AL85" t="s">
        <v>43</v>
      </c>
      <c r="AN85" t="s">
        <v>44</v>
      </c>
      <c r="AO85">
        <v>59.778723070926397</v>
      </c>
      <c r="AP85" t="s">
        <v>45</v>
      </c>
    </row>
    <row r="86" spans="1:42" x14ac:dyDescent="0.3">
      <c r="A86" t="s">
        <v>72</v>
      </c>
      <c r="B86" t="s">
        <v>59</v>
      </c>
      <c r="C86" t="s">
        <v>61</v>
      </c>
      <c r="D86" t="s">
        <v>62</v>
      </c>
      <c r="E86" t="s">
        <v>63</v>
      </c>
      <c r="F86">
        <v>83</v>
      </c>
      <c r="G86">
        <v>3</v>
      </c>
      <c r="H86">
        <v>4</v>
      </c>
      <c r="I86" t="s">
        <v>63</v>
      </c>
      <c r="J86">
        <v>1</v>
      </c>
      <c r="K86">
        <v>1.16402389999711</v>
      </c>
      <c r="L86" t="s">
        <v>51</v>
      </c>
      <c r="M86">
        <v>4</v>
      </c>
      <c r="N86">
        <v>3</v>
      </c>
      <c r="O86">
        <v>83</v>
      </c>
      <c r="P86">
        <v>8</v>
      </c>
      <c r="Q86">
        <v>125.5863962</v>
      </c>
      <c r="V86">
        <v>125.575520200014</v>
      </c>
      <c r="W86">
        <v>125.5863962</v>
      </c>
      <c r="X86">
        <v>126.086324800038</v>
      </c>
      <c r="Y86">
        <v>126.086324800038</v>
      </c>
      <c r="Z86">
        <v>126.086324800038</v>
      </c>
      <c r="AA86">
        <v>127.256486800033</v>
      </c>
      <c r="AB86" t="s">
        <v>63</v>
      </c>
      <c r="AC86">
        <v>1</v>
      </c>
      <c r="AD86">
        <v>1.16402389999711</v>
      </c>
      <c r="AE86" t="s">
        <v>51</v>
      </c>
      <c r="AI86">
        <v>1</v>
      </c>
      <c r="AJ86">
        <v>1</v>
      </c>
      <c r="AK86" t="s">
        <v>42</v>
      </c>
      <c r="AL86" t="s">
        <v>43</v>
      </c>
      <c r="AN86" t="s">
        <v>44</v>
      </c>
      <c r="AO86">
        <v>59.778723070926397</v>
      </c>
      <c r="AP86" t="s">
        <v>45</v>
      </c>
    </row>
    <row r="87" spans="1:42" x14ac:dyDescent="0.3">
      <c r="A87" t="s">
        <v>70</v>
      </c>
      <c r="B87" t="s">
        <v>59</v>
      </c>
      <c r="C87" t="s">
        <v>53</v>
      </c>
      <c r="D87" t="s">
        <v>49</v>
      </c>
      <c r="E87" t="s">
        <v>54</v>
      </c>
      <c r="F87">
        <v>84</v>
      </c>
      <c r="G87">
        <v>4</v>
      </c>
      <c r="H87">
        <v>4</v>
      </c>
      <c r="I87" t="s">
        <v>54</v>
      </c>
      <c r="J87">
        <v>1</v>
      </c>
      <c r="K87">
        <v>0.842352100007701</v>
      </c>
      <c r="L87" t="s">
        <v>51</v>
      </c>
      <c r="M87">
        <v>4</v>
      </c>
      <c r="N87">
        <v>4</v>
      </c>
      <c r="O87">
        <v>84</v>
      </c>
      <c r="P87">
        <v>2</v>
      </c>
      <c r="Q87">
        <v>127.269687600026</v>
      </c>
      <c r="V87">
        <v>127.259851400041</v>
      </c>
      <c r="W87">
        <v>127.269687600026</v>
      </c>
      <c r="X87">
        <v>127.77017770003199</v>
      </c>
      <c r="Y87">
        <v>127.77017770003199</v>
      </c>
      <c r="Z87">
        <v>127.77017770003199</v>
      </c>
      <c r="AA87">
        <v>128.62292970000999</v>
      </c>
      <c r="AB87" t="s">
        <v>54</v>
      </c>
      <c r="AC87">
        <v>1</v>
      </c>
      <c r="AD87">
        <v>0.842352100007701</v>
      </c>
      <c r="AE87" t="s">
        <v>51</v>
      </c>
      <c r="AI87">
        <v>1</v>
      </c>
      <c r="AJ87">
        <v>1</v>
      </c>
      <c r="AK87" t="s">
        <v>42</v>
      </c>
      <c r="AL87" t="s">
        <v>43</v>
      </c>
      <c r="AN87" t="s">
        <v>44</v>
      </c>
      <c r="AO87">
        <v>59.778723070926397</v>
      </c>
      <c r="AP87" t="s">
        <v>45</v>
      </c>
    </row>
    <row r="88" spans="1:42" x14ac:dyDescent="0.3">
      <c r="A88" t="s">
        <v>46</v>
      </c>
      <c r="B88" t="s">
        <v>47</v>
      </c>
      <c r="C88" t="s">
        <v>48</v>
      </c>
      <c r="D88" t="s">
        <v>49</v>
      </c>
      <c r="E88" t="s">
        <v>50</v>
      </c>
      <c r="F88">
        <v>85</v>
      </c>
      <c r="G88">
        <v>5</v>
      </c>
      <c r="H88">
        <v>4</v>
      </c>
      <c r="I88" t="s">
        <v>50</v>
      </c>
      <c r="J88">
        <v>1</v>
      </c>
      <c r="K88">
        <v>0.72727630002191201</v>
      </c>
      <c r="L88" t="s">
        <v>51</v>
      </c>
      <c r="M88">
        <v>4</v>
      </c>
      <c r="N88">
        <v>5</v>
      </c>
      <c r="O88">
        <v>85</v>
      </c>
      <c r="P88">
        <v>19</v>
      </c>
      <c r="Q88">
        <v>128.63575469999299</v>
      </c>
      <c r="V88">
        <v>128.626751800009</v>
      </c>
      <c r="W88">
        <v>128.63575469999299</v>
      </c>
      <c r="X88">
        <v>129.13642680004699</v>
      </c>
      <c r="Y88">
        <v>129.13642680004699</v>
      </c>
      <c r="Z88">
        <v>129.13642680004699</v>
      </c>
      <c r="AA88">
        <v>129.87276460003301</v>
      </c>
      <c r="AB88" t="s">
        <v>50</v>
      </c>
      <c r="AC88">
        <v>1</v>
      </c>
      <c r="AD88">
        <v>0.72727630002191201</v>
      </c>
      <c r="AE88" t="s">
        <v>51</v>
      </c>
      <c r="AI88">
        <v>1</v>
      </c>
      <c r="AJ88">
        <v>1</v>
      </c>
      <c r="AK88" t="s">
        <v>42</v>
      </c>
      <c r="AL88" t="s">
        <v>43</v>
      </c>
      <c r="AN88" t="s">
        <v>44</v>
      </c>
      <c r="AO88">
        <v>59.778723070926397</v>
      </c>
      <c r="AP88" t="s">
        <v>45</v>
      </c>
    </row>
    <row r="89" spans="1:42" x14ac:dyDescent="0.3">
      <c r="A89" t="s">
        <v>69</v>
      </c>
      <c r="B89" t="s">
        <v>59</v>
      </c>
      <c r="C89" t="s">
        <v>56</v>
      </c>
      <c r="D89" t="s">
        <v>49</v>
      </c>
      <c r="E89" t="s">
        <v>57</v>
      </c>
      <c r="F89">
        <v>86</v>
      </c>
      <c r="G89">
        <v>6</v>
      </c>
      <c r="H89">
        <v>4</v>
      </c>
      <c r="I89" t="s">
        <v>57</v>
      </c>
      <c r="J89">
        <v>1</v>
      </c>
      <c r="K89">
        <v>0.69933099998161197</v>
      </c>
      <c r="L89" t="s">
        <v>51</v>
      </c>
      <c r="M89">
        <v>4</v>
      </c>
      <c r="N89">
        <v>6</v>
      </c>
      <c r="O89">
        <v>86</v>
      </c>
      <c r="P89">
        <v>5</v>
      </c>
      <c r="Q89">
        <v>129.886023300001</v>
      </c>
      <c r="V89">
        <v>129.87546990002701</v>
      </c>
      <c r="W89">
        <v>129.886023300001</v>
      </c>
      <c r="X89">
        <v>130.38619910000099</v>
      </c>
      <c r="Y89">
        <v>130.38619910000099</v>
      </c>
      <c r="Z89">
        <v>130.38619910000099</v>
      </c>
      <c r="AA89">
        <v>131.089763100026</v>
      </c>
      <c r="AB89" t="s">
        <v>57</v>
      </c>
      <c r="AC89">
        <v>1</v>
      </c>
      <c r="AD89">
        <v>0.69933099998161197</v>
      </c>
      <c r="AE89" t="s">
        <v>51</v>
      </c>
      <c r="AI89">
        <v>1</v>
      </c>
      <c r="AJ89">
        <v>1</v>
      </c>
      <c r="AK89" t="s">
        <v>42</v>
      </c>
      <c r="AL89" t="s">
        <v>43</v>
      </c>
      <c r="AN89" t="s">
        <v>44</v>
      </c>
      <c r="AO89">
        <v>59.778723070926397</v>
      </c>
      <c r="AP89" t="s">
        <v>45</v>
      </c>
    </row>
    <row r="90" spans="1:42" x14ac:dyDescent="0.3">
      <c r="A90" t="s">
        <v>73</v>
      </c>
      <c r="B90" t="s">
        <v>59</v>
      </c>
      <c r="C90" t="s">
        <v>56</v>
      </c>
      <c r="D90" t="s">
        <v>49</v>
      </c>
      <c r="E90" t="s">
        <v>57</v>
      </c>
      <c r="F90">
        <v>87</v>
      </c>
      <c r="G90">
        <v>7</v>
      </c>
      <c r="H90">
        <v>4</v>
      </c>
      <c r="I90" t="s">
        <v>57</v>
      </c>
      <c r="J90">
        <v>1</v>
      </c>
      <c r="K90">
        <v>0.39551030000438903</v>
      </c>
      <c r="L90" t="s">
        <v>51</v>
      </c>
      <c r="M90">
        <v>4</v>
      </c>
      <c r="N90">
        <v>7</v>
      </c>
      <c r="O90">
        <v>87</v>
      </c>
      <c r="P90">
        <v>1</v>
      </c>
      <c r="Q90">
        <v>131.10292490001299</v>
      </c>
      <c r="V90">
        <v>131.09241159999499</v>
      </c>
      <c r="W90">
        <v>131.10292490001299</v>
      </c>
      <c r="X90">
        <v>131.60260440001699</v>
      </c>
      <c r="Y90">
        <v>131.60260440001699</v>
      </c>
      <c r="Z90">
        <v>131.60260440001699</v>
      </c>
      <c r="AA90">
        <v>132.00765730003999</v>
      </c>
      <c r="AB90" t="s">
        <v>57</v>
      </c>
      <c r="AC90">
        <v>1</v>
      </c>
      <c r="AD90">
        <v>0.39551030000438903</v>
      </c>
      <c r="AE90" t="s">
        <v>51</v>
      </c>
      <c r="AI90">
        <v>1</v>
      </c>
      <c r="AJ90">
        <v>1</v>
      </c>
      <c r="AK90" t="s">
        <v>42</v>
      </c>
      <c r="AL90" t="s">
        <v>43</v>
      </c>
      <c r="AN90" t="s">
        <v>44</v>
      </c>
      <c r="AO90">
        <v>59.778723070926397</v>
      </c>
      <c r="AP90" t="s">
        <v>45</v>
      </c>
    </row>
    <row r="91" spans="1:42" x14ac:dyDescent="0.3">
      <c r="A91" t="s">
        <v>60</v>
      </c>
      <c r="B91" t="s">
        <v>59</v>
      </c>
      <c r="C91" t="s">
        <v>61</v>
      </c>
      <c r="D91" t="s">
        <v>62</v>
      </c>
      <c r="E91" t="s">
        <v>63</v>
      </c>
      <c r="F91">
        <v>88</v>
      </c>
      <c r="G91">
        <v>8</v>
      </c>
      <c r="H91">
        <v>4</v>
      </c>
      <c r="I91" t="s">
        <v>63</v>
      </c>
      <c r="J91">
        <v>1</v>
      </c>
      <c r="K91">
        <v>0.51300560001982298</v>
      </c>
      <c r="L91" t="s">
        <v>51</v>
      </c>
      <c r="M91">
        <v>4</v>
      </c>
      <c r="N91">
        <v>8</v>
      </c>
      <c r="O91">
        <v>88</v>
      </c>
      <c r="P91">
        <v>0</v>
      </c>
      <c r="Q91">
        <v>132.02021790004801</v>
      </c>
      <c r="V91">
        <v>132.011160199996</v>
      </c>
      <c r="W91">
        <v>132.02021790004801</v>
      </c>
      <c r="X91">
        <v>132.51889629999599</v>
      </c>
      <c r="Y91">
        <v>132.51889629999599</v>
      </c>
      <c r="Z91">
        <v>132.51889629999599</v>
      </c>
      <c r="AA91">
        <v>133.03951090003801</v>
      </c>
      <c r="AB91" t="s">
        <v>63</v>
      </c>
      <c r="AC91">
        <v>1</v>
      </c>
      <c r="AD91">
        <v>0.51300560001982298</v>
      </c>
      <c r="AE91" t="s">
        <v>51</v>
      </c>
      <c r="AI91">
        <v>1</v>
      </c>
      <c r="AJ91">
        <v>1</v>
      </c>
      <c r="AK91" t="s">
        <v>42</v>
      </c>
      <c r="AL91" t="s">
        <v>43</v>
      </c>
      <c r="AN91" t="s">
        <v>44</v>
      </c>
      <c r="AO91">
        <v>59.778723070926397</v>
      </c>
      <c r="AP91" t="s">
        <v>45</v>
      </c>
    </row>
    <row r="92" spans="1:42" x14ac:dyDescent="0.3">
      <c r="A92" t="s">
        <v>68</v>
      </c>
      <c r="B92" t="s">
        <v>59</v>
      </c>
      <c r="C92" t="s">
        <v>53</v>
      </c>
      <c r="D92" t="s">
        <v>49</v>
      </c>
      <c r="E92" t="s">
        <v>54</v>
      </c>
      <c r="F92">
        <v>89</v>
      </c>
      <c r="G92">
        <v>9</v>
      </c>
      <c r="H92">
        <v>4</v>
      </c>
      <c r="I92" t="s">
        <v>54</v>
      </c>
      <c r="J92">
        <v>1</v>
      </c>
      <c r="K92">
        <v>0.83632080000825204</v>
      </c>
      <c r="L92" t="s">
        <v>51</v>
      </c>
      <c r="M92">
        <v>4</v>
      </c>
      <c r="N92">
        <v>9</v>
      </c>
      <c r="O92">
        <v>89</v>
      </c>
      <c r="P92">
        <v>6</v>
      </c>
      <c r="Q92">
        <v>133.05241230002099</v>
      </c>
      <c r="V92">
        <v>133.04308740003</v>
      </c>
      <c r="W92">
        <v>133.05241230002099</v>
      </c>
      <c r="X92">
        <v>133.55232990003401</v>
      </c>
      <c r="Y92">
        <v>133.55232990003401</v>
      </c>
      <c r="Z92">
        <v>133.55232990003401</v>
      </c>
      <c r="AA92">
        <v>134.389892300008</v>
      </c>
      <c r="AB92" t="s">
        <v>54</v>
      </c>
      <c r="AC92">
        <v>1</v>
      </c>
      <c r="AD92">
        <v>0.83632080000825204</v>
      </c>
      <c r="AE92" t="s">
        <v>51</v>
      </c>
      <c r="AI92">
        <v>1</v>
      </c>
      <c r="AJ92">
        <v>1</v>
      </c>
      <c r="AK92" t="s">
        <v>42</v>
      </c>
      <c r="AL92" t="s">
        <v>43</v>
      </c>
      <c r="AN92" t="s">
        <v>44</v>
      </c>
      <c r="AO92">
        <v>59.778723070926397</v>
      </c>
      <c r="AP92" t="s">
        <v>45</v>
      </c>
    </row>
    <row r="93" spans="1:42" x14ac:dyDescent="0.3">
      <c r="A93" t="s">
        <v>67</v>
      </c>
      <c r="B93" t="s">
        <v>47</v>
      </c>
      <c r="C93" t="s">
        <v>53</v>
      </c>
      <c r="D93" t="s">
        <v>49</v>
      </c>
      <c r="E93" t="s">
        <v>54</v>
      </c>
      <c r="F93">
        <v>90</v>
      </c>
      <c r="G93">
        <v>10</v>
      </c>
      <c r="H93">
        <v>4</v>
      </c>
      <c r="I93" t="s">
        <v>54</v>
      </c>
      <c r="J93">
        <v>1</v>
      </c>
      <c r="K93">
        <v>0.51603649999015</v>
      </c>
      <c r="L93" t="s">
        <v>51</v>
      </c>
      <c r="M93">
        <v>4</v>
      </c>
      <c r="N93">
        <v>10</v>
      </c>
      <c r="O93">
        <v>90</v>
      </c>
      <c r="P93">
        <v>10</v>
      </c>
      <c r="Q93">
        <v>134.402251799998</v>
      </c>
      <c r="V93">
        <v>134.392558499996</v>
      </c>
      <c r="W93">
        <v>134.402251799998</v>
      </c>
      <c r="X93">
        <v>134.90226110001001</v>
      </c>
      <c r="Y93">
        <v>134.90226110001001</v>
      </c>
      <c r="Z93">
        <v>134.90226110001001</v>
      </c>
      <c r="AA93">
        <v>135.42413580004299</v>
      </c>
      <c r="AB93" t="s">
        <v>54</v>
      </c>
      <c r="AC93">
        <v>1</v>
      </c>
      <c r="AD93">
        <v>0.51603649999015</v>
      </c>
      <c r="AE93" t="s">
        <v>51</v>
      </c>
      <c r="AI93">
        <v>1</v>
      </c>
      <c r="AJ93">
        <v>1</v>
      </c>
      <c r="AK93" t="s">
        <v>42</v>
      </c>
      <c r="AL93" t="s">
        <v>43</v>
      </c>
      <c r="AN93" t="s">
        <v>44</v>
      </c>
      <c r="AO93">
        <v>59.778723070926397</v>
      </c>
      <c r="AP93" t="s">
        <v>45</v>
      </c>
    </row>
    <row r="94" spans="1:42" x14ac:dyDescent="0.3">
      <c r="A94" t="s">
        <v>52</v>
      </c>
      <c r="B94" t="s">
        <v>47</v>
      </c>
      <c r="C94" t="s">
        <v>53</v>
      </c>
      <c r="D94" t="s">
        <v>49</v>
      </c>
      <c r="E94" t="s">
        <v>54</v>
      </c>
      <c r="F94">
        <v>91</v>
      </c>
      <c r="G94">
        <v>11</v>
      </c>
      <c r="H94">
        <v>4</v>
      </c>
      <c r="I94" t="s">
        <v>54</v>
      </c>
      <c r="J94">
        <v>1</v>
      </c>
      <c r="K94">
        <v>0.58796049997908995</v>
      </c>
      <c r="L94" t="s">
        <v>51</v>
      </c>
      <c r="M94">
        <v>4</v>
      </c>
      <c r="N94">
        <v>11</v>
      </c>
      <c r="O94">
        <v>91</v>
      </c>
      <c r="P94">
        <v>14</v>
      </c>
      <c r="Q94">
        <v>135.435493200027</v>
      </c>
      <c r="V94">
        <v>135.428505200019</v>
      </c>
      <c r="W94">
        <v>135.435493200027</v>
      </c>
      <c r="X94">
        <v>135.93532380001801</v>
      </c>
      <c r="Y94">
        <v>135.93532380001801</v>
      </c>
      <c r="Z94">
        <v>135.93532380001801</v>
      </c>
      <c r="AA94">
        <v>136.53893390000999</v>
      </c>
      <c r="AB94" t="s">
        <v>54</v>
      </c>
      <c r="AC94">
        <v>1</v>
      </c>
      <c r="AD94">
        <v>0.58796049997908995</v>
      </c>
      <c r="AE94" t="s">
        <v>51</v>
      </c>
      <c r="AI94">
        <v>1</v>
      </c>
      <c r="AJ94">
        <v>1</v>
      </c>
      <c r="AK94" t="s">
        <v>42</v>
      </c>
      <c r="AL94" t="s">
        <v>43</v>
      </c>
      <c r="AN94" t="s">
        <v>44</v>
      </c>
      <c r="AO94">
        <v>59.778723070926397</v>
      </c>
      <c r="AP94" t="s">
        <v>45</v>
      </c>
    </row>
    <row r="95" spans="1:42" x14ac:dyDescent="0.3">
      <c r="A95" t="s">
        <v>65</v>
      </c>
      <c r="B95" t="s">
        <v>59</v>
      </c>
      <c r="C95" t="s">
        <v>56</v>
      </c>
      <c r="D95" t="s">
        <v>49</v>
      </c>
      <c r="E95" t="s">
        <v>57</v>
      </c>
      <c r="F95">
        <v>92</v>
      </c>
      <c r="G95">
        <v>12</v>
      </c>
      <c r="H95">
        <v>4</v>
      </c>
      <c r="I95" t="s">
        <v>57</v>
      </c>
      <c r="J95">
        <v>1</v>
      </c>
      <c r="K95">
        <v>0.73054070002399296</v>
      </c>
      <c r="L95" t="s">
        <v>51</v>
      </c>
      <c r="M95">
        <v>4</v>
      </c>
      <c r="N95">
        <v>12</v>
      </c>
      <c r="O95">
        <v>92</v>
      </c>
      <c r="P95">
        <v>9</v>
      </c>
      <c r="Q95">
        <v>136.552103499998</v>
      </c>
      <c r="V95">
        <v>136.54193480004301</v>
      </c>
      <c r="W95">
        <v>136.552103499998</v>
      </c>
      <c r="X95">
        <v>137.052518500015</v>
      </c>
      <c r="Y95">
        <v>137.052518500015</v>
      </c>
      <c r="Z95">
        <v>137.052518500015</v>
      </c>
      <c r="AA95">
        <v>137.788951700029</v>
      </c>
      <c r="AB95" t="s">
        <v>57</v>
      </c>
      <c r="AC95">
        <v>1</v>
      </c>
      <c r="AD95">
        <v>0.73054070002399296</v>
      </c>
      <c r="AE95" t="s">
        <v>51</v>
      </c>
      <c r="AI95">
        <v>1</v>
      </c>
      <c r="AJ95">
        <v>1</v>
      </c>
      <c r="AK95" t="s">
        <v>42</v>
      </c>
      <c r="AL95" t="s">
        <v>43</v>
      </c>
      <c r="AN95" t="s">
        <v>44</v>
      </c>
      <c r="AO95">
        <v>59.778723070926397</v>
      </c>
      <c r="AP95" t="s">
        <v>45</v>
      </c>
    </row>
    <row r="96" spans="1:42" x14ac:dyDescent="0.3">
      <c r="A96" t="s">
        <v>58</v>
      </c>
      <c r="B96" t="s">
        <v>59</v>
      </c>
      <c r="C96" t="s">
        <v>48</v>
      </c>
      <c r="D96" t="s">
        <v>49</v>
      </c>
      <c r="E96" t="s">
        <v>50</v>
      </c>
      <c r="F96">
        <v>93</v>
      </c>
      <c r="G96">
        <v>13</v>
      </c>
      <c r="H96">
        <v>4</v>
      </c>
      <c r="I96" t="s">
        <v>50</v>
      </c>
      <c r="J96">
        <v>1</v>
      </c>
      <c r="K96">
        <v>1.28341649996582</v>
      </c>
      <c r="L96" t="s">
        <v>51</v>
      </c>
      <c r="M96">
        <v>4</v>
      </c>
      <c r="N96">
        <v>13</v>
      </c>
      <c r="O96">
        <v>93</v>
      </c>
      <c r="P96">
        <v>7</v>
      </c>
      <c r="Q96">
        <v>137.80088080000101</v>
      </c>
      <c r="V96">
        <v>137.792140400037</v>
      </c>
      <c r="W96">
        <v>137.80088080000101</v>
      </c>
      <c r="X96">
        <v>138.30244600004499</v>
      </c>
      <c r="Y96">
        <v>138.30244600004499</v>
      </c>
      <c r="Z96">
        <v>138.30244600004499</v>
      </c>
      <c r="AA96">
        <v>139.589429600047</v>
      </c>
      <c r="AB96" t="s">
        <v>50</v>
      </c>
      <c r="AC96">
        <v>1</v>
      </c>
      <c r="AD96">
        <v>1.28341649996582</v>
      </c>
      <c r="AE96" t="s">
        <v>51</v>
      </c>
      <c r="AI96">
        <v>1</v>
      </c>
      <c r="AJ96">
        <v>1</v>
      </c>
      <c r="AK96" t="s">
        <v>42</v>
      </c>
      <c r="AL96" t="s">
        <v>43</v>
      </c>
      <c r="AN96" t="s">
        <v>44</v>
      </c>
      <c r="AO96">
        <v>59.778723070926397</v>
      </c>
      <c r="AP96" t="s">
        <v>45</v>
      </c>
    </row>
    <row r="97" spans="1:42" x14ac:dyDescent="0.3">
      <c r="A97" t="s">
        <v>71</v>
      </c>
      <c r="B97" t="s">
        <v>47</v>
      </c>
      <c r="C97" t="s">
        <v>48</v>
      </c>
      <c r="D97" t="s">
        <v>49</v>
      </c>
      <c r="E97" t="s">
        <v>50</v>
      </c>
      <c r="F97">
        <v>94</v>
      </c>
      <c r="G97">
        <v>14</v>
      </c>
      <c r="H97">
        <v>4</v>
      </c>
      <c r="I97" t="s">
        <v>50</v>
      </c>
      <c r="J97">
        <v>1</v>
      </c>
      <c r="K97">
        <v>0.46275730000343102</v>
      </c>
      <c r="L97" t="s">
        <v>51</v>
      </c>
      <c r="M97">
        <v>4</v>
      </c>
      <c r="N97">
        <v>14</v>
      </c>
      <c r="O97">
        <v>94</v>
      </c>
      <c r="P97">
        <v>15</v>
      </c>
      <c r="Q97">
        <v>139.60276800003999</v>
      </c>
      <c r="V97">
        <v>139.59217750001699</v>
      </c>
      <c r="W97">
        <v>139.60276800003999</v>
      </c>
      <c r="X97">
        <v>140.102235800004</v>
      </c>
      <c r="Y97">
        <v>140.102235800004</v>
      </c>
      <c r="Z97">
        <v>140.102235800004</v>
      </c>
      <c r="AA97">
        <v>140.572663000028</v>
      </c>
      <c r="AB97" t="s">
        <v>50</v>
      </c>
      <c r="AC97">
        <v>1</v>
      </c>
      <c r="AD97">
        <v>0.46275730000343102</v>
      </c>
      <c r="AE97" t="s">
        <v>51</v>
      </c>
      <c r="AI97">
        <v>1</v>
      </c>
      <c r="AJ97">
        <v>1</v>
      </c>
      <c r="AK97" t="s">
        <v>42</v>
      </c>
      <c r="AL97" t="s">
        <v>43</v>
      </c>
      <c r="AN97" t="s">
        <v>44</v>
      </c>
      <c r="AO97">
        <v>59.778723070926397</v>
      </c>
      <c r="AP97" t="s">
        <v>45</v>
      </c>
    </row>
    <row r="98" spans="1:42" x14ac:dyDescent="0.3">
      <c r="A98" t="s">
        <v>78</v>
      </c>
      <c r="B98" t="s">
        <v>47</v>
      </c>
      <c r="C98" t="s">
        <v>56</v>
      </c>
      <c r="D98" t="s">
        <v>49</v>
      </c>
      <c r="E98" t="s">
        <v>57</v>
      </c>
      <c r="F98">
        <v>95</v>
      </c>
      <c r="G98">
        <v>15</v>
      </c>
      <c r="H98">
        <v>4</v>
      </c>
      <c r="I98" t="s">
        <v>54</v>
      </c>
      <c r="J98">
        <v>0</v>
      </c>
      <c r="K98">
        <v>0.75049080001190305</v>
      </c>
      <c r="L98" t="s">
        <v>51</v>
      </c>
      <c r="M98">
        <v>4</v>
      </c>
      <c r="N98">
        <v>15</v>
      </c>
      <c r="O98">
        <v>95</v>
      </c>
      <c r="P98">
        <v>17</v>
      </c>
      <c r="Q98">
        <v>140.58554820000401</v>
      </c>
      <c r="V98">
        <v>140.575110100035</v>
      </c>
      <c r="W98">
        <v>140.58554820000401</v>
      </c>
      <c r="X98">
        <v>141.08573420002301</v>
      </c>
      <c r="Y98">
        <v>141.08573420002301</v>
      </c>
      <c r="Z98">
        <v>141.08573420002301</v>
      </c>
      <c r="AA98">
        <v>141.83853420003999</v>
      </c>
      <c r="AB98" t="s">
        <v>54</v>
      </c>
      <c r="AC98">
        <v>0</v>
      </c>
      <c r="AD98">
        <v>0.75049080001190305</v>
      </c>
      <c r="AE98" t="s">
        <v>51</v>
      </c>
      <c r="AI98">
        <v>1</v>
      </c>
      <c r="AJ98">
        <v>1</v>
      </c>
      <c r="AK98" t="s">
        <v>42</v>
      </c>
      <c r="AL98" t="s">
        <v>43</v>
      </c>
      <c r="AN98" t="s">
        <v>44</v>
      </c>
      <c r="AO98">
        <v>59.778723070926397</v>
      </c>
      <c r="AP98" t="s">
        <v>45</v>
      </c>
    </row>
    <row r="99" spans="1:42" x14ac:dyDescent="0.3">
      <c r="A99" t="s">
        <v>76</v>
      </c>
      <c r="B99" t="s">
        <v>59</v>
      </c>
      <c r="C99" t="s">
        <v>48</v>
      </c>
      <c r="D99" t="s">
        <v>49</v>
      </c>
      <c r="E99" t="s">
        <v>50</v>
      </c>
      <c r="F99">
        <v>96</v>
      </c>
      <c r="G99">
        <v>16</v>
      </c>
      <c r="H99">
        <v>4</v>
      </c>
      <c r="I99" t="s">
        <v>63</v>
      </c>
      <c r="J99">
        <v>0</v>
      </c>
      <c r="K99">
        <v>1.45544639998115</v>
      </c>
      <c r="L99" t="s">
        <v>51</v>
      </c>
      <c r="M99">
        <v>4</v>
      </c>
      <c r="N99">
        <v>16</v>
      </c>
      <c r="O99">
        <v>96</v>
      </c>
      <c r="P99">
        <v>3</v>
      </c>
      <c r="Q99">
        <v>141.85223250003699</v>
      </c>
      <c r="V99">
        <v>141.84151739999601</v>
      </c>
      <c r="W99">
        <v>141.85223250003699</v>
      </c>
      <c r="X99">
        <v>142.352541900007</v>
      </c>
      <c r="Y99">
        <v>142.352541900007</v>
      </c>
      <c r="Z99">
        <v>142.352541900007</v>
      </c>
      <c r="AA99">
        <v>143.82282930001301</v>
      </c>
      <c r="AB99" t="s">
        <v>63</v>
      </c>
      <c r="AC99">
        <v>0</v>
      </c>
      <c r="AD99">
        <v>1.45544639998115</v>
      </c>
      <c r="AE99" t="s">
        <v>51</v>
      </c>
      <c r="AI99">
        <v>1</v>
      </c>
      <c r="AJ99">
        <v>1</v>
      </c>
      <c r="AK99" t="s">
        <v>42</v>
      </c>
      <c r="AL99" t="s">
        <v>43</v>
      </c>
      <c r="AN99" t="s">
        <v>44</v>
      </c>
      <c r="AO99">
        <v>59.778723070926397</v>
      </c>
      <c r="AP99" t="s">
        <v>45</v>
      </c>
    </row>
    <row r="100" spans="1:42" x14ac:dyDescent="0.3">
      <c r="A100" t="s">
        <v>75</v>
      </c>
      <c r="B100" t="s">
        <v>47</v>
      </c>
      <c r="C100" t="s">
        <v>61</v>
      </c>
      <c r="D100" t="s">
        <v>49</v>
      </c>
      <c r="E100" t="s">
        <v>63</v>
      </c>
      <c r="F100">
        <v>97</v>
      </c>
      <c r="G100">
        <v>17</v>
      </c>
      <c r="H100">
        <v>4</v>
      </c>
      <c r="I100" t="s">
        <v>63</v>
      </c>
      <c r="J100">
        <v>1</v>
      </c>
      <c r="K100">
        <v>0.54670559999067303</v>
      </c>
      <c r="L100" t="s">
        <v>51</v>
      </c>
      <c r="M100">
        <v>4</v>
      </c>
      <c r="N100">
        <v>17</v>
      </c>
      <c r="O100">
        <v>97</v>
      </c>
      <c r="P100">
        <v>16</v>
      </c>
      <c r="Q100">
        <v>143.83553919999301</v>
      </c>
      <c r="V100">
        <v>143.826321700005</v>
      </c>
      <c r="W100">
        <v>143.83553919999301</v>
      </c>
      <c r="X100">
        <v>144.33563260000599</v>
      </c>
      <c r="Y100">
        <v>144.33563260000599</v>
      </c>
      <c r="Z100">
        <v>144.33563260000599</v>
      </c>
      <c r="AA100">
        <v>144.88862360000999</v>
      </c>
      <c r="AB100" t="s">
        <v>63</v>
      </c>
      <c r="AC100">
        <v>1</v>
      </c>
      <c r="AD100">
        <v>0.54670559999067303</v>
      </c>
      <c r="AE100" t="s">
        <v>51</v>
      </c>
      <c r="AI100">
        <v>1</v>
      </c>
      <c r="AJ100">
        <v>1</v>
      </c>
      <c r="AK100" t="s">
        <v>42</v>
      </c>
      <c r="AL100" t="s">
        <v>43</v>
      </c>
      <c r="AN100" t="s">
        <v>44</v>
      </c>
      <c r="AO100">
        <v>59.778723070926397</v>
      </c>
      <c r="AP100" t="s">
        <v>45</v>
      </c>
    </row>
    <row r="101" spans="1:42" x14ac:dyDescent="0.3">
      <c r="A101" t="s">
        <v>77</v>
      </c>
      <c r="B101" t="s">
        <v>59</v>
      </c>
      <c r="C101" t="s">
        <v>61</v>
      </c>
      <c r="D101" t="s">
        <v>62</v>
      </c>
      <c r="E101" t="s">
        <v>63</v>
      </c>
      <c r="F101">
        <v>98</v>
      </c>
      <c r="G101">
        <v>18</v>
      </c>
      <c r="H101">
        <v>4</v>
      </c>
      <c r="I101" t="s">
        <v>63</v>
      </c>
      <c r="J101">
        <v>1</v>
      </c>
      <c r="K101">
        <v>0.66056140000000596</v>
      </c>
      <c r="L101" t="s">
        <v>51</v>
      </c>
      <c r="M101">
        <v>4</v>
      </c>
      <c r="N101">
        <v>18</v>
      </c>
      <c r="O101">
        <v>98</v>
      </c>
      <c r="P101">
        <v>4</v>
      </c>
      <c r="Q101">
        <v>144.90179220004899</v>
      </c>
      <c r="V101">
        <v>144.89189150003901</v>
      </c>
      <c r="W101">
        <v>144.90179220004899</v>
      </c>
      <c r="X101">
        <v>145.40272420004399</v>
      </c>
      <c r="Y101">
        <v>145.40272420004399</v>
      </c>
      <c r="Z101">
        <v>145.40272420004399</v>
      </c>
      <c r="AA101">
        <v>146.07186490000399</v>
      </c>
      <c r="AB101" t="s">
        <v>63</v>
      </c>
      <c r="AC101">
        <v>1</v>
      </c>
      <c r="AD101">
        <v>0.66056140000000596</v>
      </c>
      <c r="AE101" t="s">
        <v>51</v>
      </c>
      <c r="AI101">
        <v>1</v>
      </c>
      <c r="AJ101">
        <v>1</v>
      </c>
      <c r="AK101" t="s">
        <v>42</v>
      </c>
      <c r="AL101" t="s">
        <v>43</v>
      </c>
      <c r="AN101" t="s">
        <v>44</v>
      </c>
      <c r="AO101">
        <v>59.778723070926397</v>
      </c>
      <c r="AP101" t="s">
        <v>45</v>
      </c>
    </row>
    <row r="102" spans="1:42" x14ac:dyDescent="0.3">
      <c r="A102" t="s">
        <v>55</v>
      </c>
      <c r="B102" t="s">
        <v>47</v>
      </c>
      <c r="C102" t="s">
        <v>56</v>
      </c>
      <c r="D102" t="s">
        <v>49</v>
      </c>
      <c r="E102" t="s">
        <v>57</v>
      </c>
      <c r="F102">
        <v>99</v>
      </c>
      <c r="G102">
        <v>19</v>
      </c>
      <c r="H102">
        <v>4</v>
      </c>
      <c r="I102" t="s">
        <v>57</v>
      </c>
      <c r="J102">
        <v>1</v>
      </c>
      <c r="K102">
        <v>0.54249089997028899</v>
      </c>
      <c r="L102" t="s">
        <v>51</v>
      </c>
      <c r="M102">
        <v>4</v>
      </c>
      <c r="N102">
        <v>19</v>
      </c>
      <c r="O102">
        <v>99</v>
      </c>
      <c r="P102">
        <v>13</v>
      </c>
      <c r="Q102">
        <v>146.085374300018</v>
      </c>
      <c r="V102">
        <v>146.07497970003101</v>
      </c>
      <c r="W102">
        <v>146.085374300018</v>
      </c>
      <c r="X102">
        <v>146.58521170000299</v>
      </c>
      <c r="Y102">
        <v>146.58521170000299</v>
      </c>
      <c r="Z102">
        <v>146.58521170000299</v>
      </c>
      <c r="AA102">
        <v>147.14145960000999</v>
      </c>
      <c r="AB102" t="s">
        <v>57</v>
      </c>
      <c r="AC102">
        <v>1</v>
      </c>
      <c r="AD102">
        <v>0.54249089997028899</v>
      </c>
      <c r="AE102" t="s">
        <v>51</v>
      </c>
      <c r="AI102">
        <v>1</v>
      </c>
      <c r="AJ102">
        <v>1</v>
      </c>
      <c r="AK102" t="s">
        <v>42</v>
      </c>
      <c r="AL102" t="s">
        <v>43</v>
      </c>
      <c r="AN102" t="s">
        <v>44</v>
      </c>
      <c r="AO102">
        <v>59.778723070926397</v>
      </c>
      <c r="AP102" t="s">
        <v>45</v>
      </c>
    </row>
    <row r="103" spans="1:42" x14ac:dyDescent="0.3">
      <c r="A103" t="s">
        <v>67</v>
      </c>
      <c r="B103" t="s">
        <v>47</v>
      </c>
      <c r="C103" t="s">
        <v>53</v>
      </c>
      <c r="D103" t="s">
        <v>49</v>
      </c>
      <c r="E103" t="s">
        <v>54</v>
      </c>
      <c r="F103">
        <v>100</v>
      </c>
      <c r="G103">
        <v>0</v>
      </c>
      <c r="H103">
        <v>5</v>
      </c>
      <c r="I103" t="s">
        <v>54</v>
      </c>
      <c r="J103">
        <v>1</v>
      </c>
      <c r="K103">
        <v>0.69689520000247196</v>
      </c>
      <c r="L103" t="s">
        <v>51</v>
      </c>
      <c r="M103">
        <v>5</v>
      </c>
      <c r="N103">
        <v>0</v>
      </c>
      <c r="O103">
        <v>100</v>
      </c>
      <c r="P103">
        <v>10</v>
      </c>
      <c r="Q103">
        <v>147.167705900035</v>
      </c>
      <c r="V103">
        <v>147.14886710001099</v>
      </c>
      <c r="W103">
        <v>147.167705900035</v>
      </c>
      <c r="X103">
        <v>147.651680300012</v>
      </c>
      <c r="Y103">
        <v>147.651680300012</v>
      </c>
      <c r="Z103">
        <v>147.651680300012</v>
      </c>
      <c r="AA103">
        <v>148.356016600038</v>
      </c>
      <c r="AB103" t="s">
        <v>54</v>
      </c>
      <c r="AC103">
        <v>1</v>
      </c>
      <c r="AD103">
        <v>0.69689520000247196</v>
      </c>
      <c r="AE103" t="s">
        <v>51</v>
      </c>
      <c r="AI103">
        <v>1</v>
      </c>
      <c r="AJ103">
        <v>1</v>
      </c>
      <c r="AK103" t="s">
        <v>42</v>
      </c>
      <c r="AL103" t="s">
        <v>43</v>
      </c>
      <c r="AN103" t="s">
        <v>44</v>
      </c>
      <c r="AO103">
        <v>59.778723070926397</v>
      </c>
      <c r="AP103" t="s">
        <v>45</v>
      </c>
    </row>
    <row r="104" spans="1:42" x14ac:dyDescent="0.3">
      <c r="A104" t="s">
        <v>73</v>
      </c>
      <c r="B104" t="s">
        <v>59</v>
      </c>
      <c r="C104" t="s">
        <v>56</v>
      </c>
      <c r="D104" t="s">
        <v>49</v>
      </c>
      <c r="E104" t="s">
        <v>57</v>
      </c>
      <c r="F104">
        <v>101</v>
      </c>
      <c r="G104">
        <v>1</v>
      </c>
      <c r="H104">
        <v>5</v>
      </c>
      <c r="I104" t="s">
        <v>57</v>
      </c>
      <c r="J104">
        <v>1</v>
      </c>
      <c r="K104">
        <v>0.74782579997554399</v>
      </c>
      <c r="L104" t="s">
        <v>51</v>
      </c>
      <c r="M104">
        <v>5</v>
      </c>
      <c r="N104">
        <v>1</v>
      </c>
      <c r="O104">
        <v>101</v>
      </c>
      <c r="P104">
        <v>1</v>
      </c>
      <c r="Q104">
        <v>148.36872339999499</v>
      </c>
      <c r="V104">
        <v>148.358975400042</v>
      </c>
      <c r="W104">
        <v>148.36872339999499</v>
      </c>
      <c r="X104">
        <v>148.868304400006</v>
      </c>
      <c r="Y104">
        <v>148.868304400006</v>
      </c>
      <c r="Z104">
        <v>148.868304400006</v>
      </c>
      <c r="AA104">
        <v>149.62224860000401</v>
      </c>
      <c r="AB104" t="s">
        <v>57</v>
      </c>
      <c r="AC104">
        <v>1</v>
      </c>
      <c r="AD104">
        <v>0.74782579997554399</v>
      </c>
      <c r="AE104" t="s">
        <v>51</v>
      </c>
      <c r="AI104">
        <v>1</v>
      </c>
      <c r="AJ104">
        <v>1</v>
      </c>
      <c r="AK104" t="s">
        <v>42</v>
      </c>
      <c r="AL104" t="s">
        <v>43</v>
      </c>
      <c r="AN104" t="s">
        <v>44</v>
      </c>
      <c r="AO104">
        <v>59.778723070926397</v>
      </c>
      <c r="AP104" t="s">
        <v>45</v>
      </c>
    </row>
    <row r="105" spans="1:42" x14ac:dyDescent="0.3">
      <c r="A105" t="s">
        <v>52</v>
      </c>
      <c r="B105" t="s">
        <v>47</v>
      </c>
      <c r="C105" t="s">
        <v>53</v>
      </c>
      <c r="D105" t="s">
        <v>49</v>
      </c>
      <c r="E105" t="s">
        <v>54</v>
      </c>
      <c r="F105">
        <v>102</v>
      </c>
      <c r="G105">
        <v>2</v>
      </c>
      <c r="H105">
        <v>5</v>
      </c>
      <c r="I105" t="s">
        <v>54</v>
      </c>
      <c r="J105">
        <v>1</v>
      </c>
      <c r="K105">
        <v>1.07828470005188</v>
      </c>
      <c r="L105" t="s">
        <v>51</v>
      </c>
      <c r="M105">
        <v>5</v>
      </c>
      <c r="N105">
        <v>2</v>
      </c>
      <c r="O105">
        <v>102</v>
      </c>
      <c r="P105">
        <v>14</v>
      </c>
      <c r="Q105">
        <v>149.63509819999999</v>
      </c>
      <c r="V105">
        <v>149.62531880004099</v>
      </c>
      <c r="W105">
        <v>149.63509819999999</v>
      </c>
      <c r="X105">
        <v>150.13516679999799</v>
      </c>
      <c r="Y105">
        <v>150.13516679999799</v>
      </c>
      <c r="Z105">
        <v>150.13516679999799</v>
      </c>
      <c r="AA105">
        <v>151.221825100015</v>
      </c>
      <c r="AB105" t="s">
        <v>54</v>
      </c>
      <c r="AC105">
        <v>1</v>
      </c>
      <c r="AD105">
        <v>1.07828470005188</v>
      </c>
      <c r="AE105" t="s">
        <v>51</v>
      </c>
      <c r="AI105">
        <v>1</v>
      </c>
      <c r="AJ105">
        <v>1</v>
      </c>
      <c r="AK105" t="s">
        <v>42</v>
      </c>
      <c r="AL105" t="s">
        <v>43</v>
      </c>
      <c r="AN105" t="s">
        <v>44</v>
      </c>
      <c r="AO105">
        <v>59.778723070926397</v>
      </c>
      <c r="AP105" t="s">
        <v>45</v>
      </c>
    </row>
    <row r="106" spans="1:42" x14ac:dyDescent="0.3">
      <c r="A106" t="s">
        <v>78</v>
      </c>
      <c r="B106" t="s">
        <v>47</v>
      </c>
      <c r="C106" t="s">
        <v>56</v>
      </c>
      <c r="D106" t="s">
        <v>49</v>
      </c>
      <c r="E106" t="s">
        <v>57</v>
      </c>
      <c r="F106">
        <v>103</v>
      </c>
      <c r="G106">
        <v>3</v>
      </c>
      <c r="H106">
        <v>5</v>
      </c>
      <c r="I106" t="s">
        <v>57</v>
      </c>
      <c r="J106">
        <v>1</v>
      </c>
      <c r="K106">
        <v>0.67897949996404305</v>
      </c>
      <c r="L106" t="s">
        <v>51</v>
      </c>
      <c r="M106">
        <v>5</v>
      </c>
      <c r="N106">
        <v>3</v>
      </c>
      <c r="O106">
        <v>103</v>
      </c>
      <c r="P106">
        <v>17</v>
      </c>
      <c r="Q106">
        <v>151.23495489999101</v>
      </c>
      <c r="V106">
        <v>151.225646900013</v>
      </c>
      <c r="W106">
        <v>151.23495489999101</v>
      </c>
      <c r="X106">
        <v>151.73544410004899</v>
      </c>
      <c r="Y106">
        <v>151.73544410004899</v>
      </c>
      <c r="Z106">
        <v>151.73544410004899</v>
      </c>
      <c r="AA106">
        <v>152.422432299994</v>
      </c>
      <c r="AB106" t="s">
        <v>57</v>
      </c>
      <c r="AC106">
        <v>1</v>
      </c>
      <c r="AD106">
        <v>0.67897949996404305</v>
      </c>
      <c r="AE106" t="s">
        <v>51</v>
      </c>
      <c r="AI106">
        <v>1</v>
      </c>
      <c r="AJ106">
        <v>1</v>
      </c>
      <c r="AK106" t="s">
        <v>42</v>
      </c>
      <c r="AL106" t="s">
        <v>43</v>
      </c>
      <c r="AN106" t="s">
        <v>44</v>
      </c>
      <c r="AO106">
        <v>59.778723070926397</v>
      </c>
      <c r="AP106" t="s">
        <v>45</v>
      </c>
    </row>
    <row r="107" spans="1:42" x14ac:dyDescent="0.3">
      <c r="A107" t="s">
        <v>65</v>
      </c>
      <c r="B107" t="s">
        <v>59</v>
      </c>
      <c r="C107" t="s">
        <v>56</v>
      </c>
      <c r="D107" t="s">
        <v>49</v>
      </c>
      <c r="E107" t="s">
        <v>57</v>
      </c>
      <c r="F107">
        <v>104</v>
      </c>
      <c r="G107">
        <v>4</v>
      </c>
      <c r="H107">
        <v>5</v>
      </c>
      <c r="I107" t="s">
        <v>57</v>
      </c>
      <c r="J107">
        <v>1</v>
      </c>
      <c r="K107">
        <v>0.61929329996928495</v>
      </c>
      <c r="L107" t="s">
        <v>51</v>
      </c>
      <c r="M107">
        <v>5</v>
      </c>
      <c r="N107">
        <v>4</v>
      </c>
      <c r="O107">
        <v>104</v>
      </c>
      <c r="P107">
        <v>9</v>
      </c>
      <c r="Q107">
        <v>152.435578500037</v>
      </c>
      <c r="V107">
        <v>152.42594859999301</v>
      </c>
      <c r="W107">
        <v>152.435578500037</v>
      </c>
      <c r="X107">
        <v>152.935350000043</v>
      </c>
      <c r="Y107">
        <v>152.935350000043</v>
      </c>
      <c r="Z107">
        <v>152.935350000043</v>
      </c>
      <c r="AA107">
        <v>153.55572320002801</v>
      </c>
      <c r="AB107" t="s">
        <v>57</v>
      </c>
      <c r="AC107">
        <v>1</v>
      </c>
      <c r="AD107">
        <v>0.61929329996928495</v>
      </c>
      <c r="AE107" t="s">
        <v>51</v>
      </c>
      <c r="AI107">
        <v>1</v>
      </c>
      <c r="AJ107">
        <v>1</v>
      </c>
      <c r="AK107" t="s">
        <v>42</v>
      </c>
      <c r="AL107" t="s">
        <v>43</v>
      </c>
      <c r="AN107" t="s">
        <v>44</v>
      </c>
      <c r="AO107">
        <v>59.778723070926397</v>
      </c>
      <c r="AP107" t="s">
        <v>45</v>
      </c>
    </row>
    <row r="108" spans="1:42" x14ac:dyDescent="0.3">
      <c r="A108" t="s">
        <v>55</v>
      </c>
      <c r="B108" t="s">
        <v>47</v>
      </c>
      <c r="C108" t="s">
        <v>56</v>
      </c>
      <c r="D108" t="s">
        <v>49</v>
      </c>
      <c r="E108" t="s">
        <v>57</v>
      </c>
      <c r="F108">
        <v>105</v>
      </c>
      <c r="G108">
        <v>5</v>
      </c>
      <c r="H108">
        <v>5</v>
      </c>
      <c r="I108" t="s">
        <v>57</v>
      </c>
      <c r="J108">
        <v>1</v>
      </c>
      <c r="K108">
        <v>0.49040900002000798</v>
      </c>
      <c r="L108" t="s">
        <v>51</v>
      </c>
      <c r="M108">
        <v>5</v>
      </c>
      <c r="N108">
        <v>5</v>
      </c>
      <c r="O108">
        <v>105</v>
      </c>
      <c r="P108">
        <v>13</v>
      </c>
      <c r="Q108">
        <v>153.567991900024</v>
      </c>
      <c r="V108">
        <v>153.559165200043</v>
      </c>
      <c r="W108">
        <v>153.567991900024</v>
      </c>
      <c r="X108">
        <v>154.067972100048</v>
      </c>
      <c r="Y108">
        <v>154.067972100048</v>
      </c>
      <c r="Z108">
        <v>154.067972100048</v>
      </c>
      <c r="AA108">
        <v>154.57181220000999</v>
      </c>
      <c r="AB108" t="s">
        <v>57</v>
      </c>
      <c r="AC108">
        <v>1</v>
      </c>
      <c r="AD108">
        <v>0.49040900002000798</v>
      </c>
      <c r="AE108" t="s">
        <v>51</v>
      </c>
      <c r="AI108">
        <v>1</v>
      </c>
      <c r="AJ108">
        <v>1</v>
      </c>
      <c r="AK108" t="s">
        <v>42</v>
      </c>
      <c r="AL108" t="s">
        <v>43</v>
      </c>
      <c r="AN108" t="s">
        <v>44</v>
      </c>
      <c r="AO108">
        <v>59.778723070926397</v>
      </c>
      <c r="AP108" t="s">
        <v>45</v>
      </c>
    </row>
    <row r="109" spans="1:42" x14ac:dyDescent="0.3">
      <c r="A109" t="s">
        <v>70</v>
      </c>
      <c r="B109" t="s">
        <v>59</v>
      </c>
      <c r="C109" t="s">
        <v>53</v>
      </c>
      <c r="D109" t="s">
        <v>49</v>
      </c>
      <c r="E109" t="s">
        <v>54</v>
      </c>
      <c r="F109">
        <v>106</v>
      </c>
      <c r="G109">
        <v>6</v>
      </c>
      <c r="H109">
        <v>5</v>
      </c>
      <c r="I109" t="s">
        <v>54</v>
      </c>
      <c r="J109">
        <v>1</v>
      </c>
      <c r="K109">
        <v>1.20928200002526</v>
      </c>
      <c r="L109" t="s">
        <v>51</v>
      </c>
      <c r="M109">
        <v>5</v>
      </c>
      <c r="N109">
        <v>6</v>
      </c>
      <c r="O109">
        <v>106</v>
      </c>
      <c r="P109">
        <v>2</v>
      </c>
      <c r="Q109">
        <v>154.58520920004199</v>
      </c>
      <c r="V109">
        <v>154.57447480002801</v>
      </c>
      <c r="W109">
        <v>154.58520920004199</v>
      </c>
      <c r="X109">
        <v>155.08471830002901</v>
      </c>
      <c r="Y109">
        <v>155.08471830002901</v>
      </c>
      <c r="Z109">
        <v>155.08471830002901</v>
      </c>
      <c r="AA109">
        <v>156.305655300035</v>
      </c>
      <c r="AB109" t="s">
        <v>54</v>
      </c>
      <c r="AC109">
        <v>1</v>
      </c>
      <c r="AD109">
        <v>1.20928200002526</v>
      </c>
      <c r="AE109" t="s">
        <v>51</v>
      </c>
      <c r="AI109">
        <v>1</v>
      </c>
      <c r="AJ109">
        <v>1</v>
      </c>
      <c r="AK109" t="s">
        <v>42</v>
      </c>
      <c r="AL109" t="s">
        <v>43</v>
      </c>
      <c r="AN109" t="s">
        <v>44</v>
      </c>
      <c r="AO109">
        <v>59.778723070926397</v>
      </c>
      <c r="AP109" t="s">
        <v>45</v>
      </c>
    </row>
    <row r="110" spans="1:42" x14ac:dyDescent="0.3">
      <c r="A110" t="s">
        <v>68</v>
      </c>
      <c r="B110" t="s">
        <v>59</v>
      </c>
      <c r="C110" t="s">
        <v>53</v>
      </c>
      <c r="D110" t="s">
        <v>49</v>
      </c>
      <c r="E110" t="s">
        <v>54</v>
      </c>
      <c r="F110">
        <v>107</v>
      </c>
      <c r="G110">
        <v>7</v>
      </c>
      <c r="H110">
        <v>5</v>
      </c>
      <c r="I110" t="s">
        <v>54</v>
      </c>
      <c r="J110">
        <v>1</v>
      </c>
      <c r="K110">
        <v>0.48967300000367597</v>
      </c>
      <c r="L110" t="s">
        <v>51</v>
      </c>
      <c r="M110">
        <v>5</v>
      </c>
      <c r="N110">
        <v>7</v>
      </c>
      <c r="O110">
        <v>107</v>
      </c>
      <c r="P110">
        <v>6</v>
      </c>
      <c r="Q110">
        <v>156.31861000001601</v>
      </c>
      <c r="V110">
        <v>156.30841580004099</v>
      </c>
      <c r="W110">
        <v>156.31861000001601</v>
      </c>
      <c r="X110">
        <v>156.81831270002201</v>
      </c>
      <c r="Y110">
        <v>156.81831270002201</v>
      </c>
      <c r="Z110">
        <v>156.81831270002201</v>
      </c>
      <c r="AA110">
        <v>157.322101700003</v>
      </c>
      <c r="AB110" t="s">
        <v>54</v>
      </c>
      <c r="AC110">
        <v>1</v>
      </c>
      <c r="AD110">
        <v>0.48967300000367597</v>
      </c>
      <c r="AE110" t="s">
        <v>51</v>
      </c>
      <c r="AI110">
        <v>1</v>
      </c>
      <c r="AJ110">
        <v>1</v>
      </c>
      <c r="AK110" t="s">
        <v>42</v>
      </c>
      <c r="AL110" t="s">
        <v>43</v>
      </c>
      <c r="AN110" t="s">
        <v>44</v>
      </c>
      <c r="AO110">
        <v>59.778723070926397</v>
      </c>
      <c r="AP110" t="s">
        <v>45</v>
      </c>
    </row>
    <row r="111" spans="1:42" x14ac:dyDescent="0.3">
      <c r="A111" t="s">
        <v>74</v>
      </c>
      <c r="B111" t="s">
        <v>47</v>
      </c>
      <c r="C111" t="s">
        <v>48</v>
      </c>
      <c r="D111" t="s">
        <v>49</v>
      </c>
      <c r="E111" t="s">
        <v>50</v>
      </c>
      <c r="F111">
        <v>108</v>
      </c>
      <c r="G111">
        <v>8</v>
      </c>
      <c r="H111">
        <v>5</v>
      </c>
      <c r="I111" t="s">
        <v>50</v>
      </c>
      <c r="J111">
        <v>1</v>
      </c>
      <c r="K111">
        <v>0.73989969998365201</v>
      </c>
      <c r="L111" t="s">
        <v>51</v>
      </c>
      <c r="M111">
        <v>5</v>
      </c>
      <c r="N111">
        <v>8</v>
      </c>
      <c r="O111">
        <v>108</v>
      </c>
      <c r="P111">
        <v>11</v>
      </c>
      <c r="Q111">
        <v>157.33506860001901</v>
      </c>
      <c r="V111">
        <v>157.32486350002</v>
      </c>
      <c r="W111">
        <v>157.33506860001901</v>
      </c>
      <c r="X111">
        <v>157.83432399999501</v>
      </c>
      <c r="Y111">
        <v>157.83432399999501</v>
      </c>
      <c r="Z111">
        <v>157.83432399999501</v>
      </c>
      <c r="AA111">
        <v>158.58906260004699</v>
      </c>
      <c r="AB111" t="s">
        <v>50</v>
      </c>
      <c r="AC111">
        <v>1</v>
      </c>
      <c r="AD111">
        <v>0.73989969998365201</v>
      </c>
      <c r="AE111" t="s">
        <v>51</v>
      </c>
      <c r="AI111">
        <v>1</v>
      </c>
      <c r="AJ111">
        <v>1</v>
      </c>
      <c r="AK111" t="s">
        <v>42</v>
      </c>
      <c r="AL111" t="s">
        <v>43</v>
      </c>
      <c r="AN111" t="s">
        <v>44</v>
      </c>
      <c r="AO111">
        <v>59.778723070926397</v>
      </c>
      <c r="AP111" t="s">
        <v>45</v>
      </c>
    </row>
    <row r="112" spans="1:42" x14ac:dyDescent="0.3">
      <c r="A112" t="s">
        <v>72</v>
      </c>
      <c r="B112" t="s">
        <v>59</v>
      </c>
      <c r="C112" t="s">
        <v>61</v>
      </c>
      <c r="D112" t="s">
        <v>62</v>
      </c>
      <c r="E112" t="s">
        <v>63</v>
      </c>
      <c r="F112">
        <v>109</v>
      </c>
      <c r="G112">
        <v>9</v>
      </c>
      <c r="H112">
        <v>5</v>
      </c>
      <c r="I112" t="s">
        <v>63</v>
      </c>
      <c r="J112">
        <v>1</v>
      </c>
      <c r="K112">
        <v>0.56732679996639401</v>
      </c>
      <c r="L112" t="s">
        <v>51</v>
      </c>
      <c r="M112">
        <v>5</v>
      </c>
      <c r="N112">
        <v>9</v>
      </c>
      <c r="O112">
        <v>109</v>
      </c>
      <c r="P112">
        <v>8</v>
      </c>
      <c r="Q112">
        <v>158.60146710002999</v>
      </c>
      <c r="V112">
        <v>158.591720200027</v>
      </c>
      <c r="W112">
        <v>158.60146710002999</v>
      </c>
      <c r="X112">
        <v>159.10156440001401</v>
      </c>
      <c r="Y112">
        <v>159.10156440001401</v>
      </c>
      <c r="Z112">
        <v>159.10156440001401</v>
      </c>
      <c r="AA112">
        <v>159.67255060002199</v>
      </c>
      <c r="AB112" t="s">
        <v>63</v>
      </c>
      <c r="AC112">
        <v>1</v>
      </c>
      <c r="AD112">
        <v>0.56732679996639401</v>
      </c>
      <c r="AE112" t="s">
        <v>51</v>
      </c>
      <c r="AI112">
        <v>1</v>
      </c>
      <c r="AJ112">
        <v>1</v>
      </c>
      <c r="AK112" t="s">
        <v>42</v>
      </c>
      <c r="AL112" t="s">
        <v>43</v>
      </c>
      <c r="AN112" t="s">
        <v>44</v>
      </c>
      <c r="AO112">
        <v>59.778723070926397</v>
      </c>
      <c r="AP112" t="s">
        <v>45</v>
      </c>
    </row>
    <row r="113" spans="1:42" x14ac:dyDescent="0.3">
      <c r="A113" t="s">
        <v>76</v>
      </c>
      <c r="B113" t="s">
        <v>59</v>
      </c>
      <c r="C113" t="s">
        <v>48</v>
      </c>
      <c r="D113" t="s">
        <v>49</v>
      </c>
      <c r="E113" t="s">
        <v>50</v>
      </c>
      <c r="F113">
        <v>110</v>
      </c>
      <c r="G113">
        <v>10</v>
      </c>
      <c r="H113">
        <v>5</v>
      </c>
      <c r="I113" t="s">
        <v>54</v>
      </c>
      <c r="J113">
        <v>0</v>
      </c>
      <c r="K113">
        <v>0.87173250003252101</v>
      </c>
      <c r="L113" t="s">
        <v>51</v>
      </c>
      <c r="M113">
        <v>5</v>
      </c>
      <c r="N113">
        <v>10</v>
      </c>
      <c r="O113">
        <v>110</v>
      </c>
      <c r="P113">
        <v>3</v>
      </c>
      <c r="Q113">
        <v>159.684763199999</v>
      </c>
      <c r="V113">
        <v>159.67585870000701</v>
      </c>
      <c r="W113">
        <v>159.684763199999</v>
      </c>
      <c r="X113">
        <v>160.18494000000601</v>
      </c>
      <c r="Y113">
        <v>160.18494000000601</v>
      </c>
      <c r="Z113">
        <v>160.18494000000601</v>
      </c>
      <c r="AA113">
        <v>161.071619299997</v>
      </c>
      <c r="AB113" t="s">
        <v>54</v>
      </c>
      <c r="AC113">
        <v>0</v>
      </c>
      <c r="AD113">
        <v>0.87173250003252101</v>
      </c>
      <c r="AE113" t="s">
        <v>51</v>
      </c>
      <c r="AI113">
        <v>1</v>
      </c>
      <c r="AJ113">
        <v>1</v>
      </c>
      <c r="AK113" t="s">
        <v>42</v>
      </c>
      <c r="AL113" t="s">
        <v>43</v>
      </c>
      <c r="AN113" t="s">
        <v>44</v>
      </c>
      <c r="AO113">
        <v>59.778723070926397</v>
      </c>
      <c r="AP113" t="s">
        <v>45</v>
      </c>
    </row>
    <row r="114" spans="1:42" x14ac:dyDescent="0.3">
      <c r="A114" t="s">
        <v>71</v>
      </c>
      <c r="B114" t="s">
        <v>47</v>
      </c>
      <c r="C114" t="s">
        <v>48</v>
      </c>
      <c r="D114" t="s">
        <v>49</v>
      </c>
      <c r="E114" t="s">
        <v>50</v>
      </c>
      <c r="F114">
        <v>111</v>
      </c>
      <c r="G114">
        <v>11</v>
      </c>
      <c r="H114">
        <v>5</v>
      </c>
      <c r="I114" t="s">
        <v>50</v>
      </c>
      <c r="J114">
        <v>1</v>
      </c>
      <c r="K114">
        <v>1.1206388000282399</v>
      </c>
      <c r="L114" t="s">
        <v>51</v>
      </c>
      <c r="M114">
        <v>5</v>
      </c>
      <c r="N114">
        <v>11</v>
      </c>
      <c r="O114">
        <v>111</v>
      </c>
      <c r="P114">
        <v>15</v>
      </c>
      <c r="Q114">
        <v>161.08469940000199</v>
      </c>
      <c r="V114">
        <v>161.07476370001601</v>
      </c>
      <c r="W114">
        <v>161.08469940000199</v>
      </c>
      <c r="X114">
        <v>161.585063100035</v>
      </c>
      <c r="Y114">
        <v>161.585063100035</v>
      </c>
      <c r="Z114">
        <v>161.585063100035</v>
      </c>
      <c r="AA114">
        <v>162.72171180002599</v>
      </c>
      <c r="AB114" t="s">
        <v>50</v>
      </c>
      <c r="AC114">
        <v>1</v>
      </c>
      <c r="AD114">
        <v>1.1206388000282399</v>
      </c>
      <c r="AE114" t="s">
        <v>51</v>
      </c>
      <c r="AI114">
        <v>1</v>
      </c>
      <c r="AJ114">
        <v>1</v>
      </c>
      <c r="AK114" t="s">
        <v>42</v>
      </c>
      <c r="AL114" t="s">
        <v>43</v>
      </c>
      <c r="AN114" t="s">
        <v>44</v>
      </c>
      <c r="AO114">
        <v>59.778723070926397</v>
      </c>
      <c r="AP114" t="s">
        <v>45</v>
      </c>
    </row>
    <row r="115" spans="1:42" x14ac:dyDescent="0.3">
      <c r="A115" t="s">
        <v>69</v>
      </c>
      <c r="B115" t="s">
        <v>59</v>
      </c>
      <c r="C115" t="s">
        <v>56</v>
      </c>
      <c r="D115" t="s">
        <v>49</v>
      </c>
      <c r="E115" t="s">
        <v>57</v>
      </c>
      <c r="F115">
        <v>112</v>
      </c>
      <c r="G115">
        <v>12</v>
      </c>
      <c r="H115">
        <v>5</v>
      </c>
      <c r="I115" t="s">
        <v>57</v>
      </c>
      <c r="J115">
        <v>1</v>
      </c>
      <c r="K115">
        <v>1.0149754000012701</v>
      </c>
      <c r="L115" t="s">
        <v>51</v>
      </c>
      <c r="M115">
        <v>5</v>
      </c>
      <c r="N115">
        <v>12</v>
      </c>
      <c r="O115">
        <v>112</v>
      </c>
      <c r="P115">
        <v>5</v>
      </c>
      <c r="Q115">
        <v>162.734922100033</v>
      </c>
      <c r="V115">
        <v>162.72438389999999</v>
      </c>
      <c r="W115">
        <v>162.734922100033</v>
      </c>
      <c r="X115">
        <v>163.23510490002801</v>
      </c>
      <c r="Y115">
        <v>163.23510490002801</v>
      </c>
      <c r="Z115">
        <v>163.23510490002801</v>
      </c>
      <c r="AA115">
        <v>164.255432600039</v>
      </c>
      <c r="AB115" t="s">
        <v>57</v>
      </c>
      <c r="AC115">
        <v>1</v>
      </c>
      <c r="AD115">
        <v>1.0149754000012701</v>
      </c>
      <c r="AE115" t="s">
        <v>51</v>
      </c>
      <c r="AI115">
        <v>1</v>
      </c>
      <c r="AJ115">
        <v>1</v>
      </c>
      <c r="AK115" t="s">
        <v>42</v>
      </c>
      <c r="AL115" t="s">
        <v>43</v>
      </c>
      <c r="AN115" t="s">
        <v>44</v>
      </c>
      <c r="AO115">
        <v>59.778723070926397</v>
      </c>
      <c r="AP115" t="s">
        <v>45</v>
      </c>
    </row>
    <row r="116" spans="1:42" x14ac:dyDescent="0.3">
      <c r="A116" t="s">
        <v>60</v>
      </c>
      <c r="B116" t="s">
        <v>59</v>
      </c>
      <c r="C116" t="s">
        <v>61</v>
      </c>
      <c r="D116" t="s">
        <v>62</v>
      </c>
      <c r="E116" t="s">
        <v>63</v>
      </c>
      <c r="F116">
        <v>113</v>
      </c>
      <c r="G116">
        <v>13</v>
      </c>
      <c r="H116">
        <v>5</v>
      </c>
      <c r="I116" t="s">
        <v>63</v>
      </c>
      <c r="J116">
        <v>1</v>
      </c>
      <c r="K116">
        <v>0.52194730000337497</v>
      </c>
      <c r="L116" t="s">
        <v>51</v>
      </c>
      <c r="M116">
        <v>5</v>
      </c>
      <c r="N116">
        <v>13</v>
      </c>
      <c r="O116">
        <v>113</v>
      </c>
      <c r="P116">
        <v>0</v>
      </c>
      <c r="Q116">
        <v>164.26783110003399</v>
      </c>
      <c r="V116">
        <v>164.25867930002201</v>
      </c>
      <c r="W116">
        <v>164.26783110003399</v>
      </c>
      <c r="X116">
        <v>164.76778789999599</v>
      </c>
      <c r="Y116">
        <v>164.76778789999599</v>
      </c>
      <c r="Z116">
        <v>164.76778789999599</v>
      </c>
      <c r="AA116">
        <v>165.30479110003199</v>
      </c>
      <c r="AB116" t="s">
        <v>63</v>
      </c>
      <c r="AC116">
        <v>1</v>
      </c>
      <c r="AD116">
        <v>0.52194730000337497</v>
      </c>
      <c r="AE116" t="s">
        <v>51</v>
      </c>
      <c r="AI116">
        <v>1</v>
      </c>
      <c r="AJ116">
        <v>1</v>
      </c>
      <c r="AK116" t="s">
        <v>42</v>
      </c>
      <c r="AL116" t="s">
        <v>43</v>
      </c>
      <c r="AN116" t="s">
        <v>44</v>
      </c>
      <c r="AO116">
        <v>59.778723070926397</v>
      </c>
      <c r="AP116" t="s">
        <v>45</v>
      </c>
    </row>
    <row r="117" spans="1:42" x14ac:dyDescent="0.3">
      <c r="A117" t="s">
        <v>77</v>
      </c>
      <c r="B117" t="s">
        <v>59</v>
      </c>
      <c r="C117" t="s">
        <v>61</v>
      </c>
      <c r="D117" t="s">
        <v>62</v>
      </c>
      <c r="E117" t="s">
        <v>63</v>
      </c>
      <c r="F117">
        <v>114</v>
      </c>
      <c r="G117">
        <v>14</v>
      </c>
      <c r="H117">
        <v>5</v>
      </c>
      <c r="I117" t="s">
        <v>63</v>
      </c>
      <c r="J117">
        <v>1</v>
      </c>
      <c r="K117">
        <v>0.55611109995515995</v>
      </c>
      <c r="L117" t="s">
        <v>51</v>
      </c>
      <c r="M117">
        <v>5</v>
      </c>
      <c r="N117">
        <v>14</v>
      </c>
      <c r="O117">
        <v>114</v>
      </c>
      <c r="P117">
        <v>4</v>
      </c>
      <c r="Q117">
        <v>165.31847080000401</v>
      </c>
      <c r="V117">
        <v>165.307658600038</v>
      </c>
      <c r="W117">
        <v>165.31847080000401</v>
      </c>
      <c r="X117">
        <v>165.8177594</v>
      </c>
      <c r="Y117">
        <v>165.8177594</v>
      </c>
      <c r="Z117">
        <v>165.8177594</v>
      </c>
      <c r="AA117">
        <v>166.388302600011</v>
      </c>
      <c r="AB117" t="s">
        <v>63</v>
      </c>
      <c r="AC117">
        <v>1</v>
      </c>
      <c r="AD117">
        <v>0.55611109995515995</v>
      </c>
      <c r="AE117" t="s">
        <v>51</v>
      </c>
      <c r="AI117">
        <v>1</v>
      </c>
      <c r="AJ117">
        <v>1</v>
      </c>
      <c r="AK117" t="s">
        <v>42</v>
      </c>
      <c r="AL117" t="s">
        <v>43</v>
      </c>
      <c r="AN117" t="s">
        <v>44</v>
      </c>
      <c r="AO117">
        <v>59.778723070926397</v>
      </c>
      <c r="AP117" t="s">
        <v>45</v>
      </c>
    </row>
    <row r="118" spans="1:42" x14ac:dyDescent="0.3">
      <c r="A118" t="s">
        <v>58</v>
      </c>
      <c r="B118" t="s">
        <v>59</v>
      </c>
      <c r="C118" t="s">
        <v>48</v>
      </c>
      <c r="D118" t="s">
        <v>49</v>
      </c>
      <c r="E118" t="s">
        <v>50</v>
      </c>
      <c r="F118">
        <v>115</v>
      </c>
      <c r="G118">
        <v>15</v>
      </c>
      <c r="H118">
        <v>5</v>
      </c>
      <c r="I118" t="s">
        <v>50</v>
      </c>
      <c r="J118">
        <v>1</v>
      </c>
      <c r="K118">
        <v>0.80952399998204705</v>
      </c>
      <c r="L118" t="s">
        <v>51</v>
      </c>
      <c r="M118">
        <v>5</v>
      </c>
      <c r="N118">
        <v>15</v>
      </c>
      <c r="O118">
        <v>115</v>
      </c>
      <c r="P118">
        <v>7</v>
      </c>
      <c r="Q118">
        <v>166.401678599999</v>
      </c>
      <c r="V118">
        <v>166.391047400014</v>
      </c>
      <c r="W118">
        <v>166.401678599999</v>
      </c>
      <c r="X118">
        <v>166.90111870004301</v>
      </c>
      <c r="Y118">
        <v>166.90111870004301</v>
      </c>
      <c r="Z118">
        <v>166.90111870004301</v>
      </c>
      <c r="AA118">
        <v>167.721065599995</v>
      </c>
      <c r="AB118" t="s">
        <v>50</v>
      </c>
      <c r="AC118">
        <v>1</v>
      </c>
      <c r="AD118">
        <v>0.80952399998204705</v>
      </c>
      <c r="AE118" t="s">
        <v>51</v>
      </c>
      <c r="AI118">
        <v>1</v>
      </c>
      <c r="AJ118">
        <v>1</v>
      </c>
      <c r="AK118" t="s">
        <v>42</v>
      </c>
      <c r="AL118" t="s">
        <v>43</v>
      </c>
      <c r="AN118" t="s">
        <v>44</v>
      </c>
      <c r="AO118">
        <v>59.778723070926397</v>
      </c>
      <c r="AP118" t="s">
        <v>45</v>
      </c>
    </row>
    <row r="119" spans="1:42" x14ac:dyDescent="0.3">
      <c r="A119" t="s">
        <v>75</v>
      </c>
      <c r="B119" t="s">
        <v>47</v>
      </c>
      <c r="C119" t="s">
        <v>61</v>
      </c>
      <c r="D119" t="s">
        <v>49</v>
      </c>
      <c r="E119" t="s">
        <v>63</v>
      </c>
      <c r="F119">
        <v>116</v>
      </c>
      <c r="G119">
        <v>16</v>
      </c>
      <c r="H119">
        <v>5</v>
      </c>
      <c r="I119" t="s">
        <v>63</v>
      </c>
      <c r="J119">
        <v>1</v>
      </c>
      <c r="K119">
        <v>0.67167849995894302</v>
      </c>
      <c r="L119" t="s">
        <v>51</v>
      </c>
      <c r="M119">
        <v>5</v>
      </c>
      <c r="N119">
        <v>16</v>
      </c>
      <c r="O119">
        <v>116</v>
      </c>
      <c r="P119">
        <v>16</v>
      </c>
      <c r="Q119">
        <v>167.734437400009</v>
      </c>
      <c r="V119">
        <v>167.72418370004701</v>
      </c>
      <c r="W119">
        <v>167.734437400009</v>
      </c>
      <c r="X119">
        <v>168.23434830002901</v>
      </c>
      <c r="Y119">
        <v>168.23434830002901</v>
      </c>
      <c r="Z119">
        <v>168.23434830002901</v>
      </c>
      <c r="AA119">
        <v>168.92117710004001</v>
      </c>
      <c r="AB119" t="s">
        <v>63</v>
      </c>
      <c r="AC119">
        <v>1</v>
      </c>
      <c r="AD119">
        <v>0.67167849995894302</v>
      </c>
      <c r="AE119" t="s">
        <v>51</v>
      </c>
      <c r="AI119">
        <v>1</v>
      </c>
      <c r="AJ119">
        <v>1</v>
      </c>
      <c r="AK119" t="s">
        <v>42</v>
      </c>
      <c r="AL119" t="s">
        <v>43</v>
      </c>
      <c r="AN119" t="s">
        <v>44</v>
      </c>
      <c r="AO119">
        <v>59.778723070926397</v>
      </c>
      <c r="AP119" t="s">
        <v>45</v>
      </c>
    </row>
    <row r="120" spans="1:42" x14ac:dyDescent="0.3">
      <c r="A120" t="s">
        <v>64</v>
      </c>
      <c r="B120" t="s">
        <v>47</v>
      </c>
      <c r="C120" t="s">
        <v>53</v>
      </c>
      <c r="D120" t="s">
        <v>49</v>
      </c>
      <c r="E120" t="s">
        <v>54</v>
      </c>
      <c r="F120">
        <v>117</v>
      </c>
      <c r="G120">
        <v>17</v>
      </c>
      <c r="H120">
        <v>5</v>
      </c>
      <c r="I120" t="s">
        <v>54</v>
      </c>
      <c r="J120">
        <v>1</v>
      </c>
      <c r="K120">
        <v>0.83411669998895299</v>
      </c>
      <c r="L120" t="s">
        <v>51</v>
      </c>
      <c r="M120">
        <v>5</v>
      </c>
      <c r="N120">
        <v>17</v>
      </c>
      <c r="O120">
        <v>117</v>
      </c>
      <c r="P120">
        <v>18</v>
      </c>
      <c r="Q120">
        <v>168.93403679999699</v>
      </c>
      <c r="V120">
        <v>168.92454060003999</v>
      </c>
      <c r="W120">
        <v>168.93403679999699</v>
      </c>
      <c r="X120">
        <v>169.43428780004601</v>
      </c>
      <c r="Y120">
        <v>169.43428780004601</v>
      </c>
      <c r="Z120">
        <v>169.43428780004601</v>
      </c>
      <c r="AA120">
        <v>170.27146730001499</v>
      </c>
      <c r="AB120" t="s">
        <v>54</v>
      </c>
      <c r="AC120">
        <v>1</v>
      </c>
      <c r="AD120">
        <v>0.83411669998895299</v>
      </c>
      <c r="AE120" t="s">
        <v>51</v>
      </c>
      <c r="AI120">
        <v>1</v>
      </c>
      <c r="AJ120">
        <v>1</v>
      </c>
      <c r="AK120" t="s">
        <v>42</v>
      </c>
      <c r="AL120" t="s">
        <v>43</v>
      </c>
      <c r="AN120" t="s">
        <v>44</v>
      </c>
      <c r="AO120">
        <v>59.778723070926397</v>
      </c>
      <c r="AP120" t="s">
        <v>45</v>
      </c>
    </row>
    <row r="121" spans="1:42" x14ac:dyDescent="0.3">
      <c r="A121" t="s">
        <v>66</v>
      </c>
      <c r="B121" t="s">
        <v>47</v>
      </c>
      <c r="C121" t="s">
        <v>61</v>
      </c>
      <c r="D121" t="s">
        <v>49</v>
      </c>
      <c r="E121" t="s">
        <v>63</v>
      </c>
      <c r="F121">
        <v>118</v>
      </c>
      <c r="G121">
        <v>18</v>
      </c>
      <c r="H121">
        <v>5</v>
      </c>
      <c r="I121" t="s">
        <v>63</v>
      </c>
      <c r="J121">
        <v>1</v>
      </c>
      <c r="K121">
        <v>0.64601340005174201</v>
      </c>
      <c r="L121" t="s">
        <v>51</v>
      </c>
      <c r="M121">
        <v>5</v>
      </c>
      <c r="N121">
        <v>18</v>
      </c>
      <c r="O121">
        <v>118</v>
      </c>
      <c r="P121">
        <v>12</v>
      </c>
      <c r="Q121">
        <v>170.28417150000999</v>
      </c>
      <c r="V121">
        <v>170.27473910001501</v>
      </c>
      <c r="W121">
        <v>170.28417150000999</v>
      </c>
      <c r="X121">
        <v>170.78391850000401</v>
      </c>
      <c r="Y121">
        <v>170.78391850000401</v>
      </c>
      <c r="Z121">
        <v>170.78391850000401</v>
      </c>
      <c r="AA121">
        <v>171.44054770004001</v>
      </c>
      <c r="AB121" t="s">
        <v>63</v>
      </c>
      <c r="AC121">
        <v>1</v>
      </c>
      <c r="AD121">
        <v>0.64601340005174201</v>
      </c>
      <c r="AE121" t="s">
        <v>51</v>
      </c>
      <c r="AI121">
        <v>1</v>
      </c>
      <c r="AJ121">
        <v>1</v>
      </c>
      <c r="AK121" t="s">
        <v>42</v>
      </c>
      <c r="AL121" t="s">
        <v>43</v>
      </c>
      <c r="AN121" t="s">
        <v>44</v>
      </c>
      <c r="AO121">
        <v>59.778723070926397</v>
      </c>
      <c r="AP121" t="s">
        <v>45</v>
      </c>
    </row>
    <row r="122" spans="1:42" x14ac:dyDescent="0.3">
      <c r="A122" t="s">
        <v>46</v>
      </c>
      <c r="B122" t="s">
        <v>47</v>
      </c>
      <c r="C122" t="s">
        <v>48</v>
      </c>
      <c r="D122" t="s">
        <v>49</v>
      </c>
      <c r="E122" t="s">
        <v>50</v>
      </c>
      <c r="F122">
        <v>119</v>
      </c>
      <c r="G122">
        <v>19</v>
      </c>
      <c r="H122">
        <v>5</v>
      </c>
      <c r="I122" t="s">
        <v>50</v>
      </c>
      <c r="J122">
        <v>1</v>
      </c>
      <c r="K122">
        <v>0.79142189997946799</v>
      </c>
      <c r="L122" t="s">
        <v>51</v>
      </c>
      <c r="M122">
        <v>5</v>
      </c>
      <c r="N122">
        <v>19</v>
      </c>
      <c r="O122">
        <v>119</v>
      </c>
      <c r="P122">
        <v>19</v>
      </c>
      <c r="Q122">
        <v>171.46733790001599</v>
      </c>
      <c r="V122">
        <v>171.44613870000401</v>
      </c>
      <c r="W122">
        <v>171.46733790001599</v>
      </c>
      <c r="X122">
        <v>171.95051059999901</v>
      </c>
      <c r="Y122">
        <v>171.95051059999901</v>
      </c>
      <c r="Z122">
        <v>171.95051059999901</v>
      </c>
      <c r="AA122">
        <v>172.75523860001701</v>
      </c>
      <c r="AB122" t="s">
        <v>50</v>
      </c>
      <c r="AC122">
        <v>1</v>
      </c>
      <c r="AD122">
        <v>0.79142189997946799</v>
      </c>
      <c r="AE122" t="s">
        <v>51</v>
      </c>
      <c r="AI122">
        <v>1</v>
      </c>
      <c r="AJ122">
        <v>1</v>
      </c>
      <c r="AK122" t="s">
        <v>42</v>
      </c>
      <c r="AL122" t="s">
        <v>43</v>
      </c>
      <c r="AN122" t="s">
        <v>44</v>
      </c>
      <c r="AO122">
        <v>59.778723070926397</v>
      </c>
      <c r="AP122" t="s">
        <v>45</v>
      </c>
    </row>
    <row r="123" spans="1:42" x14ac:dyDescent="0.3">
      <c r="A123" t="s">
        <v>74</v>
      </c>
      <c r="B123" t="s">
        <v>47</v>
      </c>
      <c r="C123" t="s">
        <v>48</v>
      </c>
      <c r="D123" t="s">
        <v>49</v>
      </c>
      <c r="E123" t="s">
        <v>50</v>
      </c>
      <c r="F123">
        <v>120</v>
      </c>
      <c r="G123">
        <v>0</v>
      </c>
      <c r="H123">
        <v>6</v>
      </c>
      <c r="I123" t="s">
        <v>50</v>
      </c>
      <c r="J123">
        <v>1</v>
      </c>
      <c r="K123">
        <v>0.63352019997546405</v>
      </c>
      <c r="L123" t="s">
        <v>51</v>
      </c>
      <c r="M123">
        <v>6</v>
      </c>
      <c r="N123">
        <v>0</v>
      </c>
      <c r="O123">
        <v>120</v>
      </c>
      <c r="P123">
        <v>11</v>
      </c>
      <c r="Q123">
        <v>172.76731630001399</v>
      </c>
      <c r="V123">
        <v>172.75848100002599</v>
      </c>
      <c r="W123">
        <v>172.76731630001399</v>
      </c>
      <c r="X123">
        <v>173.26771879999399</v>
      </c>
      <c r="Y123">
        <v>173.26771879999399</v>
      </c>
      <c r="Z123">
        <v>173.26771879999399</v>
      </c>
      <c r="AA123">
        <v>173.90492510003901</v>
      </c>
      <c r="AB123" t="s">
        <v>50</v>
      </c>
      <c r="AC123">
        <v>1</v>
      </c>
      <c r="AD123">
        <v>0.63352019997546405</v>
      </c>
      <c r="AE123" t="s">
        <v>51</v>
      </c>
      <c r="AI123">
        <v>1</v>
      </c>
      <c r="AJ123">
        <v>1</v>
      </c>
      <c r="AK123" t="s">
        <v>42</v>
      </c>
      <c r="AL123" t="s">
        <v>43</v>
      </c>
      <c r="AN123" t="s">
        <v>44</v>
      </c>
      <c r="AO123">
        <v>59.778723070926397</v>
      </c>
      <c r="AP123" t="s">
        <v>45</v>
      </c>
    </row>
    <row r="124" spans="1:42" x14ac:dyDescent="0.3">
      <c r="A124" t="s">
        <v>60</v>
      </c>
      <c r="B124" t="s">
        <v>59</v>
      </c>
      <c r="C124" t="s">
        <v>61</v>
      </c>
      <c r="D124" t="s">
        <v>62</v>
      </c>
      <c r="E124" t="s">
        <v>63</v>
      </c>
      <c r="F124">
        <v>121</v>
      </c>
      <c r="G124">
        <v>1</v>
      </c>
      <c r="H124">
        <v>6</v>
      </c>
      <c r="I124" t="s">
        <v>63</v>
      </c>
      <c r="J124">
        <v>1</v>
      </c>
      <c r="K124">
        <v>0.98542450001696102</v>
      </c>
      <c r="L124" t="s">
        <v>51</v>
      </c>
      <c r="M124">
        <v>6</v>
      </c>
      <c r="N124">
        <v>1</v>
      </c>
      <c r="O124">
        <v>121</v>
      </c>
      <c r="P124">
        <v>0</v>
      </c>
      <c r="Q124">
        <v>173.917603600013</v>
      </c>
      <c r="V124">
        <v>173.908365500043</v>
      </c>
      <c r="W124">
        <v>173.917603600013</v>
      </c>
      <c r="X124">
        <v>174.417095100041</v>
      </c>
      <c r="Y124">
        <v>174.417095100041</v>
      </c>
      <c r="Z124">
        <v>174.417095100041</v>
      </c>
      <c r="AA124">
        <v>175.40483410004501</v>
      </c>
      <c r="AB124" t="s">
        <v>63</v>
      </c>
      <c r="AC124">
        <v>1</v>
      </c>
      <c r="AD124">
        <v>0.98542450001696102</v>
      </c>
      <c r="AE124" t="s">
        <v>51</v>
      </c>
      <c r="AI124">
        <v>1</v>
      </c>
      <c r="AJ124">
        <v>1</v>
      </c>
      <c r="AK124" t="s">
        <v>42</v>
      </c>
      <c r="AL124" t="s">
        <v>43</v>
      </c>
      <c r="AN124" t="s">
        <v>44</v>
      </c>
      <c r="AO124">
        <v>59.778723070926397</v>
      </c>
      <c r="AP124" t="s">
        <v>45</v>
      </c>
    </row>
    <row r="125" spans="1:42" x14ac:dyDescent="0.3">
      <c r="A125" t="s">
        <v>46</v>
      </c>
      <c r="B125" t="s">
        <v>47</v>
      </c>
      <c r="C125" t="s">
        <v>48</v>
      </c>
      <c r="D125" t="s">
        <v>49</v>
      </c>
      <c r="E125" t="s">
        <v>50</v>
      </c>
      <c r="F125">
        <v>122</v>
      </c>
      <c r="G125">
        <v>2</v>
      </c>
      <c r="H125">
        <v>6</v>
      </c>
      <c r="I125" t="s">
        <v>50</v>
      </c>
      <c r="J125">
        <v>1</v>
      </c>
      <c r="K125">
        <v>0.89361460000509396</v>
      </c>
      <c r="L125" t="s">
        <v>51</v>
      </c>
      <c r="M125">
        <v>6</v>
      </c>
      <c r="N125">
        <v>2</v>
      </c>
      <c r="O125">
        <v>122</v>
      </c>
      <c r="P125">
        <v>19</v>
      </c>
      <c r="Q125">
        <v>175.418034400034</v>
      </c>
      <c r="V125">
        <v>175.40758920001099</v>
      </c>
      <c r="W125">
        <v>175.418034400034</v>
      </c>
      <c r="X125">
        <v>175.916914700006</v>
      </c>
      <c r="Y125">
        <v>175.916914700006</v>
      </c>
      <c r="Z125">
        <v>175.916914700006</v>
      </c>
      <c r="AA125">
        <v>176.82099350000499</v>
      </c>
      <c r="AB125" t="s">
        <v>50</v>
      </c>
      <c r="AC125">
        <v>1</v>
      </c>
      <c r="AD125">
        <v>0.89361460000509396</v>
      </c>
      <c r="AE125" t="s">
        <v>51</v>
      </c>
      <c r="AI125">
        <v>1</v>
      </c>
      <c r="AJ125">
        <v>1</v>
      </c>
      <c r="AK125" t="s">
        <v>42</v>
      </c>
      <c r="AL125" t="s">
        <v>43</v>
      </c>
      <c r="AN125" t="s">
        <v>44</v>
      </c>
      <c r="AO125">
        <v>59.778723070926397</v>
      </c>
      <c r="AP125" t="s">
        <v>45</v>
      </c>
    </row>
    <row r="126" spans="1:42" x14ac:dyDescent="0.3">
      <c r="A126" t="s">
        <v>58</v>
      </c>
      <c r="B126" t="s">
        <v>59</v>
      </c>
      <c r="C126" t="s">
        <v>48</v>
      </c>
      <c r="D126" t="s">
        <v>49</v>
      </c>
      <c r="E126" t="s">
        <v>50</v>
      </c>
      <c r="F126">
        <v>123</v>
      </c>
      <c r="G126">
        <v>3</v>
      </c>
      <c r="H126">
        <v>6</v>
      </c>
      <c r="I126" t="s">
        <v>50</v>
      </c>
      <c r="J126">
        <v>1</v>
      </c>
      <c r="K126">
        <v>0.53272519999882195</v>
      </c>
      <c r="L126" t="s">
        <v>51</v>
      </c>
      <c r="M126">
        <v>6</v>
      </c>
      <c r="N126">
        <v>3</v>
      </c>
      <c r="O126">
        <v>123</v>
      </c>
      <c r="P126">
        <v>7</v>
      </c>
      <c r="Q126">
        <v>176.83396479999601</v>
      </c>
      <c r="V126">
        <v>176.823917100031</v>
      </c>
      <c r="W126">
        <v>176.83396479999601</v>
      </c>
      <c r="X126">
        <v>177.333663900033</v>
      </c>
      <c r="Y126">
        <v>177.333663900033</v>
      </c>
      <c r="Z126">
        <v>177.333663900033</v>
      </c>
      <c r="AA126">
        <v>177.87089429999401</v>
      </c>
      <c r="AB126" t="s">
        <v>50</v>
      </c>
      <c r="AC126">
        <v>1</v>
      </c>
      <c r="AD126">
        <v>0.53272519999882195</v>
      </c>
      <c r="AE126" t="s">
        <v>51</v>
      </c>
      <c r="AI126">
        <v>1</v>
      </c>
      <c r="AJ126">
        <v>1</v>
      </c>
      <c r="AK126" t="s">
        <v>42</v>
      </c>
      <c r="AL126" t="s">
        <v>43</v>
      </c>
      <c r="AN126" t="s">
        <v>44</v>
      </c>
      <c r="AO126">
        <v>59.778723070926397</v>
      </c>
      <c r="AP126" t="s">
        <v>45</v>
      </c>
    </row>
    <row r="127" spans="1:42" x14ac:dyDescent="0.3">
      <c r="A127" t="s">
        <v>73</v>
      </c>
      <c r="B127" t="s">
        <v>59</v>
      </c>
      <c r="C127" t="s">
        <v>56</v>
      </c>
      <c r="D127" t="s">
        <v>49</v>
      </c>
      <c r="E127" t="s">
        <v>57</v>
      </c>
      <c r="F127">
        <v>124</v>
      </c>
      <c r="G127">
        <v>4</v>
      </c>
      <c r="H127">
        <v>6</v>
      </c>
      <c r="I127" t="s">
        <v>57</v>
      </c>
      <c r="J127">
        <v>1</v>
      </c>
      <c r="K127">
        <v>0.80168599996250101</v>
      </c>
      <c r="L127" t="s">
        <v>51</v>
      </c>
      <c r="M127">
        <v>6</v>
      </c>
      <c r="N127">
        <v>4</v>
      </c>
      <c r="O127">
        <v>124</v>
      </c>
      <c r="P127">
        <v>1</v>
      </c>
      <c r="Q127">
        <v>177.88416740001401</v>
      </c>
      <c r="V127">
        <v>177.87404260004399</v>
      </c>
      <c r="W127">
        <v>177.88416740001401</v>
      </c>
      <c r="X127">
        <v>178.383925400034</v>
      </c>
      <c r="Y127">
        <v>178.383925400034</v>
      </c>
      <c r="Z127">
        <v>178.383925400034</v>
      </c>
      <c r="AA127">
        <v>179.187555900018</v>
      </c>
      <c r="AB127" t="s">
        <v>57</v>
      </c>
      <c r="AC127">
        <v>1</v>
      </c>
      <c r="AD127">
        <v>0.80168599996250101</v>
      </c>
      <c r="AE127" t="s">
        <v>51</v>
      </c>
      <c r="AI127">
        <v>1</v>
      </c>
      <c r="AJ127">
        <v>1</v>
      </c>
      <c r="AK127" t="s">
        <v>42</v>
      </c>
      <c r="AL127" t="s">
        <v>43</v>
      </c>
      <c r="AN127" t="s">
        <v>44</v>
      </c>
      <c r="AO127">
        <v>59.778723070926397</v>
      </c>
      <c r="AP127" t="s">
        <v>45</v>
      </c>
    </row>
    <row r="128" spans="1:42" x14ac:dyDescent="0.3">
      <c r="A128" t="s">
        <v>78</v>
      </c>
      <c r="B128" t="s">
        <v>47</v>
      </c>
      <c r="C128" t="s">
        <v>56</v>
      </c>
      <c r="D128" t="s">
        <v>49</v>
      </c>
      <c r="E128" t="s">
        <v>57</v>
      </c>
      <c r="F128">
        <v>125</v>
      </c>
      <c r="G128">
        <v>5</v>
      </c>
      <c r="H128">
        <v>6</v>
      </c>
      <c r="I128" t="s">
        <v>57</v>
      </c>
      <c r="J128">
        <v>1</v>
      </c>
      <c r="K128">
        <v>0.48007930000312599</v>
      </c>
      <c r="L128" t="s">
        <v>51</v>
      </c>
      <c r="M128">
        <v>6</v>
      </c>
      <c r="N128">
        <v>5</v>
      </c>
      <c r="O128">
        <v>125</v>
      </c>
      <c r="P128">
        <v>17</v>
      </c>
      <c r="Q128">
        <v>179.20049210003299</v>
      </c>
      <c r="V128">
        <v>179.18998389999601</v>
      </c>
      <c r="W128">
        <v>179.20049210003299</v>
      </c>
      <c r="X128">
        <v>179.70030349999399</v>
      </c>
      <c r="Y128">
        <v>179.70030349999399</v>
      </c>
      <c r="Z128">
        <v>179.70030349999399</v>
      </c>
      <c r="AA128">
        <v>180.18897170003001</v>
      </c>
      <c r="AB128" t="s">
        <v>57</v>
      </c>
      <c r="AC128">
        <v>1</v>
      </c>
      <c r="AD128">
        <v>0.48007930000312599</v>
      </c>
      <c r="AE128" t="s">
        <v>51</v>
      </c>
      <c r="AI128">
        <v>1</v>
      </c>
      <c r="AJ128">
        <v>1</v>
      </c>
      <c r="AK128" t="s">
        <v>42</v>
      </c>
      <c r="AL128" t="s">
        <v>43</v>
      </c>
      <c r="AN128" t="s">
        <v>44</v>
      </c>
      <c r="AO128">
        <v>59.778723070926397</v>
      </c>
      <c r="AP128" t="s">
        <v>45</v>
      </c>
    </row>
    <row r="129" spans="1:42" x14ac:dyDescent="0.3">
      <c r="A129" t="s">
        <v>68</v>
      </c>
      <c r="B129" t="s">
        <v>59</v>
      </c>
      <c r="C129" t="s">
        <v>53</v>
      </c>
      <c r="D129" t="s">
        <v>49</v>
      </c>
      <c r="E129" t="s">
        <v>54</v>
      </c>
      <c r="F129">
        <v>126</v>
      </c>
      <c r="G129">
        <v>6</v>
      </c>
      <c r="H129">
        <v>6</v>
      </c>
      <c r="I129" t="s">
        <v>63</v>
      </c>
      <c r="J129">
        <v>0</v>
      </c>
      <c r="K129">
        <v>0.72498229995835495</v>
      </c>
      <c r="L129" t="s">
        <v>51</v>
      </c>
      <c r="M129">
        <v>6</v>
      </c>
      <c r="N129">
        <v>6</v>
      </c>
      <c r="O129">
        <v>126</v>
      </c>
      <c r="P129">
        <v>6</v>
      </c>
      <c r="Q129">
        <v>180.20071830000899</v>
      </c>
      <c r="V129">
        <v>180.192884400021</v>
      </c>
      <c r="W129">
        <v>180.20071830000899</v>
      </c>
      <c r="X129">
        <v>180.70084170001701</v>
      </c>
      <c r="Y129">
        <v>180.70084170001701</v>
      </c>
      <c r="Z129">
        <v>180.70084170001701</v>
      </c>
      <c r="AA129">
        <v>181.437537399993</v>
      </c>
      <c r="AB129" t="s">
        <v>63</v>
      </c>
      <c r="AC129">
        <v>0</v>
      </c>
      <c r="AD129">
        <v>0.72498229995835495</v>
      </c>
      <c r="AE129" t="s">
        <v>51</v>
      </c>
      <c r="AI129">
        <v>1</v>
      </c>
      <c r="AJ129">
        <v>1</v>
      </c>
      <c r="AK129" t="s">
        <v>42</v>
      </c>
      <c r="AL129" t="s">
        <v>43</v>
      </c>
      <c r="AN129" t="s">
        <v>44</v>
      </c>
      <c r="AO129">
        <v>59.778723070926397</v>
      </c>
      <c r="AP129" t="s">
        <v>45</v>
      </c>
    </row>
    <row r="130" spans="1:42" x14ac:dyDescent="0.3">
      <c r="A130" t="s">
        <v>70</v>
      </c>
      <c r="B130" t="s">
        <v>59</v>
      </c>
      <c r="C130" t="s">
        <v>53</v>
      </c>
      <c r="D130" t="s">
        <v>49</v>
      </c>
      <c r="E130" t="s">
        <v>54</v>
      </c>
      <c r="F130">
        <v>127</v>
      </c>
      <c r="G130">
        <v>7</v>
      </c>
      <c r="H130">
        <v>6</v>
      </c>
      <c r="I130" t="s">
        <v>54</v>
      </c>
      <c r="J130">
        <v>1</v>
      </c>
      <c r="K130">
        <v>0.72655669995583505</v>
      </c>
      <c r="L130" t="s">
        <v>51</v>
      </c>
      <c r="M130">
        <v>6</v>
      </c>
      <c r="N130">
        <v>7</v>
      </c>
      <c r="O130">
        <v>127</v>
      </c>
      <c r="P130">
        <v>2</v>
      </c>
      <c r="Q130">
        <v>181.45048759999901</v>
      </c>
      <c r="V130">
        <v>181.44016220001501</v>
      </c>
      <c r="W130">
        <v>181.45048759999901</v>
      </c>
      <c r="X130">
        <v>181.950569700042</v>
      </c>
      <c r="Y130">
        <v>181.950569700042</v>
      </c>
      <c r="Z130">
        <v>181.950569700042</v>
      </c>
      <c r="AA130">
        <v>182.68728420004399</v>
      </c>
      <c r="AB130" t="s">
        <v>54</v>
      </c>
      <c r="AC130">
        <v>1</v>
      </c>
      <c r="AD130">
        <v>0.72655669995583505</v>
      </c>
      <c r="AE130" t="s">
        <v>51</v>
      </c>
      <c r="AI130">
        <v>1</v>
      </c>
      <c r="AJ130">
        <v>1</v>
      </c>
      <c r="AK130" t="s">
        <v>42</v>
      </c>
      <c r="AL130" t="s">
        <v>43</v>
      </c>
      <c r="AN130" t="s">
        <v>44</v>
      </c>
      <c r="AO130">
        <v>59.778723070926397</v>
      </c>
      <c r="AP130" t="s">
        <v>45</v>
      </c>
    </row>
    <row r="131" spans="1:42" x14ac:dyDescent="0.3">
      <c r="A131" t="s">
        <v>76</v>
      </c>
      <c r="B131" t="s">
        <v>59</v>
      </c>
      <c r="C131" t="s">
        <v>48</v>
      </c>
      <c r="D131" t="s">
        <v>49</v>
      </c>
      <c r="E131" t="s">
        <v>50</v>
      </c>
      <c r="F131">
        <v>128</v>
      </c>
      <c r="G131">
        <v>8</v>
      </c>
      <c r="H131">
        <v>6</v>
      </c>
      <c r="I131" t="s">
        <v>50</v>
      </c>
      <c r="J131">
        <v>1</v>
      </c>
      <c r="K131">
        <v>2.3770707999938101</v>
      </c>
      <c r="L131" t="s">
        <v>51</v>
      </c>
      <c r="M131">
        <v>6</v>
      </c>
      <c r="N131">
        <v>8</v>
      </c>
      <c r="O131">
        <v>128</v>
      </c>
      <c r="P131">
        <v>3</v>
      </c>
      <c r="Q131">
        <v>182.70041440002299</v>
      </c>
      <c r="V131">
        <v>182.69015330000499</v>
      </c>
      <c r="W131">
        <v>182.70041440002299</v>
      </c>
      <c r="X131">
        <v>183.20057450002</v>
      </c>
      <c r="Y131">
        <v>183.20057450002</v>
      </c>
      <c r="Z131">
        <v>183.20057450002</v>
      </c>
      <c r="AA131">
        <v>185.58693730004501</v>
      </c>
      <c r="AB131" t="s">
        <v>50</v>
      </c>
      <c r="AC131">
        <v>1</v>
      </c>
      <c r="AD131">
        <v>2.3770707999938101</v>
      </c>
      <c r="AE131" t="s">
        <v>51</v>
      </c>
      <c r="AI131">
        <v>1</v>
      </c>
      <c r="AJ131">
        <v>1</v>
      </c>
      <c r="AK131" t="s">
        <v>42</v>
      </c>
      <c r="AL131" t="s">
        <v>43</v>
      </c>
      <c r="AN131" t="s">
        <v>44</v>
      </c>
      <c r="AO131">
        <v>59.778723070926397</v>
      </c>
      <c r="AP131" t="s">
        <v>45</v>
      </c>
    </row>
    <row r="132" spans="1:42" x14ac:dyDescent="0.3">
      <c r="A132" t="s">
        <v>66</v>
      </c>
      <c r="B132" t="s">
        <v>47</v>
      </c>
      <c r="C132" t="s">
        <v>61</v>
      </c>
      <c r="D132" t="s">
        <v>49</v>
      </c>
      <c r="E132" t="s">
        <v>63</v>
      </c>
      <c r="F132">
        <v>129</v>
      </c>
      <c r="G132">
        <v>9</v>
      </c>
      <c r="H132">
        <v>6</v>
      </c>
      <c r="I132" t="s">
        <v>63</v>
      </c>
      <c r="J132">
        <v>1</v>
      </c>
      <c r="K132">
        <v>3.0393885000376</v>
      </c>
      <c r="L132" t="s">
        <v>51</v>
      </c>
      <c r="M132">
        <v>6</v>
      </c>
      <c r="N132">
        <v>9</v>
      </c>
      <c r="O132">
        <v>129</v>
      </c>
      <c r="P132">
        <v>12</v>
      </c>
      <c r="Q132">
        <v>185.60024460003399</v>
      </c>
      <c r="V132">
        <v>185.589961900026</v>
      </c>
      <c r="W132">
        <v>185.60024460003399</v>
      </c>
      <c r="X132">
        <v>186.10042000003099</v>
      </c>
      <c r="Y132">
        <v>186.10042000003099</v>
      </c>
      <c r="Z132">
        <v>186.10042000003099</v>
      </c>
      <c r="AA132">
        <v>189.15415560000099</v>
      </c>
      <c r="AB132" t="s">
        <v>63</v>
      </c>
      <c r="AC132">
        <v>1</v>
      </c>
      <c r="AD132">
        <v>3.0393885000376</v>
      </c>
      <c r="AE132" t="s">
        <v>51</v>
      </c>
      <c r="AI132">
        <v>1</v>
      </c>
      <c r="AJ132">
        <v>1</v>
      </c>
      <c r="AK132" t="s">
        <v>42</v>
      </c>
      <c r="AL132" t="s">
        <v>43</v>
      </c>
      <c r="AN132" t="s">
        <v>44</v>
      </c>
      <c r="AO132">
        <v>59.778723070926397</v>
      </c>
      <c r="AP132" t="s">
        <v>45</v>
      </c>
    </row>
    <row r="133" spans="1:42" x14ac:dyDescent="0.3">
      <c r="A133" t="s">
        <v>69</v>
      </c>
      <c r="B133" t="s">
        <v>59</v>
      </c>
      <c r="C133" t="s">
        <v>56</v>
      </c>
      <c r="D133" t="s">
        <v>49</v>
      </c>
      <c r="E133" t="s">
        <v>57</v>
      </c>
      <c r="F133">
        <v>130</v>
      </c>
      <c r="G133">
        <v>10</v>
      </c>
      <c r="H133">
        <v>6</v>
      </c>
      <c r="I133" t="s">
        <v>57</v>
      </c>
      <c r="J133">
        <v>1</v>
      </c>
      <c r="K133">
        <v>0.71556460001738698</v>
      </c>
      <c r="L133" t="s">
        <v>51</v>
      </c>
      <c r="M133">
        <v>6</v>
      </c>
      <c r="N133">
        <v>10</v>
      </c>
      <c r="O133">
        <v>130</v>
      </c>
      <c r="P133">
        <v>5</v>
      </c>
      <c r="Q133">
        <v>189.16771589999499</v>
      </c>
      <c r="V133">
        <v>189.157059100049</v>
      </c>
      <c r="W133">
        <v>189.16771589999499</v>
      </c>
      <c r="X133">
        <v>189.66694870003201</v>
      </c>
      <c r="Y133">
        <v>189.66694870003201</v>
      </c>
      <c r="Z133">
        <v>189.66694870003201</v>
      </c>
      <c r="AA133">
        <v>190.38781410001599</v>
      </c>
      <c r="AB133" t="s">
        <v>57</v>
      </c>
      <c r="AC133">
        <v>1</v>
      </c>
      <c r="AD133">
        <v>0.71556460001738698</v>
      </c>
      <c r="AE133" t="s">
        <v>51</v>
      </c>
      <c r="AI133">
        <v>1</v>
      </c>
      <c r="AJ133">
        <v>1</v>
      </c>
      <c r="AK133" t="s">
        <v>42</v>
      </c>
      <c r="AL133" t="s">
        <v>43</v>
      </c>
      <c r="AN133" t="s">
        <v>44</v>
      </c>
      <c r="AO133">
        <v>59.778723070926397</v>
      </c>
      <c r="AP133" t="s">
        <v>45</v>
      </c>
    </row>
    <row r="134" spans="1:42" x14ac:dyDescent="0.3">
      <c r="A134" t="s">
        <v>55</v>
      </c>
      <c r="B134" t="s">
        <v>47</v>
      </c>
      <c r="C134" t="s">
        <v>56</v>
      </c>
      <c r="D134" t="s">
        <v>49</v>
      </c>
      <c r="E134" t="s">
        <v>57</v>
      </c>
      <c r="F134">
        <v>131</v>
      </c>
      <c r="G134">
        <v>11</v>
      </c>
      <c r="H134">
        <v>6</v>
      </c>
      <c r="I134" t="s">
        <v>57</v>
      </c>
      <c r="J134">
        <v>1</v>
      </c>
      <c r="K134">
        <v>0.727942399971652</v>
      </c>
      <c r="L134" t="s">
        <v>51</v>
      </c>
      <c r="M134">
        <v>6</v>
      </c>
      <c r="N134">
        <v>11</v>
      </c>
      <c r="O134">
        <v>131</v>
      </c>
      <c r="P134">
        <v>13</v>
      </c>
      <c r="Q134">
        <v>190.40010420000101</v>
      </c>
      <c r="V134">
        <v>190.39044700004101</v>
      </c>
      <c r="W134">
        <v>190.40010420000101</v>
      </c>
      <c r="X134">
        <v>190.900114800024</v>
      </c>
      <c r="Y134">
        <v>190.900114800024</v>
      </c>
      <c r="Z134">
        <v>190.900114800024</v>
      </c>
      <c r="AA134">
        <v>191.63676080002901</v>
      </c>
      <c r="AB134" t="s">
        <v>57</v>
      </c>
      <c r="AC134">
        <v>1</v>
      </c>
      <c r="AD134">
        <v>0.727942399971652</v>
      </c>
      <c r="AE134" t="s">
        <v>51</v>
      </c>
      <c r="AI134">
        <v>1</v>
      </c>
      <c r="AJ134">
        <v>1</v>
      </c>
      <c r="AK134" t="s">
        <v>42</v>
      </c>
      <c r="AL134" t="s">
        <v>43</v>
      </c>
      <c r="AN134" t="s">
        <v>44</v>
      </c>
      <c r="AO134">
        <v>59.778723070926397</v>
      </c>
      <c r="AP134" t="s">
        <v>45</v>
      </c>
    </row>
    <row r="135" spans="1:42" x14ac:dyDescent="0.3">
      <c r="A135" t="s">
        <v>65</v>
      </c>
      <c r="B135" t="s">
        <v>59</v>
      </c>
      <c r="C135" t="s">
        <v>56</v>
      </c>
      <c r="D135" t="s">
        <v>49</v>
      </c>
      <c r="E135" t="s">
        <v>57</v>
      </c>
      <c r="F135">
        <v>132</v>
      </c>
      <c r="G135">
        <v>12</v>
      </c>
      <c r="H135">
        <v>6</v>
      </c>
      <c r="I135" t="s">
        <v>57</v>
      </c>
      <c r="J135">
        <v>1</v>
      </c>
      <c r="K135">
        <v>0.38544420001562602</v>
      </c>
      <c r="L135" t="s">
        <v>51</v>
      </c>
      <c r="M135">
        <v>6</v>
      </c>
      <c r="N135">
        <v>12</v>
      </c>
      <c r="O135">
        <v>132</v>
      </c>
      <c r="P135">
        <v>9</v>
      </c>
      <c r="Q135">
        <v>191.64993080002</v>
      </c>
      <c r="V135">
        <v>191.63944370002699</v>
      </c>
      <c r="W135">
        <v>191.64993080002</v>
      </c>
      <c r="X135">
        <v>192.149879300035</v>
      </c>
      <c r="Y135">
        <v>192.149879300035</v>
      </c>
      <c r="Z135">
        <v>192.149879300035</v>
      </c>
      <c r="AA135">
        <v>192.536932000017</v>
      </c>
      <c r="AB135" t="s">
        <v>57</v>
      </c>
      <c r="AC135">
        <v>1</v>
      </c>
      <c r="AD135">
        <v>0.38544420001562602</v>
      </c>
      <c r="AE135" t="s">
        <v>51</v>
      </c>
      <c r="AI135">
        <v>1</v>
      </c>
      <c r="AJ135">
        <v>1</v>
      </c>
      <c r="AK135" t="s">
        <v>42</v>
      </c>
      <c r="AL135" t="s">
        <v>43</v>
      </c>
      <c r="AN135" t="s">
        <v>44</v>
      </c>
      <c r="AO135">
        <v>59.778723070926397</v>
      </c>
      <c r="AP135" t="s">
        <v>45</v>
      </c>
    </row>
    <row r="136" spans="1:42" x14ac:dyDescent="0.3">
      <c r="A136" t="s">
        <v>77</v>
      </c>
      <c r="B136" t="s">
        <v>59</v>
      </c>
      <c r="C136" t="s">
        <v>61</v>
      </c>
      <c r="D136" t="s">
        <v>62</v>
      </c>
      <c r="E136" t="s">
        <v>63</v>
      </c>
      <c r="F136">
        <v>133</v>
      </c>
      <c r="G136">
        <v>13</v>
      </c>
      <c r="H136">
        <v>6</v>
      </c>
      <c r="I136" t="s">
        <v>63</v>
      </c>
      <c r="J136">
        <v>1</v>
      </c>
      <c r="K136">
        <v>0.52516269998159204</v>
      </c>
      <c r="L136" t="s">
        <v>51</v>
      </c>
      <c r="M136">
        <v>6</v>
      </c>
      <c r="N136">
        <v>13</v>
      </c>
      <c r="O136">
        <v>133</v>
      </c>
      <c r="P136">
        <v>4</v>
      </c>
      <c r="Q136">
        <v>192.550215099996</v>
      </c>
      <c r="V136">
        <v>192.53971660003299</v>
      </c>
      <c r="W136">
        <v>192.550215099996</v>
      </c>
      <c r="X136">
        <v>193.05023960000801</v>
      </c>
      <c r="Y136">
        <v>193.05023960000801</v>
      </c>
      <c r="Z136">
        <v>193.05023960000801</v>
      </c>
      <c r="AA136">
        <v>193.58650610002201</v>
      </c>
      <c r="AB136" t="s">
        <v>63</v>
      </c>
      <c r="AC136">
        <v>1</v>
      </c>
      <c r="AD136">
        <v>0.52516269998159204</v>
      </c>
      <c r="AE136" t="s">
        <v>51</v>
      </c>
      <c r="AI136">
        <v>1</v>
      </c>
      <c r="AJ136">
        <v>1</v>
      </c>
      <c r="AK136" t="s">
        <v>42</v>
      </c>
      <c r="AL136" t="s">
        <v>43</v>
      </c>
      <c r="AN136" t="s">
        <v>44</v>
      </c>
      <c r="AO136">
        <v>59.778723070926397</v>
      </c>
      <c r="AP136" t="s">
        <v>45</v>
      </c>
    </row>
    <row r="137" spans="1:42" x14ac:dyDescent="0.3">
      <c r="A137" t="s">
        <v>64</v>
      </c>
      <c r="B137" t="s">
        <v>47</v>
      </c>
      <c r="C137" t="s">
        <v>53</v>
      </c>
      <c r="D137" t="s">
        <v>49</v>
      </c>
      <c r="E137" t="s">
        <v>54</v>
      </c>
      <c r="F137">
        <v>134</v>
      </c>
      <c r="G137">
        <v>14</v>
      </c>
      <c r="H137">
        <v>6</v>
      </c>
      <c r="I137" t="s">
        <v>54</v>
      </c>
      <c r="J137">
        <v>1</v>
      </c>
      <c r="K137">
        <v>1.69538559997454</v>
      </c>
      <c r="L137" t="s">
        <v>51</v>
      </c>
      <c r="M137">
        <v>6</v>
      </c>
      <c r="N137">
        <v>14</v>
      </c>
      <c r="O137">
        <v>134</v>
      </c>
      <c r="P137">
        <v>18</v>
      </c>
      <c r="Q137">
        <v>193.59969980001901</v>
      </c>
      <c r="V137">
        <v>193.58942400000501</v>
      </c>
      <c r="W137">
        <v>193.59969980001901</v>
      </c>
      <c r="X137">
        <v>194.100248700007</v>
      </c>
      <c r="Y137">
        <v>194.100248700007</v>
      </c>
      <c r="Z137">
        <v>194.100248700007</v>
      </c>
      <c r="AA137">
        <v>195.804339500027</v>
      </c>
      <c r="AB137" t="s">
        <v>54</v>
      </c>
      <c r="AC137">
        <v>1</v>
      </c>
      <c r="AD137">
        <v>1.69538559997454</v>
      </c>
      <c r="AE137" t="s">
        <v>51</v>
      </c>
      <c r="AI137">
        <v>1</v>
      </c>
      <c r="AJ137">
        <v>1</v>
      </c>
      <c r="AK137" t="s">
        <v>42</v>
      </c>
      <c r="AL137" t="s">
        <v>43</v>
      </c>
      <c r="AN137" t="s">
        <v>44</v>
      </c>
      <c r="AO137">
        <v>59.778723070926397</v>
      </c>
      <c r="AP137" t="s">
        <v>45</v>
      </c>
    </row>
    <row r="138" spans="1:42" x14ac:dyDescent="0.3">
      <c r="A138" t="s">
        <v>67</v>
      </c>
      <c r="B138" t="s">
        <v>47</v>
      </c>
      <c r="C138" t="s">
        <v>53</v>
      </c>
      <c r="D138" t="s">
        <v>49</v>
      </c>
      <c r="E138" t="s">
        <v>54</v>
      </c>
      <c r="F138">
        <v>135</v>
      </c>
      <c r="G138">
        <v>15</v>
      </c>
      <c r="H138">
        <v>6</v>
      </c>
      <c r="I138" t="s">
        <v>54</v>
      </c>
      <c r="J138">
        <v>1</v>
      </c>
      <c r="K138">
        <v>0.54264460003469095</v>
      </c>
      <c r="L138" t="s">
        <v>51</v>
      </c>
      <c r="M138">
        <v>6</v>
      </c>
      <c r="N138">
        <v>15</v>
      </c>
      <c r="O138">
        <v>135</v>
      </c>
      <c r="P138">
        <v>10</v>
      </c>
      <c r="Q138">
        <v>195.81852950004301</v>
      </c>
      <c r="V138">
        <v>195.80730440001901</v>
      </c>
      <c r="W138">
        <v>195.81852950004301</v>
      </c>
      <c r="X138">
        <v>196.316880600003</v>
      </c>
      <c r="Y138">
        <v>196.316880600003</v>
      </c>
      <c r="Z138">
        <v>196.316880600003</v>
      </c>
      <c r="AA138">
        <v>196.870486800035</v>
      </c>
      <c r="AB138" t="s">
        <v>54</v>
      </c>
      <c r="AC138">
        <v>1</v>
      </c>
      <c r="AD138">
        <v>0.54264460003469095</v>
      </c>
      <c r="AE138" t="s">
        <v>51</v>
      </c>
      <c r="AI138">
        <v>1</v>
      </c>
      <c r="AJ138">
        <v>1</v>
      </c>
      <c r="AK138" t="s">
        <v>42</v>
      </c>
      <c r="AL138" t="s">
        <v>43</v>
      </c>
      <c r="AN138" t="s">
        <v>44</v>
      </c>
      <c r="AO138">
        <v>59.778723070926397</v>
      </c>
      <c r="AP138" t="s">
        <v>45</v>
      </c>
    </row>
    <row r="139" spans="1:42" x14ac:dyDescent="0.3">
      <c r="A139" t="s">
        <v>72</v>
      </c>
      <c r="B139" t="s">
        <v>59</v>
      </c>
      <c r="C139" t="s">
        <v>61</v>
      </c>
      <c r="D139" t="s">
        <v>62</v>
      </c>
      <c r="E139" t="s">
        <v>63</v>
      </c>
      <c r="F139">
        <v>136</v>
      </c>
      <c r="G139">
        <v>16</v>
      </c>
      <c r="H139">
        <v>6</v>
      </c>
      <c r="I139" t="s">
        <v>63</v>
      </c>
      <c r="J139">
        <v>1</v>
      </c>
      <c r="K139">
        <v>0.59062159998575203</v>
      </c>
      <c r="L139" t="s">
        <v>51</v>
      </c>
      <c r="M139">
        <v>6</v>
      </c>
      <c r="N139">
        <v>16</v>
      </c>
      <c r="O139">
        <v>136</v>
      </c>
      <c r="P139">
        <v>8</v>
      </c>
      <c r="Q139">
        <v>196.884239000035</v>
      </c>
      <c r="V139">
        <v>196.873411000007</v>
      </c>
      <c r="W139">
        <v>196.884239000035</v>
      </c>
      <c r="X139">
        <v>197.38339460000799</v>
      </c>
      <c r="Y139">
        <v>197.38339460000799</v>
      </c>
      <c r="Z139">
        <v>197.38339460000799</v>
      </c>
      <c r="AA139">
        <v>197.987231200037</v>
      </c>
      <c r="AB139" t="s">
        <v>63</v>
      </c>
      <c r="AC139">
        <v>1</v>
      </c>
      <c r="AD139">
        <v>0.59062159998575203</v>
      </c>
      <c r="AE139" t="s">
        <v>51</v>
      </c>
      <c r="AI139">
        <v>1</v>
      </c>
      <c r="AJ139">
        <v>1</v>
      </c>
      <c r="AK139" t="s">
        <v>42</v>
      </c>
      <c r="AL139" t="s">
        <v>43</v>
      </c>
      <c r="AN139" t="s">
        <v>44</v>
      </c>
      <c r="AO139">
        <v>59.778723070926397</v>
      </c>
      <c r="AP139" t="s">
        <v>45</v>
      </c>
    </row>
    <row r="140" spans="1:42" x14ac:dyDescent="0.3">
      <c r="A140" t="s">
        <v>52</v>
      </c>
      <c r="B140" t="s">
        <v>47</v>
      </c>
      <c r="C140" t="s">
        <v>53</v>
      </c>
      <c r="D140" t="s">
        <v>49</v>
      </c>
      <c r="E140" t="s">
        <v>54</v>
      </c>
      <c r="F140">
        <v>137</v>
      </c>
      <c r="G140">
        <v>17</v>
      </c>
      <c r="H140">
        <v>6</v>
      </c>
      <c r="I140" t="s">
        <v>54</v>
      </c>
      <c r="J140">
        <v>1</v>
      </c>
      <c r="K140">
        <v>0.43310649995692002</v>
      </c>
      <c r="L140" t="s">
        <v>51</v>
      </c>
      <c r="M140">
        <v>6</v>
      </c>
      <c r="N140">
        <v>17</v>
      </c>
      <c r="O140">
        <v>137</v>
      </c>
      <c r="P140">
        <v>14</v>
      </c>
      <c r="Q140">
        <v>198.00030160002601</v>
      </c>
      <c r="V140">
        <v>197.990846500033</v>
      </c>
      <c r="W140">
        <v>198.00030160002601</v>
      </c>
      <c r="X140">
        <v>198.50038620002999</v>
      </c>
      <c r="Y140">
        <v>198.50038620002999</v>
      </c>
      <c r="Z140">
        <v>198.50038620002999</v>
      </c>
      <c r="AA140">
        <v>198.936597799998</v>
      </c>
      <c r="AB140" t="s">
        <v>54</v>
      </c>
      <c r="AC140">
        <v>1</v>
      </c>
      <c r="AD140">
        <v>0.43310649995692002</v>
      </c>
      <c r="AE140" t="s">
        <v>51</v>
      </c>
      <c r="AI140">
        <v>1</v>
      </c>
      <c r="AJ140">
        <v>1</v>
      </c>
      <c r="AK140" t="s">
        <v>42</v>
      </c>
      <c r="AL140" t="s">
        <v>43</v>
      </c>
      <c r="AN140" t="s">
        <v>44</v>
      </c>
      <c r="AO140">
        <v>59.778723070926397</v>
      </c>
      <c r="AP140" t="s">
        <v>45</v>
      </c>
    </row>
    <row r="141" spans="1:42" x14ac:dyDescent="0.3">
      <c r="A141" t="s">
        <v>71</v>
      </c>
      <c r="B141" t="s">
        <v>47</v>
      </c>
      <c r="C141" t="s">
        <v>48</v>
      </c>
      <c r="D141" t="s">
        <v>49</v>
      </c>
      <c r="E141" t="s">
        <v>50</v>
      </c>
      <c r="F141">
        <v>138</v>
      </c>
      <c r="G141">
        <v>18</v>
      </c>
      <c r="H141">
        <v>6</v>
      </c>
      <c r="I141" t="s">
        <v>50</v>
      </c>
      <c r="J141">
        <v>1</v>
      </c>
      <c r="K141">
        <v>0.58311539998976503</v>
      </c>
      <c r="L141" t="s">
        <v>51</v>
      </c>
      <c r="M141">
        <v>6</v>
      </c>
      <c r="N141">
        <v>18</v>
      </c>
      <c r="O141">
        <v>138</v>
      </c>
      <c r="P141">
        <v>15</v>
      </c>
      <c r="Q141">
        <v>198.949878600018</v>
      </c>
      <c r="V141">
        <v>198.939554600045</v>
      </c>
      <c r="W141">
        <v>198.949878600018</v>
      </c>
      <c r="X141">
        <v>199.44969380000799</v>
      </c>
      <c r="Y141">
        <v>199.44969380000799</v>
      </c>
      <c r="Z141">
        <v>199.44969380000799</v>
      </c>
      <c r="AA141">
        <v>200.037565300008</v>
      </c>
      <c r="AB141" t="s">
        <v>50</v>
      </c>
      <c r="AC141">
        <v>1</v>
      </c>
      <c r="AD141">
        <v>0.58311539998976503</v>
      </c>
      <c r="AE141" t="s">
        <v>51</v>
      </c>
      <c r="AI141">
        <v>1</v>
      </c>
      <c r="AJ141">
        <v>1</v>
      </c>
      <c r="AK141" t="s">
        <v>42</v>
      </c>
      <c r="AL141" t="s">
        <v>43</v>
      </c>
      <c r="AN141" t="s">
        <v>44</v>
      </c>
      <c r="AO141">
        <v>59.778723070926397</v>
      </c>
      <c r="AP141" t="s">
        <v>45</v>
      </c>
    </row>
    <row r="142" spans="1:42" x14ac:dyDescent="0.3">
      <c r="A142" t="s">
        <v>75</v>
      </c>
      <c r="B142" t="s">
        <v>47</v>
      </c>
      <c r="C142" t="s">
        <v>61</v>
      </c>
      <c r="D142" t="s">
        <v>49</v>
      </c>
      <c r="E142" t="s">
        <v>63</v>
      </c>
      <c r="F142">
        <v>139</v>
      </c>
      <c r="G142">
        <v>19</v>
      </c>
      <c r="H142">
        <v>6</v>
      </c>
      <c r="I142" t="s">
        <v>63</v>
      </c>
      <c r="J142">
        <v>1</v>
      </c>
      <c r="K142">
        <v>0.59185959998285398</v>
      </c>
      <c r="L142" t="s">
        <v>51</v>
      </c>
      <c r="M142">
        <v>6</v>
      </c>
      <c r="N142">
        <v>19</v>
      </c>
      <c r="O142">
        <v>139</v>
      </c>
      <c r="P142">
        <v>16</v>
      </c>
      <c r="Q142">
        <v>200.049623800034</v>
      </c>
      <c r="V142">
        <v>200.04044559999599</v>
      </c>
      <c r="W142">
        <v>200.049623800034</v>
      </c>
      <c r="X142">
        <v>200.55004820000599</v>
      </c>
      <c r="Y142">
        <v>200.55004820000599</v>
      </c>
      <c r="Z142">
        <v>200.55004820000599</v>
      </c>
      <c r="AA142">
        <v>201.15373499999899</v>
      </c>
      <c r="AB142" t="s">
        <v>63</v>
      </c>
      <c r="AC142">
        <v>1</v>
      </c>
      <c r="AD142">
        <v>0.59185959998285398</v>
      </c>
      <c r="AE142" t="s">
        <v>51</v>
      </c>
      <c r="AI142">
        <v>1</v>
      </c>
      <c r="AJ142">
        <v>1</v>
      </c>
      <c r="AK142" t="s">
        <v>42</v>
      </c>
      <c r="AL142" t="s">
        <v>43</v>
      </c>
      <c r="AN142" t="s">
        <v>44</v>
      </c>
      <c r="AO142">
        <v>59.778723070926397</v>
      </c>
      <c r="AP142" t="s">
        <v>45</v>
      </c>
    </row>
    <row r="143" spans="1:42" x14ac:dyDescent="0.3">
      <c r="A143" t="s">
        <v>66</v>
      </c>
      <c r="B143" t="s">
        <v>47</v>
      </c>
      <c r="C143" t="s">
        <v>61</v>
      </c>
      <c r="D143" t="s">
        <v>49</v>
      </c>
      <c r="E143" t="s">
        <v>63</v>
      </c>
      <c r="F143">
        <v>140</v>
      </c>
      <c r="G143">
        <v>0</v>
      </c>
      <c r="H143">
        <v>7</v>
      </c>
      <c r="I143" t="s">
        <v>63</v>
      </c>
      <c r="J143">
        <v>1</v>
      </c>
      <c r="K143">
        <v>0.459200799989048</v>
      </c>
      <c r="L143" t="s">
        <v>51</v>
      </c>
      <c r="M143">
        <v>7</v>
      </c>
      <c r="N143">
        <v>0</v>
      </c>
      <c r="O143">
        <v>140</v>
      </c>
      <c r="P143">
        <v>12</v>
      </c>
      <c r="Q143">
        <v>201.16644970001599</v>
      </c>
      <c r="V143">
        <v>201.15661980002099</v>
      </c>
      <c r="W143">
        <v>201.16644970001599</v>
      </c>
      <c r="X143">
        <v>201.66750929999299</v>
      </c>
      <c r="Y143">
        <v>201.66750929999299</v>
      </c>
      <c r="Z143">
        <v>201.66750929999299</v>
      </c>
      <c r="AA143">
        <v>202.136335999995</v>
      </c>
      <c r="AB143" t="s">
        <v>63</v>
      </c>
      <c r="AC143">
        <v>1</v>
      </c>
      <c r="AD143">
        <v>0.459200799989048</v>
      </c>
      <c r="AE143" t="s">
        <v>51</v>
      </c>
      <c r="AI143">
        <v>1</v>
      </c>
      <c r="AJ143">
        <v>1</v>
      </c>
      <c r="AK143" t="s">
        <v>42</v>
      </c>
      <c r="AL143" t="s">
        <v>43</v>
      </c>
      <c r="AN143" t="s">
        <v>44</v>
      </c>
      <c r="AO143">
        <v>59.778723070926397</v>
      </c>
      <c r="AP143" t="s">
        <v>45</v>
      </c>
    </row>
    <row r="144" spans="1:42" x14ac:dyDescent="0.3">
      <c r="A144" t="s">
        <v>69</v>
      </c>
      <c r="B144" t="s">
        <v>59</v>
      </c>
      <c r="C144" t="s">
        <v>56</v>
      </c>
      <c r="D144" t="s">
        <v>49</v>
      </c>
      <c r="E144" t="s">
        <v>57</v>
      </c>
      <c r="F144">
        <v>141</v>
      </c>
      <c r="G144">
        <v>1</v>
      </c>
      <c r="H144">
        <v>7</v>
      </c>
      <c r="I144" t="s">
        <v>57</v>
      </c>
      <c r="J144">
        <v>1</v>
      </c>
      <c r="K144">
        <v>0.71242890000576098</v>
      </c>
      <c r="L144" t="s">
        <v>51</v>
      </c>
      <c r="M144">
        <v>7</v>
      </c>
      <c r="N144">
        <v>1</v>
      </c>
      <c r="O144">
        <v>141</v>
      </c>
      <c r="P144">
        <v>5</v>
      </c>
      <c r="Q144">
        <v>202.149913500004</v>
      </c>
      <c r="V144">
        <v>202.13943080004501</v>
      </c>
      <c r="W144">
        <v>202.149913500004</v>
      </c>
      <c r="X144">
        <v>202.64934080000901</v>
      </c>
      <c r="Y144">
        <v>202.64934080000901</v>
      </c>
      <c r="Z144">
        <v>202.64934080000901</v>
      </c>
      <c r="AA144">
        <v>203.369367900013</v>
      </c>
      <c r="AB144" t="s">
        <v>57</v>
      </c>
      <c r="AC144">
        <v>1</v>
      </c>
      <c r="AD144">
        <v>0.71242890000576098</v>
      </c>
      <c r="AE144" t="s">
        <v>51</v>
      </c>
      <c r="AI144">
        <v>1</v>
      </c>
      <c r="AJ144">
        <v>1</v>
      </c>
      <c r="AK144" t="s">
        <v>42</v>
      </c>
      <c r="AL144" t="s">
        <v>43</v>
      </c>
      <c r="AN144" t="s">
        <v>44</v>
      </c>
      <c r="AO144">
        <v>59.778723070926397</v>
      </c>
      <c r="AP144" t="s">
        <v>45</v>
      </c>
    </row>
    <row r="145" spans="1:42" x14ac:dyDescent="0.3">
      <c r="A145" t="s">
        <v>70</v>
      </c>
      <c r="B145" t="s">
        <v>59</v>
      </c>
      <c r="C145" t="s">
        <v>53</v>
      </c>
      <c r="D145" t="s">
        <v>49</v>
      </c>
      <c r="E145" t="s">
        <v>54</v>
      </c>
      <c r="F145">
        <v>142</v>
      </c>
      <c r="G145">
        <v>2</v>
      </c>
      <c r="H145">
        <v>7</v>
      </c>
      <c r="I145" t="s">
        <v>54</v>
      </c>
      <c r="J145">
        <v>1</v>
      </c>
      <c r="K145">
        <v>2.11026889999629</v>
      </c>
      <c r="L145" t="s">
        <v>51</v>
      </c>
      <c r="M145">
        <v>7</v>
      </c>
      <c r="N145">
        <v>2</v>
      </c>
      <c r="O145">
        <v>142</v>
      </c>
      <c r="P145">
        <v>2</v>
      </c>
      <c r="Q145">
        <v>203.382956799992</v>
      </c>
      <c r="V145">
        <v>203.37202900002001</v>
      </c>
      <c r="W145">
        <v>203.382956799992</v>
      </c>
      <c r="X145">
        <v>203.88273070001699</v>
      </c>
      <c r="Y145">
        <v>203.88273070001699</v>
      </c>
      <c r="Z145">
        <v>203.88273070001699</v>
      </c>
      <c r="AA145">
        <v>206.00318240001701</v>
      </c>
      <c r="AB145" t="s">
        <v>54</v>
      </c>
      <c r="AC145">
        <v>1</v>
      </c>
      <c r="AD145">
        <v>2.11026889999629</v>
      </c>
      <c r="AE145" t="s">
        <v>51</v>
      </c>
      <c r="AI145">
        <v>1</v>
      </c>
      <c r="AJ145">
        <v>1</v>
      </c>
      <c r="AK145" t="s">
        <v>42</v>
      </c>
      <c r="AL145" t="s">
        <v>43</v>
      </c>
      <c r="AN145" t="s">
        <v>44</v>
      </c>
      <c r="AO145">
        <v>59.778723070926397</v>
      </c>
      <c r="AP145" t="s">
        <v>45</v>
      </c>
    </row>
    <row r="146" spans="1:42" x14ac:dyDescent="0.3">
      <c r="A146" t="s">
        <v>68</v>
      </c>
      <c r="B146" t="s">
        <v>59</v>
      </c>
      <c r="C146" t="s">
        <v>53</v>
      </c>
      <c r="D146" t="s">
        <v>49</v>
      </c>
      <c r="E146" t="s">
        <v>54</v>
      </c>
      <c r="F146">
        <v>143</v>
      </c>
      <c r="G146">
        <v>3</v>
      </c>
      <c r="H146">
        <v>7</v>
      </c>
      <c r="I146" t="s">
        <v>54</v>
      </c>
      <c r="J146">
        <v>1</v>
      </c>
      <c r="K146">
        <v>0.610032600001432</v>
      </c>
      <c r="L146" t="s">
        <v>51</v>
      </c>
      <c r="M146">
        <v>7</v>
      </c>
      <c r="N146">
        <v>3</v>
      </c>
      <c r="O146">
        <v>143</v>
      </c>
      <c r="P146">
        <v>6</v>
      </c>
      <c r="Q146">
        <v>206.01581630000101</v>
      </c>
      <c r="V146">
        <v>206.00667420000499</v>
      </c>
      <c r="W146">
        <v>206.01581630000101</v>
      </c>
      <c r="X146">
        <v>206.516183700005</v>
      </c>
      <c r="Y146">
        <v>206.516183700005</v>
      </c>
      <c r="Z146">
        <v>206.516183700005</v>
      </c>
      <c r="AA146">
        <v>207.139588700025</v>
      </c>
      <c r="AB146" t="s">
        <v>54</v>
      </c>
      <c r="AC146">
        <v>1</v>
      </c>
      <c r="AD146">
        <v>0.610032600001432</v>
      </c>
      <c r="AE146" t="s">
        <v>51</v>
      </c>
      <c r="AI146">
        <v>1</v>
      </c>
      <c r="AJ146">
        <v>1</v>
      </c>
      <c r="AK146" t="s">
        <v>42</v>
      </c>
      <c r="AL146" t="s">
        <v>43</v>
      </c>
      <c r="AN146" t="s">
        <v>44</v>
      </c>
      <c r="AO146">
        <v>59.778723070926397</v>
      </c>
      <c r="AP146" t="s">
        <v>45</v>
      </c>
    </row>
    <row r="147" spans="1:42" x14ac:dyDescent="0.3">
      <c r="A147" t="s">
        <v>67</v>
      </c>
      <c r="B147" t="s">
        <v>47</v>
      </c>
      <c r="C147" t="s">
        <v>53</v>
      </c>
      <c r="D147" t="s">
        <v>49</v>
      </c>
      <c r="E147" t="s">
        <v>54</v>
      </c>
      <c r="F147">
        <v>144</v>
      </c>
      <c r="G147">
        <v>4</v>
      </c>
      <c r="H147">
        <v>7</v>
      </c>
      <c r="I147" t="s">
        <v>54</v>
      </c>
      <c r="J147">
        <v>1</v>
      </c>
      <c r="K147">
        <v>0.69778490002499804</v>
      </c>
      <c r="L147" t="s">
        <v>51</v>
      </c>
      <c r="M147">
        <v>7</v>
      </c>
      <c r="N147">
        <v>4</v>
      </c>
      <c r="O147">
        <v>144</v>
      </c>
      <c r="P147">
        <v>10</v>
      </c>
      <c r="Q147">
        <v>207.16507410001901</v>
      </c>
      <c r="V147">
        <v>207.14563480002101</v>
      </c>
      <c r="W147">
        <v>207.16507410001901</v>
      </c>
      <c r="X147">
        <v>207.64928180002599</v>
      </c>
      <c r="Y147">
        <v>207.64928180002599</v>
      </c>
      <c r="Z147">
        <v>207.64928180002599</v>
      </c>
      <c r="AA147">
        <v>208.3530456</v>
      </c>
      <c r="AB147" t="s">
        <v>54</v>
      </c>
      <c r="AC147">
        <v>1</v>
      </c>
      <c r="AD147">
        <v>0.69778490002499804</v>
      </c>
      <c r="AE147" t="s">
        <v>51</v>
      </c>
      <c r="AI147">
        <v>1</v>
      </c>
      <c r="AJ147">
        <v>1</v>
      </c>
      <c r="AK147" t="s">
        <v>42</v>
      </c>
      <c r="AL147" t="s">
        <v>43</v>
      </c>
      <c r="AN147" t="s">
        <v>44</v>
      </c>
      <c r="AO147">
        <v>59.778723070926397</v>
      </c>
      <c r="AP147" t="s">
        <v>45</v>
      </c>
    </row>
    <row r="148" spans="1:42" x14ac:dyDescent="0.3">
      <c r="A148" t="s">
        <v>60</v>
      </c>
      <c r="B148" t="s">
        <v>59</v>
      </c>
      <c r="C148" t="s">
        <v>61</v>
      </c>
      <c r="D148" t="s">
        <v>62</v>
      </c>
      <c r="E148" t="s">
        <v>63</v>
      </c>
      <c r="F148">
        <v>145</v>
      </c>
      <c r="G148">
        <v>5</v>
      </c>
      <c r="H148">
        <v>7</v>
      </c>
      <c r="I148" t="s">
        <v>63</v>
      </c>
      <c r="J148">
        <v>1</v>
      </c>
      <c r="K148">
        <v>1.1003390999976499</v>
      </c>
      <c r="L148" t="s">
        <v>51</v>
      </c>
      <c r="M148">
        <v>7</v>
      </c>
      <c r="N148">
        <v>5</v>
      </c>
      <c r="O148">
        <v>145</v>
      </c>
      <c r="P148">
        <v>0</v>
      </c>
      <c r="Q148">
        <v>208.366599300003</v>
      </c>
      <c r="V148">
        <v>208.356031100032</v>
      </c>
      <c r="W148">
        <v>208.366599300003</v>
      </c>
      <c r="X148">
        <v>208.86620320001299</v>
      </c>
      <c r="Y148">
        <v>208.86620320001299</v>
      </c>
      <c r="Z148">
        <v>208.86620320001299</v>
      </c>
      <c r="AA148">
        <v>209.969806500012</v>
      </c>
      <c r="AB148" t="s">
        <v>63</v>
      </c>
      <c r="AC148">
        <v>1</v>
      </c>
      <c r="AD148">
        <v>1.1003390999976499</v>
      </c>
      <c r="AE148" t="s">
        <v>51</v>
      </c>
      <c r="AI148">
        <v>1</v>
      </c>
      <c r="AJ148">
        <v>1</v>
      </c>
      <c r="AK148" t="s">
        <v>42</v>
      </c>
      <c r="AL148" t="s">
        <v>43</v>
      </c>
      <c r="AN148" t="s">
        <v>44</v>
      </c>
      <c r="AO148">
        <v>59.778723070926397</v>
      </c>
      <c r="AP148" t="s">
        <v>45</v>
      </c>
    </row>
    <row r="149" spans="1:42" x14ac:dyDescent="0.3">
      <c r="A149" t="s">
        <v>55</v>
      </c>
      <c r="B149" t="s">
        <v>47</v>
      </c>
      <c r="C149" t="s">
        <v>56</v>
      </c>
      <c r="D149" t="s">
        <v>49</v>
      </c>
      <c r="E149" t="s">
        <v>57</v>
      </c>
      <c r="F149">
        <v>146</v>
      </c>
      <c r="G149">
        <v>6</v>
      </c>
      <c r="H149">
        <v>7</v>
      </c>
      <c r="I149" t="s">
        <v>57</v>
      </c>
      <c r="J149">
        <v>1</v>
      </c>
      <c r="K149">
        <v>1.22914499999023</v>
      </c>
      <c r="L149" t="s">
        <v>51</v>
      </c>
      <c r="M149">
        <v>7</v>
      </c>
      <c r="N149">
        <v>6</v>
      </c>
      <c r="O149">
        <v>146</v>
      </c>
      <c r="P149">
        <v>13</v>
      </c>
      <c r="Q149">
        <v>209.982936200045</v>
      </c>
      <c r="V149">
        <v>209.97312650002999</v>
      </c>
      <c r="W149">
        <v>209.982936200045</v>
      </c>
      <c r="X149">
        <v>210.48309650004299</v>
      </c>
      <c r="Y149">
        <v>210.48309650004299</v>
      </c>
      <c r="Z149">
        <v>210.48309650004299</v>
      </c>
      <c r="AA149">
        <v>211.71963150001801</v>
      </c>
      <c r="AB149" t="s">
        <v>57</v>
      </c>
      <c r="AC149">
        <v>1</v>
      </c>
      <c r="AD149">
        <v>1.22914499999023</v>
      </c>
      <c r="AE149" t="s">
        <v>51</v>
      </c>
      <c r="AI149">
        <v>1</v>
      </c>
      <c r="AJ149">
        <v>1</v>
      </c>
      <c r="AK149" t="s">
        <v>42</v>
      </c>
      <c r="AL149" t="s">
        <v>43</v>
      </c>
      <c r="AN149" t="s">
        <v>44</v>
      </c>
      <c r="AO149">
        <v>59.778723070926397</v>
      </c>
      <c r="AP149" t="s">
        <v>45</v>
      </c>
    </row>
    <row r="150" spans="1:42" x14ac:dyDescent="0.3">
      <c r="A150" t="s">
        <v>75</v>
      </c>
      <c r="B150" t="s">
        <v>47</v>
      </c>
      <c r="C150" t="s">
        <v>61</v>
      </c>
      <c r="D150" t="s">
        <v>49</v>
      </c>
      <c r="E150" t="s">
        <v>63</v>
      </c>
      <c r="F150">
        <v>147</v>
      </c>
      <c r="G150">
        <v>7</v>
      </c>
      <c r="H150">
        <v>7</v>
      </c>
      <c r="I150" t="s">
        <v>63</v>
      </c>
      <c r="J150">
        <v>1</v>
      </c>
      <c r="K150">
        <v>1.21863110002595</v>
      </c>
      <c r="L150" t="s">
        <v>51</v>
      </c>
      <c r="M150">
        <v>7</v>
      </c>
      <c r="N150">
        <v>7</v>
      </c>
      <c r="O150">
        <v>147</v>
      </c>
      <c r="P150">
        <v>16</v>
      </c>
      <c r="Q150">
        <v>211.73227870004399</v>
      </c>
      <c r="V150">
        <v>211.72303420002501</v>
      </c>
      <c r="W150">
        <v>211.73227870004399</v>
      </c>
      <c r="X150">
        <v>212.23289179999799</v>
      </c>
      <c r="Y150">
        <v>212.23289179999799</v>
      </c>
      <c r="Z150">
        <v>212.23289179999799</v>
      </c>
      <c r="AA150">
        <v>213.45317360001999</v>
      </c>
      <c r="AB150" t="s">
        <v>63</v>
      </c>
      <c r="AC150">
        <v>1</v>
      </c>
      <c r="AD150">
        <v>1.21863110002595</v>
      </c>
      <c r="AE150" t="s">
        <v>51</v>
      </c>
      <c r="AI150">
        <v>1</v>
      </c>
      <c r="AJ150">
        <v>1</v>
      </c>
      <c r="AK150" t="s">
        <v>42</v>
      </c>
      <c r="AL150" t="s">
        <v>43</v>
      </c>
      <c r="AN150" t="s">
        <v>44</v>
      </c>
      <c r="AO150">
        <v>59.778723070926397</v>
      </c>
      <c r="AP150" t="s">
        <v>45</v>
      </c>
    </row>
    <row r="151" spans="1:42" x14ac:dyDescent="0.3">
      <c r="A151" t="s">
        <v>78</v>
      </c>
      <c r="B151" t="s">
        <v>47</v>
      </c>
      <c r="C151" t="s">
        <v>56</v>
      </c>
      <c r="D151" t="s">
        <v>49</v>
      </c>
      <c r="E151" t="s">
        <v>57</v>
      </c>
      <c r="F151">
        <v>148</v>
      </c>
      <c r="G151">
        <v>8</v>
      </c>
      <c r="H151">
        <v>7</v>
      </c>
      <c r="I151" t="s">
        <v>57</v>
      </c>
      <c r="J151">
        <v>1</v>
      </c>
      <c r="K151">
        <v>0.70708349999040299</v>
      </c>
      <c r="L151" t="s">
        <v>51</v>
      </c>
      <c r="M151">
        <v>7</v>
      </c>
      <c r="N151">
        <v>8</v>
      </c>
      <c r="O151">
        <v>148</v>
      </c>
      <c r="P151">
        <v>17</v>
      </c>
      <c r="Q151">
        <v>213.46623040002299</v>
      </c>
      <c r="V151">
        <v>213.455870900012</v>
      </c>
      <c r="W151">
        <v>213.46623040002299</v>
      </c>
      <c r="X151">
        <v>213.965381700021</v>
      </c>
      <c r="Y151">
        <v>213.965381700021</v>
      </c>
      <c r="Z151">
        <v>213.965381700021</v>
      </c>
      <c r="AA151">
        <v>214.685970199992</v>
      </c>
      <c r="AB151" t="s">
        <v>57</v>
      </c>
      <c r="AC151">
        <v>1</v>
      </c>
      <c r="AD151">
        <v>0.70708349999040299</v>
      </c>
      <c r="AE151" t="s">
        <v>51</v>
      </c>
      <c r="AI151">
        <v>1</v>
      </c>
      <c r="AJ151">
        <v>1</v>
      </c>
      <c r="AK151" t="s">
        <v>42</v>
      </c>
      <c r="AL151" t="s">
        <v>43</v>
      </c>
      <c r="AN151" t="s">
        <v>44</v>
      </c>
      <c r="AO151">
        <v>59.778723070926397</v>
      </c>
      <c r="AP151" t="s">
        <v>45</v>
      </c>
    </row>
    <row r="152" spans="1:42" x14ac:dyDescent="0.3">
      <c r="A152" t="s">
        <v>73</v>
      </c>
      <c r="B152" t="s">
        <v>59</v>
      </c>
      <c r="C152" t="s">
        <v>56</v>
      </c>
      <c r="D152" t="s">
        <v>49</v>
      </c>
      <c r="E152" t="s">
        <v>57</v>
      </c>
      <c r="F152">
        <v>149</v>
      </c>
      <c r="G152">
        <v>9</v>
      </c>
      <c r="H152">
        <v>7</v>
      </c>
      <c r="I152" t="s">
        <v>57</v>
      </c>
      <c r="J152">
        <v>1</v>
      </c>
      <c r="K152">
        <v>0.44743579998612398</v>
      </c>
      <c r="L152" t="s">
        <v>51</v>
      </c>
      <c r="M152">
        <v>7</v>
      </c>
      <c r="N152">
        <v>9</v>
      </c>
      <c r="O152">
        <v>149</v>
      </c>
      <c r="P152">
        <v>1</v>
      </c>
      <c r="Q152">
        <v>214.69914560002499</v>
      </c>
      <c r="V152">
        <v>214.68871830002101</v>
      </c>
      <c r="W152">
        <v>214.69914560002499</v>
      </c>
      <c r="X152">
        <v>215.19873810000701</v>
      </c>
      <c r="Y152">
        <v>215.19873810000701</v>
      </c>
      <c r="Z152">
        <v>215.19873810000701</v>
      </c>
      <c r="AA152">
        <v>215.652910000004</v>
      </c>
      <c r="AB152" t="s">
        <v>57</v>
      </c>
      <c r="AC152">
        <v>1</v>
      </c>
      <c r="AD152">
        <v>0.44743579998612398</v>
      </c>
      <c r="AE152" t="s">
        <v>51</v>
      </c>
      <c r="AI152">
        <v>1</v>
      </c>
      <c r="AJ152">
        <v>1</v>
      </c>
      <c r="AK152" t="s">
        <v>42</v>
      </c>
      <c r="AL152" t="s">
        <v>43</v>
      </c>
      <c r="AN152" t="s">
        <v>44</v>
      </c>
      <c r="AO152">
        <v>59.778723070926397</v>
      </c>
      <c r="AP152" t="s">
        <v>45</v>
      </c>
    </row>
    <row r="153" spans="1:42" x14ac:dyDescent="0.3">
      <c r="A153" t="s">
        <v>72</v>
      </c>
      <c r="B153" t="s">
        <v>59</v>
      </c>
      <c r="C153" t="s">
        <v>61</v>
      </c>
      <c r="D153" t="s">
        <v>62</v>
      </c>
      <c r="E153" t="s">
        <v>63</v>
      </c>
      <c r="F153">
        <v>150</v>
      </c>
      <c r="G153">
        <v>10</v>
      </c>
      <c r="H153">
        <v>7</v>
      </c>
      <c r="I153" t="s">
        <v>63</v>
      </c>
      <c r="J153">
        <v>1</v>
      </c>
      <c r="K153">
        <v>1.3419810999766899</v>
      </c>
      <c r="L153" t="s">
        <v>51</v>
      </c>
      <c r="M153">
        <v>7</v>
      </c>
      <c r="N153">
        <v>10</v>
      </c>
      <c r="O153">
        <v>150</v>
      </c>
      <c r="P153">
        <v>8</v>
      </c>
      <c r="Q153">
        <v>215.66761430003601</v>
      </c>
      <c r="V153">
        <v>215.656098700012</v>
      </c>
      <c r="W153">
        <v>215.66761430003601</v>
      </c>
      <c r="X153">
        <v>216.16551780002101</v>
      </c>
      <c r="Y153">
        <v>216.16551780002101</v>
      </c>
      <c r="Z153">
        <v>216.16551780002101</v>
      </c>
      <c r="AA153">
        <v>217.52135160000699</v>
      </c>
      <c r="AB153" t="s">
        <v>63</v>
      </c>
      <c r="AC153">
        <v>1</v>
      </c>
      <c r="AD153">
        <v>1.3419810999766899</v>
      </c>
      <c r="AE153" t="s">
        <v>51</v>
      </c>
      <c r="AI153">
        <v>1</v>
      </c>
      <c r="AJ153">
        <v>1</v>
      </c>
      <c r="AK153" t="s">
        <v>42</v>
      </c>
      <c r="AL153" t="s">
        <v>43</v>
      </c>
      <c r="AN153" t="s">
        <v>44</v>
      </c>
      <c r="AO153">
        <v>59.778723070926397</v>
      </c>
      <c r="AP153" t="s">
        <v>45</v>
      </c>
    </row>
    <row r="154" spans="1:42" x14ac:dyDescent="0.3">
      <c r="A154" t="s">
        <v>58</v>
      </c>
      <c r="B154" t="s">
        <v>59</v>
      </c>
      <c r="C154" t="s">
        <v>48</v>
      </c>
      <c r="D154" t="s">
        <v>49</v>
      </c>
      <c r="E154" t="s">
        <v>50</v>
      </c>
      <c r="F154">
        <v>151</v>
      </c>
      <c r="G154">
        <v>11</v>
      </c>
      <c r="H154">
        <v>7</v>
      </c>
      <c r="I154" t="s">
        <v>50</v>
      </c>
      <c r="J154">
        <v>1</v>
      </c>
      <c r="K154">
        <v>0.90692140004830402</v>
      </c>
      <c r="L154" t="s">
        <v>51</v>
      </c>
      <c r="M154">
        <v>7</v>
      </c>
      <c r="N154">
        <v>11</v>
      </c>
      <c r="O154">
        <v>151</v>
      </c>
      <c r="P154">
        <v>7</v>
      </c>
      <c r="Q154">
        <v>217.533228100044</v>
      </c>
      <c r="V154">
        <v>217.524927699996</v>
      </c>
      <c r="W154">
        <v>217.533228100044</v>
      </c>
      <c r="X154">
        <v>218.03281910001499</v>
      </c>
      <c r="Y154">
        <v>218.03281910001499</v>
      </c>
      <c r="Z154">
        <v>218.03281910001499</v>
      </c>
      <c r="AA154">
        <v>218.952445000002</v>
      </c>
      <c r="AB154" t="s">
        <v>50</v>
      </c>
      <c r="AC154">
        <v>1</v>
      </c>
      <c r="AD154">
        <v>0.90692140004830402</v>
      </c>
      <c r="AE154" t="s">
        <v>51</v>
      </c>
      <c r="AI154">
        <v>1</v>
      </c>
      <c r="AJ154">
        <v>1</v>
      </c>
      <c r="AK154" t="s">
        <v>42</v>
      </c>
      <c r="AL154" t="s">
        <v>43</v>
      </c>
      <c r="AN154" t="s">
        <v>44</v>
      </c>
      <c r="AO154">
        <v>59.778723070926397</v>
      </c>
      <c r="AP154" t="s">
        <v>45</v>
      </c>
    </row>
    <row r="155" spans="1:42" x14ac:dyDescent="0.3">
      <c r="A155" t="s">
        <v>76</v>
      </c>
      <c r="B155" t="s">
        <v>59</v>
      </c>
      <c r="C155" t="s">
        <v>48</v>
      </c>
      <c r="D155" t="s">
        <v>49</v>
      </c>
      <c r="E155" t="s">
        <v>50</v>
      </c>
      <c r="F155">
        <v>152</v>
      </c>
      <c r="G155">
        <v>12</v>
      </c>
      <c r="H155">
        <v>7</v>
      </c>
      <c r="I155" t="s">
        <v>50</v>
      </c>
      <c r="J155">
        <v>1</v>
      </c>
      <c r="K155">
        <v>0.71991360001266003</v>
      </c>
      <c r="L155" t="s">
        <v>51</v>
      </c>
      <c r="M155">
        <v>7</v>
      </c>
      <c r="N155">
        <v>12</v>
      </c>
      <c r="O155">
        <v>152</v>
      </c>
      <c r="P155">
        <v>3</v>
      </c>
      <c r="Q155">
        <v>218.96543370001001</v>
      </c>
      <c r="V155">
        <v>218.956371300038</v>
      </c>
      <c r="W155">
        <v>218.96543370001001</v>
      </c>
      <c r="X155">
        <v>219.46604460000501</v>
      </c>
      <c r="Y155">
        <v>219.46604460000501</v>
      </c>
      <c r="Z155">
        <v>219.46604460000501</v>
      </c>
      <c r="AA155">
        <v>220.18672500003501</v>
      </c>
      <c r="AB155" t="s">
        <v>50</v>
      </c>
      <c r="AC155">
        <v>1</v>
      </c>
      <c r="AD155">
        <v>0.71991360001266003</v>
      </c>
      <c r="AE155" t="s">
        <v>51</v>
      </c>
      <c r="AI155">
        <v>1</v>
      </c>
      <c r="AJ155">
        <v>1</v>
      </c>
      <c r="AK155" t="s">
        <v>42</v>
      </c>
      <c r="AL155" t="s">
        <v>43</v>
      </c>
      <c r="AN155" t="s">
        <v>44</v>
      </c>
      <c r="AO155">
        <v>59.778723070926397</v>
      </c>
      <c r="AP155" t="s">
        <v>45</v>
      </c>
    </row>
    <row r="156" spans="1:42" x14ac:dyDescent="0.3">
      <c r="A156" t="s">
        <v>52</v>
      </c>
      <c r="B156" t="s">
        <v>47</v>
      </c>
      <c r="C156" t="s">
        <v>53</v>
      </c>
      <c r="D156" t="s">
        <v>49</v>
      </c>
      <c r="E156" t="s">
        <v>54</v>
      </c>
      <c r="F156">
        <v>153</v>
      </c>
      <c r="G156">
        <v>13</v>
      </c>
      <c r="H156">
        <v>7</v>
      </c>
      <c r="I156" t="s">
        <v>54</v>
      </c>
      <c r="J156">
        <v>1</v>
      </c>
      <c r="K156">
        <v>1.67826129996683</v>
      </c>
      <c r="L156" t="s">
        <v>51</v>
      </c>
      <c r="M156">
        <v>7</v>
      </c>
      <c r="N156">
        <v>13</v>
      </c>
      <c r="O156">
        <v>153</v>
      </c>
      <c r="P156">
        <v>14</v>
      </c>
      <c r="Q156">
        <v>220.19909629999799</v>
      </c>
      <c r="V156">
        <v>220.18949429999299</v>
      </c>
      <c r="W156">
        <v>220.19909629999799</v>
      </c>
      <c r="X156">
        <v>220.6983932</v>
      </c>
      <c r="Y156">
        <v>220.6983932</v>
      </c>
      <c r="Z156">
        <v>220.6983932</v>
      </c>
      <c r="AA156">
        <v>222.38688180001901</v>
      </c>
      <c r="AB156" t="s">
        <v>54</v>
      </c>
      <c r="AC156">
        <v>1</v>
      </c>
      <c r="AD156">
        <v>1.67826129996683</v>
      </c>
      <c r="AE156" t="s">
        <v>51</v>
      </c>
      <c r="AI156">
        <v>1</v>
      </c>
      <c r="AJ156">
        <v>1</v>
      </c>
      <c r="AK156" t="s">
        <v>42</v>
      </c>
      <c r="AL156" t="s">
        <v>43</v>
      </c>
      <c r="AN156" t="s">
        <v>44</v>
      </c>
      <c r="AO156">
        <v>59.778723070926397</v>
      </c>
      <c r="AP156" t="s">
        <v>45</v>
      </c>
    </row>
    <row r="157" spans="1:42" x14ac:dyDescent="0.3">
      <c r="A157" t="s">
        <v>64</v>
      </c>
      <c r="B157" t="s">
        <v>47</v>
      </c>
      <c r="C157" t="s">
        <v>53</v>
      </c>
      <c r="D157" t="s">
        <v>49</v>
      </c>
      <c r="E157" t="s">
        <v>54</v>
      </c>
      <c r="F157">
        <v>154</v>
      </c>
      <c r="G157">
        <v>14</v>
      </c>
      <c r="H157">
        <v>7</v>
      </c>
      <c r="I157" t="s">
        <v>54</v>
      </c>
      <c r="J157">
        <v>1</v>
      </c>
      <c r="K157">
        <v>0.46395589999156001</v>
      </c>
      <c r="L157" t="s">
        <v>51</v>
      </c>
      <c r="M157">
        <v>7</v>
      </c>
      <c r="N157">
        <v>14</v>
      </c>
      <c r="O157">
        <v>154</v>
      </c>
      <c r="P157">
        <v>18</v>
      </c>
      <c r="Q157">
        <v>222.39870610000699</v>
      </c>
      <c r="V157">
        <v>222.389881000039</v>
      </c>
      <c r="W157">
        <v>222.39870610000699</v>
      </c>
      <c r="X157">
        <v>222.89862340001801</v>
      </c>
      <c r="Y157">
        <v>222.89862340001801</v>
      </c>
      <c r="Z157">
        <v>222.89862340001801</v>
      </c>
      <c r="AA157">
        <v>223.369372200046</v>
      </c>
      <c r="AB157" t="s">
        <v>54</v>
      </c>
      <c r="AC157">
        <v>1</v>
      </c>
      <c r="AD157">
        <v>0.46395589999156001</v>
      </c>
      <c r="AE157" t="s">
        <v>51</v>
      </c>
      <c r="AI157">
        <v>1</v>
      </c>
      <c r="AJ157">
        <v>1</v>
      </c>
      <c r="AK157" t="s">
        <v>42</v>
      </c>
      <c r="AL157" t="s">
        <v>43</v>
      </c>
      <c r="AN157" t="s">
        <v>44</v>
      </c>
      <c r="AO157">
        <v>59.778723070926397</v>
      </c>
      <c r="AP157" t="s">
        <v>45</v>
      </c>
    </row>
    <row r="158" spans="1:42" x14ac:dyDescent="0.3">
      <c r="A158" t="s">
        <v>74</v>
      </c>
      <c r="B158" t="s">
        <v>47</v>
      </c>
      <c r="C158" t="s">
        <v>48</v>
      </c>
      <c r="D158" t="s">
        <v>49</v>
      </c>
      <c r="E158" t="s">
        <v>50</v>
      </c>
      <c r="F158">
        <v>155</v>
      </c>
      <c r="G158">
        <v>15</v>
      </c>
      <c r="H158">
        <v>7</v>
      </c>
      <c r="I158" t="s">
        <v>57</v>
      </c>
      <c r="J158">
        <v>0</v>
      </c>
      <c r="K158">
        <v>0.77251710003474705</v>
      </c>
      <c r="L158" t="s">
        <v>51</v>
      </c>
      <c r="M158">
        <v>7</v>
      </c>
      <c r="N158">
        <v>15</v>
      </c>
      <c r="O158">
        <v>155</v>
      </c>
      <c r="P158">
        <v>11</v>
      </c>
      <c r="Q158">
        <v>223.38295729999601</v>
      </c>
      <c r="V158">
        <v>223.37214490002901</v>
      </c>
      <c r="W158">
        <v>223.38295729999601</v>
      </c>
      <c r="X158">
        <v>223.88272850000001</v>
      </c>
      <c r="Y158">
        <v>223.88272850000001</v>
      </c>
      <c r="Z158">
        <v>223.88272850000001</v>
      </c>
      <c r="AA158">
        <v>224.66887610003999</v>
      </c>
      <c r="AB158" t="s">
        <v>57</v>
      </c>
      <c r="AC158">
        <v>0</v>
      </c>
      <c r="AD158">
        <v>0.77251710003474705</v>
      </c>
      <c r="AE158" t="s">
        <v>51</v>
      </c>
      <c r="AI158">
        <v>1</v>
      </c>
      <c r="AJ158">
        <v>1</v>
      </c>
      <c r="AK158" t="s">
        <v>42</v>
      </c>
      <c r="AL158" t="s">
        <v>43</v>
      </c>
      <c r="AN158" t="s">
        <v>44</v>
      </c>
      <c r="AO158">
        <v>59.778723070926397</v>
      </c>
      <c r="AP158" t="s">
        <v>45</v>
      </c>
    </row>
    <row r="159" spans="1:42" x14ac:dyDescent="0.3">
      <c r="A159" t="s">
        <v>77</v>
      </c>
      <c r="B159" t="s">
        <v>59</v>
      </c>
      <c r="C159" t="s">
        <v>61</v>
      </c>
      <c r="D159" t="s">
        <v>62</v>
      </c>
      <c r="E159" t="s">
        <v>63</v>
      </c>
      <c r="F159">
        <v>156</v>
      </c>
      <c r="G159">
        <v>16</v>
      </c>
      <c r="H159">
        <v>7</v>
      </c>
      <c r="I159" t="s">
        <v>63</v>
      </c>
      <c r="J159">
        <v>1</v>
      </c>
      <c r="K159">
        <v>0.600882500002626</v>
      </c>
      <c r="L159" t="s">
        <v>51</v>
      </c>
      <c r="M159">
        <v>7</v>
      </c>
      <c r="N159">
        <v>16</v>
      </c>
      <c r="O159">
        <v>156</v>
      </c>
      <c r="P159">
        <v>4</v>
      </c>
      <c r="Q159">
        <v>224.682016500039</v>
      </c>
      <c r="V159">
        <v>224.67163550003801</v>
      </c>
      <c r="W159">
        <v>224.682016500039</v>
      </c>
      <c r="X159">
        <v>225.18216560000999</v>
      </c>
      <c r="Y159">
        <v>225.18216560000999</v>
      </c>
      <c r="Z159">
        <v>225.18216560000999</v>
      </c>
      <c r="AA159">
        <v>225.786045100016</v>
      </c>
      <c r="AB159" t="s">
        <v>63</v>
      </c>
      <c r="AC159">
        <v>1</v>
      </c>
      <c r="AD159">
        <v>0.600882500002626</v>
      </c>
      <c r="AE159" t="s">
        <v>51</v>
      </c>
      <c r="AI159">
        <v>1</v>
      </c>
      <c r="AJ159">
        <v>1</v>
      </c>
      <c r="AK159" t="s">
        <v>42</v>
      </c>
      <c r="AL159" t="s">
        <v>43</v>
      </c>
      <c r="AN159" t="s">
        <v>44</v>
      </c>
      <c r="AO159">
        <v>59.778723070926397</v>
      </c>
      <c r="AP159" t="s">
        <v>45</v>
      </c>
    </row>
    <row r="160" spans="1:42" x14ac:dyDescent="0.3">
      <c r="A160" t="s">
        <v>65</v>
      </c>
      <c r="B160" t="s">
        <v>59</v>
      </c>
      <c r="C160" t="s">
        <v>56</v>
      </c>
      <c r="D160" t="s">
        <v>49</v>
      </c>
      <c r="E160" t="s">
        <v>57</v>
      </c>
      <c r="F160">
        <v>157</v>
      </c>
      <c r="G160">
        <v>17</v>
      </c>
      <c r="H160">
        <v>7</v>
      </c>
      <c r="I160" t="s">
        <v>57</v>
      </c>
      <c r="J160">
        <v>1</v>
      </c>
      <c r="K160">
        <v>0.64116609998745799</v>
      </c>
      <c r="L160" t="s">
        <v>51</v>
      </c>
      <c r="M160">
        <v>7</v>
      </c>
      <c r="N160">
        <v>17</v>
      </c>
      <c r="O160">
        <v>157</v>
      </c>
      <c r="P160">
        <v>9</v>
      </c>
      <c r="Q160">
        <v>225.799611800001</v>
      </c>
      <c r="V160">
        <v>225.788751600019</v>
      </c>
      <c r="W160">
        <v>225.799611800001</v>
      </c>
      <c r="X160">
        <v>226.29872680001401</v>
      </c>
      <c r="Y160">
        <v>226.29872680001401</v>
      </c>
      <c r="Z160">
        <v>226.29872680001401</v>
      </c>
      <c r="AA160">
        <v>226.95229640003501</v>
      </c>
      <c r="AB160" t="s">
        <v>57</v>
      </c>
      <c r="AC160">
        <v>1</v>
      </c>
      <c r="AD160">
        <v>0.64116609998745799</v>
      </c>
      <c r="AE160" t="s">
        <v>51</v>
      </c>
      <c r="AI160">
        <v>1</v>
      </c>
      <c r="AJ160">
        <v>1</v>
      </c>
      <c r="AK160" t="s">
        <v>42</v>
      </c>
      <c r="AL160" t="s">
        <v>43</v>
      </c>
      <c r="AN160" t="s">
        <v>44</v>
      </c>
      <c r="AO160">
        <v>59.778723070926397</v>
      </c>
      <c r="AP160" t="s">
        <v>45</v>
      </c>
    </row>
    <row r="161" spans="1:42" x14ac:dyDescent="0.3">
      <c r="A161" t="s">
        <v>71</v>
      </c>
      <c r="B161" t="s">
        <v>47</v>
      </c>
      <c r="C161" t="s">
        <v>48</v>
      </c>
      <c r="D161" t="s">
        <v>49</v>
      </c>
      <c r="E161" t="s">
        <v>50</v>
      </c>
      <c r="F161">
        <v>158</v>
      </c>
      <c r="G161">
        <v>18</v>
      </c>
      <c r="H161">
        <v>7</v>
      </c>
      <c r="I161" t="s">
        <v>50</v>
      </c>
      <c r="J161">
        <v>1</v>
      </c>
      <c r="K161">
        <v>0.65930630004731905</v>
      </c>
      <c r="L161" t="s">
        <v>51</v>
      </c>
      <c r="M161">
        <v>7</v>
      </c>
      <c r="N161">
        <v>18</v>
      </c>
      <c r="O161">
        <v>158</v>
      </c>
      <c r="P161">
        <v>15</v>
      </c>
      <c r="Q161">
        <v>226.965327200014</v>
      </c>
      <c r="V161">
        <v>226.95506690000099</v>
      </c>
      <c r="W161">
        <v>226.965327200014</v>
      </c>
      <c r="X161">
        <v>227.46557540004099</v>
      </c>
      <c r="Y161">
        <v>227.46557540004099</v>
      </c>
      <c r="Z161">
        <v>227.46557540004099</v>
      </c>
      <c r="AA161">
        <v>228.135710400005</v>
      </c>
      <c r="AB161" t="s">
        <v>50</v>
      </c>
      <c r="AC161">
        <v>1</v>
      </c>
      <c r="AD161">
        <v>0.65930630004731905</v>
      </c>
      <c r="AE161" t="s">
        <v>51</v>
      </c>
      <c r="AI161">
        <v>1</v>
      </c>
      <c r="AJ161">
        <v>1</v>
      </c>
      <c r="AK161" t="s">
        <v>42</v>
      </c>
      <c r="AL161" t="s">
        <v>43</v>
      </c>
      <c r="AN161" t="s">
        <v>44</v>
      </c>
      <c r="AO161">
        <v>59.778723070926397</v>
      </c>
      <c r="AP161" t="s">
        <v>45</v>
      </c>
    </row>
    <row r="162" spans="1:42" x14ac:dyDescent="0.3">
      <c r="A162" t="s">
        <v>46</v>
      </c>
      <c r="B162" t="s">
        <v>47</v>
      </c>
      <c r="C162" t="s">
        <v>48</v>
      </c>
      <c r="D162" t="s">
        <v>49</v>
      </c>
      <c r="E162" t="s">
        <v>50</v>
      </c>
      <c r="F162">
        <v>159</v>
      </c>
      <c r="G162">
        <v>19</v>
      </c>
      <c r="H162">
        <v>7</v>
      </c>
      <c r="I162" t="s">
        <v>50</v>
      </c>
      <c r="J162">
        <v>1</v>
      </c>
      <c r="K162">
        <v>0.42946449998998998</v>
      </c>
      <c r="L162" t="s">
        <v>51</v>
      </c>
      <c r="M162">
        <v>7</v>
      </c>
      <c r="N162">
        <v>19</v>
      </c>
      <c r="O162">
        <v>159</v>
      </c>
      <c r="P162">
        <v>19</v>
      </c>
      <c r="Q162">
        <v>228.14882270002201</v>
      </c>
      <c r="V162">
        <v>228.138680800038</v>
      </c>
      <c r="W162">
        <v>228.14882270002201</v>
      </c>
      <c r="X162">
        <v>228.64882970001699</v>
      </c>
      <c r="Y162">
        <v>228.64882970001699</v>
      </c>
      <c r="Z162">
        <v>228.64882970001699</v>
      </c>
      <c r="AA162">
        <v>229.08596769999701</v>
      </c>
      <c r="AB162" t="s">
        <v>50</v>
      </c>
      <c r="AC162">
        <v>1</v>
      </c>
      <c r="AD162">
        <v>0.42946449998998998</v>
      </c>
      <c r="AE162" t="s">
        <v>51</v>
      </c>
      <c r="AI162">
        <v>1</v>
      </c>
      <c r="AJ162">
        <v>1</v>
      </c>
      <c r="AK162" t="s">
        <v>42</v>
      </c>
      <c r="AL162" t="s">
        <v>43</v>
      </c>
      <c r="AN162" t="s">
        <v>44</v>
      </c>
      <c r="AO162">
        <v>59.778723070926397</v>
      </c>
      <c r="AP162" t="s">
        <v>45</v>
      </c>
    </row>
    <row r="163" spans="1:42" x14ac:dyDescent="0.3">
      <c r="A163" t="s">
        <v>52</v>
      </c>
      <c r="B163" t="s">
        <v>47</v>
      </c>
      <c r="C163" t="s">
        <v>53</v>
      </c>
      <c r="D163" t="s">
        <v>49</v>
      </c>
      <c r="E163" t="s">
        <v>54</v>
      </c>
      <c r="F163">
        <v>160</v>
      </c>
      <c r="G163">
        <v>0</v>
      </c>
      <c r="H163">
        <v>8</v>
      </c>
      <c r="I163" t="s">
        <v>54</v>
      </c>
      <c r="J163">
        <v>1</v>
      </c>
      <c r="K163">
        <v>0.93339169997489002</v>
      </c>
      <c r="L163" t="s">
        <v>51</v>
      </c>
      <c r="M163">
        <v>8</v>
      </c>
      <c r="N163">
        <v>0</v>
      </c>
      <c r="O163">
        <v>160</v>
      </c>
      <c r="P163">
        <v>14</v>
      </c>
      <c r="Q163">
        <v>229.09886940004</v>
      </c>
      <c r="V163">
        <v>229.08928200002899</v>
      </c>
      <c r="W163">
        <v>229.09886940004</v>
      </c>
      <c r="X163">
        <v>229.59909570001699</v>
      </c>
      <c r="Y163">
        <v>229.59909570001699</v>
      </c>
      <c r="Z163">
        <v>229.59909570001699</v>
      </c>
      <c r="AA163">
        <v>230.53610220004299</v>
      </c>
      <c r="AB163" t="s">
        <v>54</v>
      </c>
      <c r="AC163">
        <v>1</v>
      </c>
      <c r="AD163">
        <v>0.93339169997489002</v>
      </c>
      <c r="AE163" t="s">
        <v>51</v>
      </c>
      <c r="AI163">
        <v>1</v>
      </c>
      <c r="AJ163">
        <v>1</v>
      </c>
      <c r="AK163" t="s">
        <v>42</v>
      </c>
      <c r="AL163" t="s">
        <v>43</v>
      </c>
      <c r="AN163" t="s">
        <v>44</v>
      </c>
      <c r="AO163">
        <v>59.778723070926397</v>
      </c>
      <c r="AP163" t="s">
        <v>45</v>
      </c>
    </row>
    <row r="164" spans="1:42" x14ac:dyDescent="0.3">
      <c r="A164" t="s">
        <v>76</v>
      </c>
      <c r="B164" t="s">
        <v>59</v>
      </c>
      <c r="C164" t="s">
        <v>48</v>
      </c>
      <c r="D164" t="s">
        <v>49</v>
      </c>
      <c r="E164" t="s">
        <v>50</v>
      </c>
      <c r="F164">
        <v>161</v>
      </c>
      <c r="G164">
        <v>1</v>
      </c>
      <c r="H164">
        <v>8</v>
      </c>
      <c r="I164" t="s">
        <v>50</v>
      </c>
      <c r="J164">
        <v>1</v>
      </c>
      <c r="K164">
        <v>0.96100410004146397</v>
      </c>
      <c r="L164" t="s">
        <v>51</v>
      </c>
      <c r="M164">
        <v>8</v>
      </c>
      <c r="N164">
        <v>1</v>
      </c>
      <c r="O164">
        <v>161</v>
      </c>
      <c r="P164">
        <v>3</v>
      </c>
      <c r="Q164">
        <v>230.549411800049</v>
      </c>
      <c r="V164">
        <v>230.539397000044</v>
      </c>
      <c r="W164">
        <v>230.549411800049</v>
      </c>
      <c r="X164">
        <v>231.04875820001999</v>
      </c>
      <c r="Y164">
        <v>231.04875820001999</v>
      </c>
      <c r="Z164">
        <v>231.04875820001999</v>
      </c>
      <c r="AA164">
        <v>232.01861100003501</v>
      </c>
      <c r="AB164" t="s">
        <v>50</v>
      </c>
      <c r="AC164">
        <v>1</v>
      </c>
      <c r="AD164">
        <v>0.96100410004146397</v>
      </c>
      <c r="AE164" t="s">
        <v>51</v>
      </c>
      <c r="AI164">
        <v>1</v>
      </c>
      <c r="AJ164">
        <v>1</v>
      </c>
      <c r="AK164" t="s">
        <v>42</v>
      </c>
      <c r="AL164" t="s">
        <v>43</v>
      </c>
      <c r="AN164" t="s">
        <v>44</v>
      </c>
      <c r="AO164">
        <v>59.778723070926397</v>
      </c>
      <c r="AP164" t="s">
        <v>45</v>
      </c>
    </row>
    <row r="165" spans="1:42" x14ac:dyDescent="0.3">
      <c r="A165" t="s">
        <v>78</v>
      </c>
      <c r="B165" t="s">
        <v>47</v>
      </c>
      <c r="C165" t="s">
        <v>56</v>
      </c>
      <c r="D165" t="s">
        <v>49</v>
      </c>
      <c r="E165" t="s">
        <v>57</v>
      </c>
      <c r="F165">
        <v>162</v>
      </c>
      <c r="G165">
        <v>2</v>
      </c>
      <c r="H165">
        <v>8</v>
      </c>
      <c r="I165" t="s">
        <v>57</v>
      </c>
      <c r="J165">
        <v>1</v>
      </c>
      <c r="K165">
        <v>0.66823230002773903</v>
      </c>
      <c r="L165" t="s">
        <v>51</v>
      </c>
      <c r="M165">
        <v>8</v>
      </c>
      <c r="N165">
        <v>2</v>
      </c>
      <c r="O165">
        <v>162</v>
      </c>
      <c r="P165">
        <v>17</v>
      </c>
      <c r="Q165">
        <v>232.03156570001701</v>
      </c>
      <c r="V165">
        <v>232.02130150003299</v>
      </c>
      <c r="W165">
        <v>232.03156570001701</v>
      </c>
      <c r="X165">
        <v>232.53172420000101</v>
      </c>
      <c r="Y165">
        <v>232.53172420000101</v>
      </c>
      <c r="Z165">
        <v>232.53172420000101</v>
      </c>
      <c r="AA165">
        <v>233.201883800036</v>
      </c>
      <c r="AB165" t="s">
        <v>57</v>
      </c>
      <c r="AC165">
        <v>1</v>
      </c>
      <c r="AD165">
        <v>0.66823230002773903</v>
      </c>
      <c r="AE165" t="s">
        <v>51</v>
      </c>
      <c r="AI165">
        <v>1</v>
      </c>
      <c r="AJ165">
        <v>1</v>
      </c>
      <c r="AK165" t="s">
        <v>42</v>
      </c>
      <c r="AL165" t="s">
        <v>43</v>
      </c>
      <c r="AN165" t="s">
        <v>44</v>
      </c>
      <c r="AO165">
        <v>59.778723070926397</v>
      </c>
      <c r="AP165" t="s">
        <v>45</v>
      </c>
    </row>
    <row r="166" spans="1:42" x14ac:dyDescent="0.3">
      <c r="A166" t="s">
        <v>75</v>
      </c>
      <c r="B166" t="s">
        <v>47</v>
      </c>
      <c r="C166" t="s">
        <v>61</v>
      </c>
      <c r="D166" t="s">
        <v>49</v>
      </c>
      <c r="E166" t="s">
        <v>63</v>
      </c>
      <c r="F166">
        <v>163</v>
      </c>
      <c r="G166">
        <v>3</v>
      </c>
      <c r="H166">
        <v>8</v>
      </c>
      <c r="I166" t="s">
        <v>63</v>
      </c>
      <c r="J166">
        <v>1</v>
      </c>
      <c r="K166">
        <v>0.65031150000868299</v>
      </c>
      <c r="L166" t="s">
        <v>51</v>
      </c>
      <c r="M166">
        <v>8</v>
      </c>
      <c r="N166">
        <v>3</v>
      </c>
      <c r="O166">
        <v>163</v>
      </c>
      <c r="P166">
        <v>16</v>
      </c>
      <c r="Q166">
        <v>233.21494480001201</v>
      </c>
      <c r="V166">
        <v>233.20463150000401</v>
      </c>
      <c r="W166">
        <v>233.21494480001201</v>
      </c>
      <c r="X166">
        <v>233.71486510004601</v>
      </c>
      <c r="Y166">
        <v>233.71486510004601</v>
      </c>
      <c r="Z166">
        <v>233.71486510004601</v>
      </c>
      <c r="AA166">
        <v>234.368210799992</v>
      </c>
      <c r="AB166" t="s">
        <v>63</v>
      </c>
      <c r="AC166">
        <v>1</v>
      </c>
      <c r="AD166">
        <v>0.65031150000868299</v>
      </c>
      <c r="AE166" t="s">
        <v>51</v>
      </c>
      <c r="AI166">
        <v>1</v>
      </c>
      <c r="AJ166">
        <v>1</v>
      </c>
      <c r="AK166" t="s">
        <v>42</v>
      </c>
      <c r="AL166" t="s">
        <v>43</v>
      </c>
      <c r="AN166" t="s">
        <v>44</v>
      </c>
      <c r="AO166">
        <v>59.778723070926397</v>
      </c>
      <c r="AP166" t="s">
        <v>45</v>
      </c>
    </row>
    <row r="167" spans="1:42" x14ac:dyDescent="0.3">
      <c r="A167" t="s">
        <v>68</v>
      </c>
      <c r="B167" t="s">
        <v>59</v>
      </c>
      <c r="C167" t="s">
        <v>53</v>
      </c>
      <c r="D167" t="s">
        <v>49</v>
      </c>
      <c r="E167" t="s">
        <v>54</v>
      </c>
      <c r="F167">
        <v>164</v>
      </c>
      <c r="G167">
        <v>4</v>
      </c>
      <c r="H167">
        <v>8</v>
      </c>
      <c r="I167" t="s">
        <v>54</v>
      </c>
      <c r="J167">
        <v>1</v>
      </c>
      <c r="K167">
        <v>0.81543190003139898</v>
      </c>
      <c r="L167" t="s">
        <v>51</v>
      </c>
      <c r="M167">
        <v>8</v>
      </c>
      <c r="N167">
        <v>4</v>
      </c>
      <c r="O167">
        <v>164</v>
      </c>
      <c r="P167">
        <v>6</v>
      </c>
      <c r="Q167">
        <v>234.38174230000001</v>
      </c>
      <c r="V167">
        <v>234.37096369999901</v>
      </c>
      <c r="W167">
        <v>234.38174230000001</v>
      </c>
      <c r="X167">
        <v>234.881642099993</v>
      </c>
      <c r="Y167">
        <v>234.881642099993</v>
      </c>
      <c r="Z167">
        <v>234.881642099993</v>
      </c>
      <c r="AA167">
        <v>235.702483900007</v>
      </c>
      <c r="AB167" t="s">
        <v>54</v>
      </c>
      <c r="AC167">
        <v>1</v>
      </c>
      <c r="AD167">
        <v>0.81543190003139898</v>
      </c>
      <c r="AE167" t="s">
        <v>51</v>
      </c>
      <c r="AI167">
        <v>1</v>
      </c>
      <c r="AJ167">
        <v>1</v>
      </c>
      <c r="AK167" t="s">
        <v>42</v>
      </c>
      <c r="AL167" t="s">
        <v>43</v>
      </c>
      <c r="AN167" t="s">
        <v>44</v>
      </c>
      <c r="AO167">
        <v>59.778723070926397</v>
      </c>
      <c r="AP167" t="s">
        <v>45</v>
      </c>
    </row>
    <row r="168" spans="1:42" x14ac:dyDescent="0.3">
      <c r="A168" t="s">
        <v>67</v>
      </c>
      <c r="B168" t="s">
        <v>47</v>
      </c>
      <c r="C168" t="s">
        <v>53</v>
      </c>
      <c r="D168" t="s">
        <v>49</v>
      </c>
      <c r="E168" t="s">
        <v>54</v>
      </c>
      <c r="F168">
        <v>165</v>
      </c>
      <c r="G168">
        <v>5</v>
      </c>
      <c r="H168">
        <v>8</v>
      </c>
      <c r="I168" t="s">
        <v>57</v>
      </c>
      <c r="J168">
        <v>0</v>
      </c>
      <c r="K168">
        <v>0.51597399997990501</v>
      </c>
      <c r="L168" t="s">
        <v>51</v>
      </c>
      <c r="M168">
        <v>8</v>
      </c>
      <c r="N168">
        <v>5</v>
      </c>
      <c r="O168">
        <v>165</v>
      </c>
      <c r="P168">
        <v>10</v>
      </c>
      <c r="Q168">
        <v>235.71472470002399</v>
      </c>
      <c r="V168">
        <v>235.705024500028</v>
      </c>
      <c r="W168">
        <v>235.71472470002399</v>
      </c>
      <c r="X168">
        <v>236.21644790004899</v>
      </c>
      <c r="Y168">
        <v>236.21644790004899</v>
      </c>
      <c r="Z168">
        <v>236.21644790004899</v>
      </c>
      <c r="AA168">
        <v>236.737551000027</v>
      </c>
      <c r="AB168" t="s">
        <v>57</v>
      </c>
      <c r="AC168">
        <v>0</v>
      </c>
      <c r="AD168">
        <v>0.51597399997990501</v>
      </c>
      <c r="AE168" t="s">
        <v>51</v>
      </c>
      <c r="AI168">
        <v>1</v>
      </c>
      <c r="AJ168">
        <v>1</v>
      </c>
      <c r="AK168" t="s">
        <v>42</v>
      </c>
      <c r="AL168" t="s">
        <v>43</v>
      </c>
      <c r="AN168" t="s">
        <v>44</v>
      </c>
      <c r="AO168">
        <v>59.778723070926397</v>
      </c>
      <c r="AP168" t="s">
        <v>45</v>
      </c>
    </row>
    <row r="169" spans="1:42" x14ac:dyDescent="0.3">
      <c r="A169" t="s">
        <v>71</v>
      </c>
      <c r="B169" t="s">
        <v>47</v>
      </c>
      <c r="C169" t="s">
        <v>48</v>
      </c>
      <c r="D169" t="s">
        <v>49</v>
      </c>
      <c r="E169" t="s">
        <v>50</v>
      </c>
      <c r="F169">
        <v>166</v>
      </c>
      <c r="G169">
        <v>6</v>
      </c>
      <c r="H169">
        <v>8</v>
      </c>
      <c r="I169" t="s">
        <v>57</v>
      </c>
      <c r="J169">
        <v>0</v>
      </c>
      <c r="K169">
        <v>0.85119439999107205</v>
      </c>
      <c r="L169" t="s">
        <v>51</v>
      </c>
      <c r="M169">
        <v>8</v>
      </c>
      <c r="N169">
        <v>6</v>
      </c>
      <c r="O169">
        <v>166</v>
      </c>
      <c r="P169">
        <v>15</v>
      </c>
      <c r="Q169">
        <v>236.74901480000699</v>
      </c>
      <c r="V169">
        <v>236.74096389999599</v>
      </c>
      <c r="W169">
        <v>236.74901480000699</v>
      </c>
      <c r="X169">
        <v>237.24795069999499</v>
      </c>
      <c r="Y169">
        <v>237.24795069999499</v>
      </c>
      <c r="Z169">
        <v>237.24795069999499</v>
      </c>
      <c r="AA169">
        <v>238.10316430003101</v>
      </c>
      <c r="AB169" t="s">
        <v>57</v>
      </c>
      <c r="AC169">
        <v>0</v>
      </c>
      <c r="AD169">
        <v>0.85119439999107205</v>
      </c>
      <c r="AE169" t="s">
        <v>51</v>
      </c>
      <c r="AI169">
        <v>1</v>
      </c>
      <c r="AJ169">
        <v>1</v>
      </c>
      <c r="AK169" t="s">
        <v>42</v>
      </c>
      <c r="AL169" t="s">
        <v>43</v>
      </c>
      <c r="AN169" t="s">
        <v>44</v>
      </c>
      <c r="AO169">
        <v>59.778723070926397</v>
      </c>
      <c r="AP169" t="s">
        <v>45</v>
      </c>
    </row>
    <row r="170" spans="1:42" x14ac:dyDescent="0.3">
      <c r="A170" t="s">
        <v>72</v>
      </c>
      <c r="B170" t="s">
        <v>59</v>
      </c>
      <c r="C170" t="s">
        <v>61</v>
      </c>
      <c r="D170" t="s">
        <v>62</v>
      </c>
      <c r="E170" t="s">
        <v>63</v>
      </c>
      <c r="F170">
        <v>167</v>
      </c>
      <c r="G170">
        <v>7</v>
      </c>
      <c r="H170">
        <v>8</v>
      </c>
      <c r="I170" t="s">
        <v>63</v>
      </c>
      <c r="J170">
        <v>1</v>
      </c>
      <c r="K170">
        <v>0.64004919998114895</v>
      </c>
      <c r="L170" t="s">
        <v>51</v>
      </c>
      <c r="M170">
        <v>8</v>
      </c>
      <c r="N170">
        <v>7</v>
      </c>
      <c r="O170">
        <v>167</v>
      </c>
      <c r="P170">
        <v>8</v>
      </c>
      <c r="Q170">
        <v>238.114875900035</v>
      </c>
      <c r="V170">
        <v>238.10591919999499</v>
      </c>
      <c r="W170">
        <v>238.114875900035</v>
      </c>
      <c r="X170">
        <v>238.614999800047</v>
      </c>
      <c r="Y170">
        <v>238.614999800047</v>
      </c>
      <c r="Z170">
        <v>238.614999800047</v>
      </c>
      <c r="AA170">
        <v>239.268703200039</v>
      </c>
      <c r="AB170" t="s">
        <v>63</v>
      </c>
      <c r="AC170">
        <v>1</v>
      </c>
      <c r="AD170">
        <v>0.64004919998114895</v>
      </c>
      <c r="AE170" t="s">
        <v>51</v>
      </c>
      <c r="AI170">
        <v>1</v>
      </c>
      <c r="AJ170">
        <v>1</v>
      </c>
      <c r="AK170" t="s">
        <v>42</v>
      </c>
      <c r="AL170" t="s">
        <v>43</v>
      </c>
      <c r="AN170" t="s">
        <v>44</v>
      </c>
      <c r="AO170">
        <v>59.778723070926397</v>
      </c>
      <c r="AP170" t="s">
        <v>45</v>
      </c>
    </row>
    <row r="171" spans="1:42" x14ac:dyDescent="0.3">
      <c r="A171" t="s">
        <v>69</v>
      </c>
      <c r="B171" t="s">
        <v>59</v>
      </c>
      <c r="C171" t="s">
        <v>56</v>
      </c>
      <c r="D171" t="s">
        <v>49</v>
      </c>
      <c r="E171" t="s">
        <v>57</v>
      </c>
      <c r="F171">
        <v>168</v>
      </c>
      <c r="G171">
        <v>8</v>
      </c>
      <c r="H171">
        <v>8</v>
      </c>
      <c r="I171" t="s">
        <v>57</v>
      </c>
      <c r="J171">
        <v>1</v>
      </c>
      <c r="K171">
        <v>0.88392140000359998</v>
      </c>
      <c r="L171" t="s">
        <v>51</v>
      </c>
      <c r="M171">
        <v>8</v>
      </c>
      <c r="N171">
        <v>8</v>
      </c>
      <c r="O171">
        <v>168</v>
      </c>
      <c r="P171">
        <v>5</v>
      </c>
      <c r="Q171">
        <v>239.28162670001601</v>
      </c>
      <c r="V171">
        <v>239.27167040004801</v>
      </c>
      <c r="W171">
        <v>239.28162670001601</v>
      </c>
      <c r="X171">
        <v>239.78114440000999</v>
      </c>
      <c r="Y171">
        <v>239.78114440000999</v>
      </c>
      <c r="Z171">
        <v>239.78114440000999</v>
      </c>
      <c r="AA171">
        <v>240.66865810000999</v>
      </c>
      <c r="AB171" t="s">
        <v>57</v>
      </c>
      <c r="AC171">
        <v>1</v>
      </c>
      <c r="AD171">
        <v>0.88392140000359998</v>
      </c>
      <c r="AE171" t="s">
        <v>51</v>
      </c>
      <c r="AI171">
        <v>1</v>
      </c>
      <c r="AJ171">
        <v>1</v>
      </c>
      <c r="AK171" t="s">
        <v>42</v>
      </c>
      <c r="AL171" t="s">
        <v>43</v>
      </c>
      <c r="AN171" t="s">
        <v>44</v>
      </c>
      <c r="AO171">
        <v>59.778723070926397</v>
      </c>
      <c r="AP171" t="s">
        <v>45</v>
      </c>
    </row>
    <row r="172" spans="1:42" x14ac:dyDescent="0.3">
      <c r="A172" t="s">
        <v>64</v>
      </c>
      <c r="B172" t="s">
        <v>47</v>
      </c>
      <c r="C172" t="s">
        <v>53</v>
      </c>
      <c r="D172" t="s">
        <v>49</v>
      </c>
      <c r="E172" t="s">
        <v>54</v>
      </c>
      <c r="F172">
        <v>169</v>
      </c>
      <c r="G172">
        <v>9</v>
      </c>
      <c r="H172">
        <v>8</v>
      </c>
      <c r="I172" t="s">
        <v>54</v>
      </c>
      <c r="J172">
        <v>1</v>
      </c>
      <c r="K172">
        <v>1.5417675999924501</v>
      </c>
      <c r="L172" t="s">
        <v>51</v>
      </c>
      <c r="M172">
        <v>8</v>
      </c>
      <c r="N172">
        <v>9</v>
      </c>
      <c r="O172">
        <v>169</v>
      </c>
      <c r="P172">
        <v>18</v>
      </c>
      <c r="Q172">
        <v>240.68146560003501</v>
      </c>
      <c r="V172">
        <v>240.67130780004601</v>
      </c>
      <c r="W172">
        <v>240.68146560003501</v>
      </c>
      <c r="X172">
        <v>241.18149700004099</v>
      </c>
      <c r="Y172">
        <v>241.18149700004099</v>
      </c>
      <c r="Z172">
        <v>241.18149700004099</v>
      </c>
      <c r="AA172">
        <v>242.73546910000701</v>
      </c>
      <c r="AB172" t="s">
        <v>54</v>
      </c>
      <c r="AC172">
        <v>1</v>
      </c>
      <c r="AD172">
        <v>1.5417675999924501</v>
      </c>
      <c r="AE172" t="s">
        <v>51</v>
      </c>
      <c r="AI172">
        <v>1</v>
      </c>
      <c r="AJ172">
        <v>1</v>
      </c>
      <c r="AK172" t="s">
        <v>42</v>
      </c>
      <c r="AL172" t="s">
        <v>43</v>
      </c>
      <c r="AN172" t="s">
        <v>44</v>
      </c>
      <c r="AO172">
        <v>59.778723070926397</v>
      </c>
      <c r="AP172" t="s">
        <v>45</v>
      </c>
    </row>
    <row r="173" spans="1:42" x14ac:dyDescent="0.3">
      <c r="A173" t="s">
        <v>70</v>
      </c>
      <c r="B173" t="s">
        <v>59</v>
      </c>
      <c r="C173" t="s">
        <v>53</v>
      </c>
      <c r="D173" t="s">
        <v>49</v>
      </c>
      <c r="E173" t="s">
        <v>54</v>
      </c>
      <c r="F173">
        <v>170</v>
      </c>
      <c r="G173">
        <v>10</v>
      </c>
      <c r="H173">
        <v>8</v>
      </c>
      <c r="I173" t="s">
        <v>54</v>
      </c>
      <c r="J173">
        <v>1</v>
      </c>
      <c r="K173">
        <v>0.45857939997222202</v>
      </c>
      <c r="L173" t="s">
        <v>51</v>
      </c>
      <c r="M173">
        <v>8</v>
      </c>
      <c r="N173">
        <v>10</v>
      </c>
      <c r="O173">
        <v>170</v>
      </c>
      <c r="P173">
        <v>2</v>
      </c>
      <c r="Q173">
        <v>242.74802020000001</v>
      </c>
      <c r="V173">
        <v>242.73815910000101</v>
      </c>
      <c r="W173">
        <v>242.74802020000001</v>
      </c>
      <c r="X173">
        <v>243.248109900043</v>
      </c>
      <c r="Y173">
        <v>243.248109900043</v>
      </c>
      <c r="Z173">
        <v>243.248109900043</v>
      </c>
      <c r="AA173">
        <v>243.71834590000799</v>
      </c>
      <c r="AB173" t="s">
        <v>54</v>
      </c>
      <c r="AC173">
        <v>1</v>
      </c>
      <c r="AD173">
        <v>0.45857939997222202</v>
      </c>
      <c r="AE173" t="s">
        <v>51</v>
      </c>
      <c r="AI173">
        <v>1</v>
      </c>
      <c r="AJ173">
        <v>1</v>
      </c>
      <c r="AK173" t="s">
        <v>42</v>
      </c>
      <c r="AL173" t="s">
        <v>43</v>
      </c>
      <c r="AN173" t="s">
        <v>44</v>
      </c>
      <c r="AO173">
        <v>59.778723070926397</v>
      </c>
      <c r="AP173" t="s">
        <v>45</v>
      </c>
    </row>
    <row r="174" spans="1:42" x14ac:dyDescent="0.3">
      <c r="A174" t="s">
        <v>66</v>
      </c>
      <c r="B174" t="s">
        <v>47</v>
      </c>
      <c r="C174" t="s">
        <v>61</v>
      </c>
      <c r="D174" t="s">
        <v>49</v>
      </c>
      <c r="E174" t="s">
        <v>63</v>
      </c>
      <c r="F174">
        <v>171</v>
      </c>
      <c r="G174">
        <v>11</v>
      </c>
      <c r="H174">
        <v>8</v>
      </c>
      <c r="I174" t="s">
        <v>63</v>
      </c>
      <c r="J174">
        <v>1</v>
      </c>
      <c r="K174">
        <v>0.76737910002702803</v>
      </c>
      <c r="L174" t="s">
        <v>51</v>
      </c>
      <c r="M174">
        <v>8</v>
      </c>
      <c r="N174">
        <v>11</v>
      </c>
      <c r="O174">
        <v>171</v>
      </c>
      <c r="P174">
        <v>12</v>
      </c>
      <c r="Q174">
        <v>243.73158990003799</v>
      </c>
      <c r="V174">
        <v>243.7208905</v>
      </c>
      <c r="W174">
        <v>243.73158990003799</v>
      </c>
      <c r="X174">
        <v>244.23079430003401</v>
      </c>
      <c r="Y174">
        <v>244.23079430003401</v>
      </c>
      <c r="Z174">
        <v>244.23079430003401</v>
      </c>
      <c r="AA174">
        <v>245.00124070001701</v>
      </c>
      <c r="AB174" t="s">
        <v>63</v>
      </c>
      <c r="AC174">
        <v>1</v>
      </c>
      <c r="AD174">
        <v>0.76737910002702803</v>
      </c>
      <c r="AE174" t="s">
        <v>51</v>
      </c>
      <c r="AI174">
        <v>1</v>
      </c>
      <c r="AJ174">
        <v>1</v>
      </c>
      <c r="AK174" t="s">
        <v>42</v>
      </c>
      <c r="AL174" t="s">
        <v>43</v>
      </c>
      <c r="AN174" t="s">
        <v>44</v>
      </c>
      <c r="AO174">
        <v>59.778723070926397</v>
      </c>
      <c r="AP174" t="s">
        <v>45</v>
      </c>
    </row>
    <row r="175" spans="1:42" x14ac:dyDescent="0.3">
      <c r="A175" t="s">
        <v>74</v>
      </c>
      <c r="B175" t="s">
        <v>47</v>
      </c>
      <c r="C175" t="s">
        <v>48</v>
      </c>
      <c r="D175" t="s">
        <v>49</v>
      </c>
      <c r="E175" t="s">
        <v>50</v>
      </c>
      <c r="F175">
        <v>172</v>
      </c>
      <c r="G175">
        <v>12</v>
      </c>
      <c r="H175">
        <v>8</v>
      </c>
      <c r="I175" t="s">
        <v>50</v>
      </c>
      <c r="J175">
        <v>1</v>
      </c>
      <c r="K175">
        <v>1.15858360001584</v>
      </c>
      <c r="L175" t="s">
        <v>51</v>
      </c>
      <c r="M175">
        <v>8</v>
      </c>
      <c r="N175">
        <v>12</v>
      </c>
      <c r="O175">
        <v>172</v>
      </c>
      <c r="P175">
        <v>11</v>
      </c>
      <c r="Q175">
        <v>245.01458330004201</v>
      </c>
      <c r="V175">
        <v>245.00476830004399</v>
      </c>
      <c r="W175">
        <v>245.01458330004201</v>
      </c>
      <c r="X175">
        <v>245.51467020000501</v>
      </c>
      <c r="Y175">
        <v>245.51467020000501</v>
      </c>
      <c r="Z175">
        <v>245.51467020000501</v>
      </c>
      <c r="AA175">
        <v>246.68473450001301</v>
      </c>
      <c r="AB175" t="s">
        <v>50</v>
      </c>
      <c r="AC175">
        <v>1</v>
      </c>
      <c r="AD175">
        <v>1.15858360001584</v>
      </c>
      <c r="AE175" t="s">
        <v>51</v>
      </c>
      <c r="AI175">
        <v>1</v>
      </c>
      <c r="AJ175">
        <v>1</v>
      </c>
      <c r="AK175" t="s">
        <v>42</v>
      </c>
      <c r="AL175" t="s">
        <v>43</v>
      </c>
      <c r="AN175" t="s">
        <v>44</v>
      </c>
      <c r="AO175">
        <v>59.778723070926397</v>
      </c>
      <c r="AP175" t="s">
        <v>45</v>
      </c>
    </row>
    <row r="176" spans="1:42" x14ac:dyDescent="0.3">
      <c r="A176" t="s">
        <v>58</v>
      </c>
      <c r="B176" t="s">
        <v>59</v>
      </c>
      <c r="C176" t="s">
        <v>48</v>
      </c>
      <c r="D176" t="s">
        <v>49</v>
      </c>
      <c r="E176" t="s">
        <v>50</v>
      </c>
      <c r="F176">
        <v>173</v>
      </c>
      <c r="G176">
        <v>13</v>
      </c>
      <c r="H176">
        <v>8</v>
      </c>
      <c r="I176" t="s">
        <v>50</v>
      </c>
      <c r="J176">
        <v>1</v>
      </c>
      <c r="K176">
        <v>0.49559509998653001</v>
      </c>
      <c r="L176" t="s">
        <v>51</v>
      </c>
      <c r="M176">
        <v>8</v>
      </c>
      <c r="N176">
        <v>13</v>
      </c>
      <c r="O176">
        <v>173</v>
      </c>
      <c r="P176">
        <v>7</v>
      </c>
      <c r="Q176">
        <v>246.697763700038</v>
      </c>
      <c r="V176">
        <v>246.68792570004001</v>
      </c>
      <c r="W176">
        <v>246.697763700038</v>
      </c>
      <c r="X176">
        <v>247.19766580004901</v>
      </c>
      <c r="Y176">
        <v>247.19766580004901</v>
      </c>
      <c r="Z176">
        <v>247.19766580004901</v>
      </c>
      <c r="AA176">
        <v>247.701337800011</v>
      </c>
      <c r="AB176" t="s">
        <v>50</v>
      </c>
      <c r="AC176">
        <v>1</v>
      </c>
      <c r="AD176">
        <v>0.49559509998653001</v>
      </c>
      <c r="AE176" t="s">
        <v>51</v>
      </c>
      <c r="AI176">
        <v>1</v>
      </c>
      <c r="AJ176">
        <v>1</v>
      </c>
      <c r="AK176" t="s">
        <v>42</v>
      </c>
      <c r="AL176" t="s">
        <v>43</v>
      </c>
      <c r="AN176" t="s">
        <v>44</v>
      </c>
      <c r="AO176">
        <v>59.778723070926397</v>
      </c>
      <c r="AP176" t="s">
        <v>45</v>
      </c>
    </row>
    <row r="177" spans="1:42" x14ac:dyDescent="0.3">
      <c r="A177" t="s">
        <v>73</v>
      </c>
      <c r="B177" t="s">
        <v>59</v>
      </c>
      <c r="C177" t="s">
        <v>56</v>
      </c>
      <c r="D177" t="s">
        <v>49</v>
      </c>
      <c r="E177" t="s">
        <v>57</v>
      </c>
      <c r="F177">
        <v>174</v>
      </c>
      <c r="G177">
        <v>14</v>
      </c>
      <c r="H177">
        <v>8</v>
      </c>
      <c r="I177" t="s">
        <v>57</v>
      </c>
      <c r="J177">
        <v>1</v>
      </c>
      <c r="K177">
        <v>0.73553860001266003</v>
      </c>
      <c r="L177" t="s">
        <v>51</v>
      </c>
      <c r="M177">
        <v>8</v>
      </c>
      <c r="N177">
        <v>14</v>
      </c>
      <c r="O177">
        <v>174</v>
      </c>
      <c r="P177">
        <v>1</v>
      </c>
      <c r="Q177">
        <v>247.714796400046</v>
      </c>
      <c r="V177">
        <v>247.70385290001201</v>
      </c>
      <c r="W177">
        <v>247.714796400046</v>
      </c>
      <c r="X177">
        <v>248.21434860001301</v>
      </c>
      <c r="Y177">
        <v>248.21434860001301</v>
      </c>
      <c r="Z177">
        <v>248.21434860001301</v>
      </c>
      <c r="AA177">
        <v>248.95370340003799</v>
      </c>
      <c r="AB177" t="s">
        <v>57</v>
      </c>
      <c r="AC177">
        <v>1</v>
      </c>
      <c r="AD177">
        <v>0.73553860001266003</v>
      </c>
      <c r="AE177" t="s">
        <v>51</v>
      </c>
      <c r="AI177">
        <v>1</v>
      </c>
      <c r="AJ177">
        <v>1</v>
      </c>
      <c r="AK177" t="s">
        <v>42</v>
      </c>
      <c r="AL177" t="s">
        <v>43</v>
      </c>
      <c r="AN177" t="s">
        <v>44</v>
      </c>
      <c r="AO177">
        <v>59.778723070926397</v>
      </c>
      <c r="AP177" t="s">
        <v>45</v>
      </c>
    </row>
    <row r="178" spans="1:42" x14ac:dyDescent="0.3">
      <c r="A178" t="s">
        <v>60</v>
      </c>
      <c r="B178" t="s">
        <v>59</v>
      </c>
      <c r="C178" t="s">
        <v>61</v>
      </c>
      <c r="D178" t="s">
        <v>62</v>
      </c>
      <c r="E178" t="s">
        <v>63</v>
      </c>
      <c r="F178">
        <v>175</v>
      </c>
      <c r="G178">
        <v>15</v>
      </c>
      <c r="H178">
        <v>8</v>
      </c>
      <c r="I178" t="s">
        <v>63</v>
      </c>
      <c r="J178">
        <v>1</v>
      </c>
      <c r="K178">
        <v>0.92181259999051601</v>
      </c>
      <c r="L178" t="s">
        <v>51</v>
      </c>
      <c r="M178">
        <v>8</v>
      </c>
      <c r="N178">
        <v>15</v>
      </c>
      <c r="O178">
        <v>175</v>
      </c>
      <c r="P178">
        <v>0</v>
      </c>
      <c r="Q178">
        <v>248.96500240004301</v>
      </c>
      <c r="V178">
        <v>248.95739350002199</v>
      </c>
      <c r="W178">
        <v>248.96500240004301</v>
      </c>
      <c r="X178">
        <v>249.46435220004</v>
      </c>
      <c r="Y178">
        <v>249.46435220004</v>
      </c>
      <c r="Z178">
        <v>249.46435220004</v>
      </c>
      <c r="AA178">
        <v>250.40165840002001</v>
      </c>
      <c r="AB178" t="s">
        <v>63</v>
      </c>
      <c r="AC178">
        <v>1</v>
      </c>
      <c r="AD178">
        <v>0.92181259999051601</v>
      </c>
      <c r="AE178" t="s">
        <v>51</v>
      </c>
      <c r="AI178">
        <v>1</v>
      </c>
      <c r="AJ178">
        <v>1</v>
      </c>
      <c r="AK178" t="s">
        <v>42</v>
      </c>
      <c r="AL178" t="s">
        <v>43</v>
      </c>
      <c r="AN178" t="s">
        <v>44</v>
      </c>
      <c r="AO178">
        <v>59.778723070926397</v>
      </c>
      <c r="AP178" t="s">
        <v>45</v>
      </c>
    </row>
    <row r="179" spans="1:42" x14ac:dyDescent="0.3">
      <c r="A179" t="s">
        <v>65</v>
      </c>
      <c r="B179" t="s">
        <v>59</v>
      </c>
      <c r="C179" t="s">
        <v>56</v>
      </c>
      <c r="D179" t="s">
        <v>49</v>
      </c>
      <c r="E179" t="s">
        <v>57</v>
      </c>
      <c r="F179">
        <v>176</v>
      </c>
      <c r="G179">
        <v>16</v>
      </c>
      <c r="H179">
        <v>8</v>
      </c>
      <c r="I179" t="s">
        <v>57</v>
      </c>
      <c r="J179">
        <v>1</v>
      </c>
      <c r="K179">
        <v>1.8997065000003199</v>
      </c>
      <c r="L179" t="s">
        <v>51</v>
      </c>
      <c r="M179">
        <v>8</v>
      </c>
      <c r="N179">
        <v>16</v>
      </c>
      <c r="O179">
        <v>176</v>
      </c>
      <c r="P179">
        <v>9</v>
      </c>
      <c r="Q179">
        <v>250.41460860002499</v>
      </c>
      <c r="V179">
        <v>250.404773500049</v>
      </c>
      <c r="W179">
        <v>250.41460860002499</v>
      </c>
      <c r="X179">
        <v>250.914708000025</v>
      </c>
      <c r="Y179">
        <v>250.914708000025</v>
      </c>
      <c r="Z179">
        <v>250.914708000025</v>
      </c>
      <c r="AA179">
        <v>252.81844040000499</v>
      </c>
      <c r="AB179" t="s">
        <v>57</v>
      </c>
      <c r="AC179">
        <v>1</v>
      </c>
      <c r="AD179">
        <v>1.8997065000003199</v>
      </c>
      <c r="AE179" t="s">
        <v>51</v>
      </c>
      <c r="AI179">
        <v>1</v>
      </c>
      <c r="AJ179">
        <v>1</v>
      </c>
      <c r="AK179" t="s">
        <v>42</v>
      </c>
      <c r="AL179" t="s">
        <v>43</v>
      </c>
      <c r="AN179" t="s">
        <v>44</v>
      </c>
      <c r="AO179">
        <v>59.778723070926397</v>
      </c>
      <c r="AP179" t="s">
        <v>45</v>
      </c>
    </row>
    <row r="180" spans="1:42" x14ac:dyDescent="0.3">
      <c r="A180" t="s">
        <v>77</v>
      </c>
      <c r="B180" t="s">
        <v>59</v>
      </c>
      <c r="C180" t="s">
        <v>61</v>
      </c>
      <c r="D180" t="s">
        <v>62</v>
      </c>
      <c r="E180" t="s">
        <v>63</v>
      </c>
      <c r="F180">
        <v>177</v>
      </c>
      <c r="G180">
        <v>17</v>
      </c>
      <c r="H180">
        <v>8</v>
      </c>
      <c r="I180" t="s">
        <v>63</v>
      </c>
      <c r="J180">
        <v>1</v>
      </c>
      <c r="K180">
        <v>0.63319629995385096</v>
      </c>
      <c r="L180" t="s">
        <v>51</v>
      </c>
      <c r="M180">
        <v>8</v>
      </c>
      <c r="N180">
        <v>17</v>
      </c>
      <c r="O180">
        <v>177</v>
      </c>
      <c r="P180">
        <v>4</v>
      </c>
      <c r="Q180">
        <v>252.83087300002799</v>
      </c>
      <c r="V180">
        <v>252.82116130000199</v>
      </c>
      <c r="W180">
        <v>252.83087300002799</v>
      </c>
      <c r="X180">
        <v>253.33123549999399</v>
      </c>
      <c r="Y180">
        <v>253.33123549999399</v>
      </c>
      <c r="Z180">
        <v>253.33123549999399</v>
      </c>
      <c r="AA180">
        <v>253.96832710003901</v>
      </c>
      <c r="AB180" t="s">
        <v>63</v>
      </c>
      <c r="AC180">
        <v>1</v>
      </c>
      <c r="AD180">
        <v>0.63319629995385096</v>
      </c>
      <c r="AE180" t="s">
        <v>51</v>
      </c>
      <c r="AI180">
        <v>1</v>
      </c>
      <c r="AJ180">
        <v>1</v>
      </c>
      <c r="AK180" t="s">
        <v>42</v>
      </c>
      <c r="AL180" t="s">
        <v>43</v>
      </c>
      <c r="AN180" t="s">
        <v>44</v>
      </c>
      <c r="AO180">
        <v>59.778723070926397</v>
      </c>
      <c r="AP180" t="s">
        <v>45</v>
      </c>
    </row>
    <row r="181" spans="1:42" x14ac:dyDescent="0.3">
      <c r="A181" t="s">
        <v>55</v>
      </c>
      <c r="B181" t="s">
        <v>47</v>
      </c>
      <c r="C181" t="s">
        <v>56</v>
      </c>
      <c r="D181" t="s">
        <v>49</v>
      </c>
      <c r="E181" t="s">
        <v>57</v>
      </c>
      <c r="F181">
        <v>178</v>
      </c>
      <c r="G181">
        <v>18</v>
      </c>
      <c r="H181">
        <v>8</v>
      </c>
      <c r="I181" t="s">
        <v>57</v>
      </c>
      <c r="J181">
        <v>1</v>
      </c>
      <c r="K181">
        <v>0.92135630000848301</v>
      </c>
      <c r="L181" t="s">
        <v>51</v>
      </c>
      <c r="M181">
        <v>8</v>
      </c>
      <c r="N181">
        <v>18</v>
      </c>
      <c r="O181">
        <v>178</v>
      </c>
      <c r="P181">
        <v>13</v>
      </c>
      <c r="Q181">
        <v>253.98101300001099</v>
      </c>
      <c r="V181">
        <v>253.97095350001399</v>
      </c>
      <c r="W181">
        <v>253.98101300001099</v>
      </c>
      <c r="X181">
        <v>254.480599900009</v>
      </c>
      <c r="Y181">
        <v>254.480599900009</v>
      </c>
      <c r="Z181">
        <v>254.480599900009</v>
      </c>
      <c r="AA181">
        <v>255.41798040002999</v>
      </c>
      <c r="AB181" t="s">
        <v>57</v>
      </c>
      <c r="AC181">
        <v>1</v>
      </c>
      <c r="AD181">
        <v>0.92135630000848301</v>
      </c>
      <c r="AE181" t="s">
        <v>51</v>
      </c>
      <c r="AI181">
        <v>1</v>
      </c>
      <c r="AJ181">
        <v>1</v>
      </c>
      <c r="AK181" t="s">
        <v>42</v>
      </c>
      <c r="AL181" t="s">
        <v>43</v>
      </c>
      <c r="AN181" t="s">
        <v>44</v>
      </c>
      <c r="AO181">
        <v>59.778723070926397</v>
      </c>
      <c r="AP181" t="s">
        <v>45</v>
      </c>
    </row>
    <row r="182" spans="1:42" x14ac:dyDescent="0.3">
      <c r="A182" t="s">
        <v>46</v>
      </c>
      <c r="B182" t="s">
        <v>47</v>
      </c>
      <c r="C182" t="s">
        <v>48</v>
      </c>
      <c r="D182" t="s">
        <v>49</v>
      </c>
      <c r="E182" t="s">
        <v>50</v>
      </c>
      <c r="F182">
        <v>179</v>
      </c>
      <c r="G182">
        <v>19</v>
      </c>
      <c r="H182">
        <v>8</v>
      </c>
      <c r="I182" t="s">
        <v>50</v>
      </c>
      <c r="J182">
        <v>1</v>
      </c>
      <c r="K182">
        <v>0.95064960001036503</v>
      </c>
      <c r="L182" t="s">
        <v>51</v>
      </c>
      <c r="M182">
        <v>8</v>
      </c>
      <c r="N182">
        <v>19</v>
      </c>
      <c r="O182">
        <v>179</v>
      </c>
      <c r="P182">
        <v>19</v>
      </c>
      <c r="Q182">
        <v>255.43062669999199</v>
      </c>
      <c r="V182">
        <v>255.42123170004899</v>
      </c>
      <c r="W182">
        <v>255.43062669999199</v>
      </c>
      <c r="X182">
        <v>255.93045440001799</v>
      </c>
      <c r="Y182">
        <v>255.93045440001799</v>
      </c>
      <c r="Z182">
        <v>255.93045440001799</v>
      </c>
      <c r="AA182">
        <v>256.88458110002102</v>
      </c>
      <c r="AB182" t="s">
        <v>50</v>
      </c>
      <c r="AC182">
        <v>1</v>
      </c>
      <c r="AD182">
        <v>0.95064960001036503</v>
      </c>
      <c r="AE182" t="s">
        <v>51</v>
      </c>
      <c r="AI182">
        <v>1</v>
      </c>
      <c r="AJ182">
        <v>1</v>
      </c>
      <c r="AK182" t="s">
        <v>42</v>
      </c>
      <c r="AL182" t="s">
        <v>43</v>
      </c>
      <c r="AN182" t="s">
        <v>44</v>
      </c>
      <c r="AO182">
        <v>59.778723070926397</v>
      </c>
      <c r="AP182" t="s">
        <v>45</v>
      </c>
    </row>
    <row r="183" spans="1:42" x14ac:dyDescent="0.3">
      <c r="A183" t="s">
        <v>76</v>
      </c>
      <c r="B183" t="s">
        <v>59</v>
      </c>
      <c r="C183" t="s">
        <v>48</v>
      </c>
      <c r="D183" t="s">
        <v>49</v>
      </c>
      <c r="E183" t="s">
        <v>50</v>
      </c>
      <c r="F183">
        <v>180</v>
      </c>
      <c r="G183">
        <v>0</v>
      </c>
      <c r="H183">
        <v>9</v>
      </c>
      <c r="I183" t="s">
        <v>50</v>
      </c>
      <c r="J183">
        <v>1</v>
      </c>
      <c r="K183">
        <v>0.51419239997630894</v>
      </c>
      <c r="L183" t="s">
        <v>51</v>
      </c>
      <c r="M183">
        <v>9</v>
      </c>
      <c r="N183">
        <v>0</v>
      </c>
      <c r="O183">
        <v>180</v>
      </c>
      <c r="P183">
        <v>3</v>
      </c>
      <c r="Q183">
        <v>256.89753630000598</v>
      </c>
      <c r="V183">
        <v>256.88862060004601</v>
      </c>
      <c r="W183">
        <v>256.89753630000598</v>
      </c>
      <c r="X183">
        <v>257.39773430000002</v>
      </c>
      <c r="Y183">
        <v>257.39773430000002</v>
      </c>
      <c r="Z183">
        <v>257.39773430000002</v>
      </c>
      <c r="AA183">
        <v>257.91774320002799</v>
      </c>
      <c r="AB183" t="s">
        <v>50</v>
      </c>
      <c r="AC183">
        <v>1</v>
      </c>
      <c r="AD183">
        <v>0.51419239997630894</v>
      </c>
      <c r="AE183" t="s">
        <v>51</v>
      </c>
      <c r="AI183">
        <v>1</v>
      </c>
      <c r="AJ183">
        <v>1</v>
      </c>
      <c r="AK183" t="s">
        <v>42</v>
      </c>
      <c r="AL183" t="s">
        <v>43</v>
      </c>
      <c r="AN183" t="s">
        <v>44</v>
      </c>
      <c r="AO183">
        <v>59.778723070926397</v>
      </c>
      <c r="AP183" t="s">
        <v>45</v>
      </c>
    </row>
    <row r="184" spans="1:42" x14ac:dyDescent="0.3">
      <c r="A184" t="s">
        <v>71</v>
      </c>
      <c r="B184" t="s">
        <v>47</v>
      </c>
      <c r="C184" t="s">
        <v>48</v>
      </c>
      <c r="D184" t="s">
        <v>49</v>
      </c>
      <c r="E184" t="s">
        <v>50</v>
      </c>
      <c r="F184">
        <v>181</v>
      </c>
      <c r="G184">
        <v>1</v>
      </c>
      <c r="H184">
        <v>9</v>
      </c>
      <c r="I184" t="s">
        <v>50</v>
      </c>
      <c r="J184">
        <v>1</v>
      </c>
      <c r="K184">
        <v>0.42722730000969</v>
      </c>
      <c r="L184" t="s">
        <v>51</v>
      </c>
      <c r="M184">
        <v>9</v>
      </c>
      <c r="N184">
        <v>1</v>
      </c>
      <c r="O184">
        <v>181</v>
      </c>
      <c r="P184">
        <v>15</v>
      </c>
      <c r="Q184">
        <v>257.93106020003302</v>
      </c>
      <c r="V184">
        <v>257.92054230003799</v>
      </c>
      <c r="W184">
        <v>257.93106020003302</v>
      </c>
      <c r="X184">
        <v>258.43076050002099</v>
      </c>
      <c r="Y184">
        <v>258.43076050002099</v>
      </c>
      <c r="Z184">
        <v>258.43076050002099</v>
      </c>
      <c r="AA184">
        <v>258.86787680000998</v>
      </c>
      <c r="AB184" t="s">
        <v>50</v>
      </c>
      <c r="AC184">
        <v>1</v>
      </c>
      <c r="AD184">
        <v>0.42722730000969</v>
      </c>
      <c r="AE184" t="s">
        <v>51</v>
      </c>
      <c r="AI184">
        <v>1</v>
      </c>
      <c r="AJ184">
        <v>1</v>
      </c>
      <c r="AK184" t="s">
        <v>42</v>
      </c>
      <c r="AL184" t="s">
        <v>43</v>
      </c>
      <c r="AN184" t="s">
        <v>44</v>
      </c>
      <c r="AO184">
        <v>59.778723070926397</v>
      </c>
      <c r="AP184" t="s">
        <v>45</v>
      </c>
    </row>
    <row r="185" spans="1:42" x14ac:dyDescent="0.3">
      <c r="A185" t="s">
        <v>66</v>
      </c>
      <c r="B185" t="s">
        <v>47</v>
      </c>
      <c r="C185" t="s">
        <v>61</v>
      </c>
      <c r="D185" t="s">
        <v>49</v>
      </c>
      <c r="E185" t="s">
        <v>63</v>
      </c>
      <c r="F185">
        <v>182</v>
      </c>
      <c r="G185">
        <v>2</v>
      </c>
      <c r="H185">
        <v>9</v>
      </c>
      <c r="I185" t="s">
        <v>63</v>
      </c>
      <c r="J185">
        <v>1</v>
      </c>
      <c r="K185">
        <v>0.52126080001471498</v>
      </c>
      <c r="L185" t="s">
        <v>51</v>
      </c>
      <c r="M185">
        <v>9</v>
      </c>
      <c r="N185">
        <v>2</v>
      </c>
      <c r="O185">
        <v>182</v>
      </c>
      <c r="P185">
        <v>12</v>
      </c>
      <c r="Q185">
        <v>258.88043620000798</v>
      </c>
      <c r="V185">
        <v>258.87100189999899</v>
      </c>
      <c r="W185">
        <v>258.88043620000798</v>
      </c>
      <c r="X185">
        <v>259.38051819999203</v>
      </c>
      <c r="Y185">
        <v>259.38051819999203</v>
      </c>
      <c r="Z185">
        <v>259.38051819999203</v>
      </c>
      <c r="AA185">
        <v>259.91793140000601</v>
      </c>
      <c r="AB185" t="s">
        <v>63</v>
      </c>
      <c r="AC185">
        <v>1</v>
      </c>
      <c r="AD185">
        <v>0.52126080001471498</v>
      </c>
      <c r="AE185" t="s">
        <v>51</v>
      </c>
      <c r="AI185">
        <v>1</v>
      </c>
      <c r="AJ185">
        <v>1</v>
      </c>
      <c r="AK185" t="s">
        <v>42</v>
      </c>
      <c r="AL185" t="s">
        <v>43</v>
      </c>
      <c r="AN185" t="s">
        <v>44</v>
      </c>
      <c r="AO185">
        <v>59.778723070926397</v>
      </c>
      <c r="AP185" t="s">
        <v>45</v>
      </c>
    </row>
    <row r="186" spans="1:42" x14ac:dyDescent="0.3">
      <c r="A186" t="s">
        <v>55</v>
      </c>
      <c r="B186" t="s">
        <v>47</v>
      </c>
      <c r="C186" t="s">
        <v>56</v>
      </c>
      <c r="D186" t="s">
        <v>49</v>
      </c>
      <c r="E186" t="s">
        <v>57</v>
      </c>
      <c r="F186">
        <v>183</v>
      </c>
      <c r="G186">
        <v>3</v>
      </c>
      <c r="H186">
        <v>9</v>
      </c>
      <c r="I186" t="s">
        <v>57</v>
      </c>
      <c r="J186">
        <v>1</v>
      </c>
      <c r="K186">
        <v>0.58994480001274496</v>
      </c>
      <c r="L186" t="s">
        <v>51</v>
      </c>
      <c r="M186">
        <v>9</v>
      </c>
      <c r="N186">
        <v>3</v>
      </c>
      <c r="O186">
        <v>183</v>
      </c>
      <c r="P186">
        <v>13</v>
      </c>
      <c r="Q186">
        <v>259.93070300004899</v>
      </c>
      <c r="V186">
        <v>259.92090800002899</v>
      </c>
      <c r="W186">
        <v>259.93070300004899</v>
      </c>
      <c r="X186">
        <v>260.43093160004298</v>
      </c>
      <c r="Y186">
        <v>260.43093160004298</v>
      </c>
      <c r="Z186">
        <v>260.43093160004298</v>
      </c>
      <c r="AA186">
        <v>261.034968800027</v>
      </c>
      <c r="AB186" t="s">
        <v>57</v>
      </c>
      <c r="AC186">
        <v>1</v>
      </c>
      <c r="AD186">
        <v>0.58994480001274496</v>
      </c>
      <c r="AE186" t="s">
        <v>51</v>
      </c>
      <c r="AI186">
        <v>1</v>
      </c>
      <c r="AJ186">
        <v>1</v>
      </c>
      <c r="AK186" t="s">
        <v>42</v>
      </c>
      <c r="AL186" t="s">
        <v>43</v>
      </c>
      <c r="AN186" t="s">
        <v>44</v>
      </c>
      <c r="AO186">
        <v>59.778723070926397</v>
      </c>
      <c r="AP186" t="s">
        <v>45</v>
      </c>
    </row>
    <row r="187" spans="1:42" x14ac:dyDescent="0.3">
      <c r="A187" t="s">
        <v>46</v>
      </c>
      <c r="B187" t="s">
        <v>47</v>
      </c>
      <c r="C187" t="s">
        <v>48</v>
      </c>
      <c r="D187" t="s">
        <v>49</v>
      </c>
      <c r="E187" t="s">
        <v>50</v>
      </c>
      <c r="F187">
        <v>184</v>
      </c>
      <c r="G187">
        <v>4</v>
      </c>
      <c r="H187">
        <v>9</v>
      </c>
      <c r="I187" t="s">
        <v>50</v>
      </c>
      <c r="J187">
        <v>1</v>
      </c>
      <c r="K187">
        <v>0.80058010003995095</v>
      </c>
      <c r="L187" t="s">
        <v>51</v>
      </c>
      <c r="M187">
        <v>9</v>
      </c>
      <c r="N187">
        <v>4</v>
      </c>
      <c r="O187">
        <v>184</v>
      </c>
      <c r="P187">
        <v>19</v>
      </c>
      <c r="Q187">
        <v>261.04668440000302</v>
      </c>
      <c r="V187">
        <v>261.03806849999802</v>
      </c>
      <c r="W187">
        <v>261.04668440000302</v>
      </c>
      <c r="X187">
        <v>261.54731960000902</v>
      </c>
      <c r="Y187">
        <v>261.54731960000902</v>
      </c>
      <c r="Z187">
        <v>261.54731960000902</v>
      </c>
      <c r="AA187">
        <v>262.35068220004899</v>
      </c>
      <c r="AB187" t="s">
        <v>50</v>
      </c>
      <c r="AC187">
        <v>1</v>
      </c>
      <c r="AD187">
        <v>0.80058010003995095</v>
      </c>
      <c r="AE187" t="s">
        <v>51</v>
      </c>
      <c r="AI187">
        <v>1</v>
      </c>
      <c r="AJ187">
        <v>1</v>
      </c>
      <c r="AK187" t="s">
        <v>42</v>
      </c>
      <c r="AL187" t="s">
        <v>43</v>
      </c>
      <c r="AN187" t="s">
        <v>44</v>
      </c>
      <c r="AO187">
        <v>59.778723070926397</v>
      </c>
      <c r="AP187" t="s">
        <v>45</v>
      </c>
    </row>
    <row r="188" spans="1:42" x14ac:dyDescent="0.3">
      <c r="A188" t="s">
        <v>70</v>
      </c>
      <c r="B188" t="s">
        <v>59</v>
      </c>
      <c r="C188" t="s">
        <v>53</v>
      </c>
      <c r="D188" t="s">
        <v>49</v>
      </c>
      <c r="E188" t="s">
        <v>54</v>
      </c>
      <c r="F188">
        <v>185</v>
      </c>
      <c r="G188">
        <v>5</v>
      </c>
      <c r="H188">
        <v>9</v>
      </c>
      <c r="I188" t="s">
        <v>54</v>
      </c>
      <c r="J188">
        <v>1</v>
      </c>
      <c r="K188">
        <v>0.94141730002593205</v>
      </c>
      <c r="L188" t="s">
        <v>51</v>
      </c>
      <c r="M188">
        <v>9</v>
      </c>
      <c r="N188">
        <v>5</v>
      </c>
      <c r="O188">
        <v>185</v>
      </c>
      <c r="P188">
        <v>2</v>
      </c>
      <c r="Q188">
        <v>262.36420539999301</v>
      </c>
      <c r="V188">
        <v>262.35355749999798</v>
      </c>
      <c r="W188">
        <v>262.36420539999301</v>
      </c>
      <c r="X188">
        <v>262.863928600039</v>
      </c>
      <c r="Y188">
        <v>262.863928600039</v>
      </c>
      <c r="Z188">
        <v>262.863928600039</v>
      </c>
      <c r="AA188">
        <v>263.81797040003499</v>
      </c>
      <c r="AB188" t="s">
        <v>54</v>
      </c>
      <c r="AC188">
        <v>1</v>
      </c>
      <c r="AD188">
        <v>0.94141730002593205</v>
      </c>
      <c r="AE188" t="s">
        <v>51</v>
      </c>
      <c r="AI188">
        <v>1</v>
      </c>
      <c r="AJ188">
        <v>1</v>
      </c>
      <c r="AK188" t="s">
        <v>42</v>
      </c>
      <c r="AL188" t="s">
        <v>43</v>
      </c>
      <c r="AN188" t="s">
        <v>44</v>
      </c>
      <c r="AO188">
        <v>59.778723070926397</v>
      </c>
      <c r="AP188" t="s">
        <v>45</v>
      </c>
    </row>
    <row r="189" spans="1:42" x14ac:dyDescent="0.3">
      <c r="A189" t="s">
        <v>65</v>
      </c>
      <c r="B189" t="s">
        <v>59</v>
      </c>
      <c r="C189" t="s">
        <v>56</v>
      </c>
      <c r="D189" t="s">
        <v>49</v>
      </c>
      <c r="E189" t="s">
        <v>57</v>
      </c>
      <c r="F189">
        <v>186</v>
      </c>
      <c r="G189">
        <v>6</v>
      </c>
      <c r="H189">
        <v>9</v>
      </c>
      <c r="I189" t="s">
        <v>57</v>
      </c>
      <c r="J189">
        <v>1</v>
      </c>
      <c r="K189">
        <v>0.67127170000458103</v>
      </c>
      <c r="L189" t="s">
        <v>51</v>
      </c>
      <c r="M189">
        <v>9</v>
      </c>
      <c r="N189">
        <v>6</v>
      </c>
      <c r="O189">
        <v>186</v>
      </c>
      <c r="P189">
        <v>9</v>
      </c>
      <c r="Q189">
        <v>263.83154199999899</v>
      </c>
      <c r="V189">
        <v>263.82135400001403</v>
      </c>
      <c r="W189">
        <v>263.83154199999899</v>
      </c>
      <c r="X189">
        <v>264.33096490002902</v>
      </c>
      <c r="Y189">
        <v>264.33096490002902</v>
      </c>
      <c r="Z189">
        <v>264.33096490002902</v>
      </c>
      <c r="AA189">
        <v>265.01728690002301</v>
      </c>
      <c r="AB189" t="s">
        <v>57</v>
      </c>
      <c r="AC189">
        <v>1</v>
      </c>
      <c r="AD189">
        <v>0.67127170000458103</v>
      </c>
      <c r="AE189" t="s">
        <v>51</v>
      </c>
      <c r="AI189">
        <v>1</v>
      </c>
      <c r="AJ189">
        <v>1</v>
      </c>
      <c r="AK189" t="s">
        <v>42</v>
      </c>
      <c r="AL189" t="s">
        <v>43</v>
      </c>
      <c r="AN189" t="s">
        <v>44</v>
      </c>
      <c r="AO189">
        <v>59.778723070926397</v>
      </c>
      <c r="AP189" t="s">
        <v>45</v>
      </c>
    </row>
    <row r="190" spans="1:42" x14ac:dyDescent="0.3">
      <c r="A190" t="s">
        <v>69</v>
      </c>
      <c r="B190" t="s">
        <v>59</v>
      </c>
      <c r="C190" t="s">
        <v>56</v>
      </c>
      <c r="D190" t="s">
        <v>49</v>
      </c>
      <c r="E190" t="s">
        <v>57</v>
      </c>
      <c r="F190">
        <v>187</v>
      </c>
      <c r="G190">
        <v>7</v>
      </c>
      <c r="H190">
        <v>9</v>
      </c>
      <c r="I190" t="s">
        <v>57</v>
      </c>
      <c r="J190">
        <v>1</v>
      </c>
      <c r="K190">
        <v>0.42452920001232902</v>
      </c>
      <c r="L190" t="s">
        <v>51</v>
      </c>
      <c r="M190">
        <v>9</v>
      </c>
      <c r="N190">
        <v>7</v>
      </c>
      <c r="O190">
        <v>187</v>
      </c>
      <c r="P190">
        <v>5</v>
      </c>
      <c r="Q190">
        <v>265.030492299993</v>
      </c>
      <c r="V190">
        <v>265.019926600041</v>
      </c>
      <c r="W190">
        <v>265.030492299993</v>
      </c>
      <c r="X190">
        <v>265.531030300015</v>
      </c>
      <c r="Y190">
        <v>265.531030300015</v>
      </c>
      <c r="Z190">
        <v>265.531030300015</v>
      </c>
      <c r="AA190">
        <v>265.96869980002498</v>
      </c>
      <c r="AB190" t="s">
        <v>57</v>
      </c>
      <c r="AC190">
        <v>1</v>
      </c>
      <c r="AD190">
        <v>0.42452920001232902</v>
      </c>
      <c r="AE190" t="s">
        <v>51</v>
      </c>
      <c r="AI190">
        <v>1</v>
      </c>
      <c r="AJ190">
        <v>1</v>
      </c>
      <c r="AK190" t="s">
        <v>42</v>
      </c>
      <c r="AL190" t="s">
        <v>43</v>
      </c>
      <c r="AN190" t="s">
        <v>44</v>
      </c>
      <c r="AO190">
        <v>59.778723070926397</v>
      </c>
      <c r="AP190" t="s">
        <v>45</v>
      </c>
    </row>
    <row r="191" spans="1:42" x14ac:dyDescent="0.3">
      <c r="A191" t="s">
        <v>74</v>
      </c>
      <c r="B191" t="s">
        <v>47</v>
      </c>
      <c r="C191" t="s">
        <v>48</v>
      </c>
      <c r="D191" t="s">
        <v>49</v>
      </c>
      <c r="E191" t="s">
        <v>50</v>
      </c>
      <c r="F191">
        <v>188</v>
      </c>
      <c r="G191">
        <v>8</v>
      </c>
      <c r="H191">
        <v>9</v>
      </c>
      <c r="I191" t="s">
        <v>50</v>
      </c>
      <c r="J191">
        <v>1</v>
      </c>
      <c r="K191">
        <v>0.96849729999667</v>
      </c>
      <c r="L191" t="s">
        <v>51</v>
      </c>
      <c r="M191">
        <v>9</v>
      </c>
      <c r="N191">
        <v>8</v>
      </c>
      <c r="O191">
        <v>188</v>
      </c>
      <c r="P191">
        <v>11</v>
      </c>
      <c r="Q191">
        <v>265.98056840000203</v>
      </c>
      <c r="V191">
        <v>265.972821400035</v>
      </c>
      <c r="W191">
        <v>265.98056840000203</v>
      </c>
      <c r="X191">
        <v>266.48001220001601</v>
      </c>
      <c r="Y191">
        <v>266.48001220001601</v>
      </c>
      <c r="Z191">
        <v>266.48001220001601</v>
      </c>
      <c r="AA191">
        <v>267.45137970003998</v>
      </c>
      <c r="AB191" t="s">
        <v>50</v>
      </c>
      <c r="AC191">
        <v>1</v>
      </c>
      <c r="AD191">
        <v>0.96849729999667</v>
      </c>
      <c r="AE191" t="s">
        <v>51</v>
      </c>
      <c r="AI191">
        <v>1</v>
      </c>
      <c r="AJ191">
        <v>1</v>
      </c>
      <c r="AK191" t="s">
        <v>42</v>
      </c>
      <c r="AL191" t="s">
        <v>43</v>
      </c>
      <c r="AN191" t="s">
        <v>44</v>
      </c>
      <c r="AO191">
        <v>59.778723070926397</v>
      </c>
      <c r="AP191" t="s">
        <v>45</v>
      </c>
    </row>
    <row r="192" spans="1:42" x14ac:dyDescent="0.3">
      <c r="A192" t="s">
        <v>73</v>
      </c>
      <c r="B192" t="s">
        <v>59</v>
      </c>
      <c r="C192" t="s">
        <v>56</v>
      </c>
      <c r="D192" t="s">
        <v>49</v>
      </c>
      <c r="E192" t="s">
        <v>57</v>
      </c>
      <c r="F192">
        <v>189</v>
      </c>
      <c r="G192">
        <v>9</v>
      </c>
      <c r="H192">
        <v>9</v>
      </c>
      <c r="I192" t="s">
        <v>57</v>
      </c>
      <c r="J192">
        <v>1</v>
      </c>
      <c r="K192">
        <v>0.775515400047879</v>
      </c>
      <c r="L192" t="s">
        <v>51</v>
      </c>
      <c r="M192">
        <v>9</v>
      </c>
      <c r="N192">
        <v>9</v>
      </c>
      <c r="O192">
        <v>189</v>
      </c>
      <c r="P192">
        <v>1</v>
      </c>
      <c r="Q192">
        <v>267.46371189999599</v>
      </c>
      <c r="V192">
        <v>267.453832600032</v>
      </c>
      <c r="W192">
        <v>267.46371189999599</v>
      </c>
      <c r="X192">
        <v>267.96342869999302</v>
      </c>
      <c r="Y192">
        <v>267.96342869999302</v>
      </c>
      <c r="Z192">
        <v>267.96342869999302</v>
      </c>
      <c r="AA192">
        <v>268.75038179999598</v>
      </c>
      <c r="AB192" t="s">
        <v>57</v>
      </c>
      <c r="AC192">
        <v>1</v>
      </c>
      <c r="AD192">
        <v>0.775515400047879</v>
      </c>
      <c r="AE192" t="s">
        <v>51</v>
      </c>
      <c r="AI192">
        <v>1</v>
      </c>
      <c r="AJ192">
        <v>1</v>
      </c>
      <c r="AK192" t="s">
        <v>42</v>
      </c>
      <c r="AL192" t="s">
        <v>43</v>
      </c>
      <c r="AN192" t="s">
        <v>44</v>
      </c>
      <c r="AO192">
        <v>59.778723070926397</v>
      </c>
      <c r="AP192" t="s">
        <v>45</v>
      </c>
    </row>
    <row r="193" spans="1:42" x14ac:dyDescent="0.3">
      <c r="A193" t="s">
        <v>78</v>
      </c>
      <c r="B193" t="s">
        <v>47</v>
      </c>
      <c r="C193" t="s">
        <v>56</v>
      </c>
      <c r="D193" t="s">
        <v>49</v>
      </c>
      <c r="E193" t="s">
        <v>57</v>
      </c>
      <c r="F193">
        <v>190</v>
      </c>
      <c r="G193">
        <v>10</v>
      </c>
      <c r="H193">
        <v>9</v>
      </c>
      <c r="I193" t="s">
        <v>57</v>
      </c>
      <c r="J193">
        <v>1</v>
      </c>
      <c r="K193">
        <v>1.1729950999724601</v>
      </c>
      <c r="L193" t="s">
        <v>51</v>
      </c>
      <c r="M193">
        <v>9</v>
      </c>
      <c r="N193">
        <v>10</v>
      </c>
      <c r="O193">
        <v>190</v>
      </c>
      <c r="P193">
        <v>17</v>
      </c>
      <c r="Q193">
        <v>268.76345210004303</v>
      </c>
      <c r="V193">
        <v>268.753201800049</v>
      </c>
      <c r="W193">
        <v>268.76345210004303</v>
      </c>
      <c r="X193">
        <v>269.26326870004402</v>
      </c>
      <c r="Y193">
        <v>269.26326870004402</v>
      </c>
      <c r="Z193">
        <v>269.26326870004402</v>
      </c>
      <c r="AA193">
        <v>270.45017339999299</v>
      </c>
      <c r="AB193" t="s">
        <v>57</v>
      </c>
      <c r="AC193">
        <v>1</v>
      </c>
      <c r="AD193">
        <v>1.1729950999724601</v>
      </c>
      <c r="AE193" t="s">
        <v>51</v>
      </c>
      <c r="AI193">
        <v>1</v>
      </c>
      <c r="AJ193">
        <v>1</v>
      </c>
      <c r="AK193" t="s">
        <v>42</v>
      </c>
      <c r="AL193" t="s">
        <v>43</v>
      </c>
      <c r="AN193" t="s">
        <v>44</v>
      </c>
      <c r="AO193">
        <v>59.778723070926397</v>
      </c>
      <c r="AP193" t="s">
        <v>45</v>
      </c>
    </row>
    <row r="194" spans="1:42" x14ac:dyDescent="0.3">
      <c r="A194" t="s">
        <v>68</v>
      </c>
      <c r="B194" t="s">
        <v>59</v>
      </c>
      <c r="C194" t="s">
        <v>53</v>
      </c>
      <c r="D194" t="s">
        <v>49</v>
      </c>
      <c r="E194" t="s">
        <v>54</v>
      </c>
      <c r="F194">
        <v>191</v>
      </c>
      <c r="G194">
        <v>11</v>
      </c>
      <c r="H194">
        <v>9</v>
      </c>
      <c r="I194" t="s">
        <v>54</v>
      </c>
      <c r="J194">
        <v>1</v>
      </c>
      <c r="K194">
        <v>0.75237409997498605</v>
      </c>
      <c r="L194" t="s">
        <v>51</v>
      </c>
      <c r="M194">
        <v>9</v>
      </c>
      <c r="N194">
        <v>11</v>
      </c>
      <c r="O194">
        <v>191</v>
      </c>
      <c r="P194">
        <v>6</v>
      </c>
      <c r="Q194">
        <v>270.46361790003698</v>
      </c>
      <c r="V194">
        <v>270.45363840000903</v>
      </c>
      <c r="W194">
        <v>270.46361790003698</v>
      </c>
      <c r="X194">
        <v>270.963392000005</v>
      </c>
      <c r="Y194">
        <v>270.963392000005</v>
      </c>
      <c r="Z194">
        <v>270.963392000005</v>
      </c>
      <c r="AA194">
        <v>271.717855199996</v>
      </c>
      <c r="AB194" t="s">
        <v>54</v>
      </c>
      <c r="AC194">
        <v>1</v>
      </c>
      <c r="AD194">
        <v>0.75237409997498605</v>
      </c>
      <c r="AE194" t="s">
        <v>51</v>
      </c>
      <c r="AI194">
        <v>1</v>
      </c>
      <c r="AJ194">
        <v>1</v>
      </c>
      <c r="AK194" t="s">
        <v>42</v>
      </c>
      <c r="AL194" t="s">
        <v>43</v>
      </c>
      <c r="AN194" t="s">
        <v>44</v>
      </c>
      <c r="AO194">
        <v>59.778723070926397</v>
      </c>
      <c r="AP194" t="s">
        <v>45</v>
      </c>
    </row>
    <row r="195" spans="1:42" x14ac:dyDescent="0.3">
      <c r="A195" t="s">
        <v>77</v>
      </c>
      <c r="B195" t="s">
        <v>59</v>
      </c>
      <c r="C195" t="s">
        <v>61</v>
      </c>
      <c r="D195" t="s">
        <v>62</v>
      </c>
      <c r="E195" t="s">
        <v>63</v>
      </c>
      <c r="F195">
        <v>192</v>
      </c>
      <c r="G195">
        <v>12</v>
      </c>
      <c r="H195">
        <v>9</v>
      </c>
      <c r="I195" t="s">
        <v>63</v>
      </c>
      <c r="J195">
        <v>1</v>
      </c>
      <c r="K195">
        <v>0.55930109997279898</v>
      </c>
      <c r="L195" t="s">
        <v>51</v>
      </c>
      <c r="M195">
        <v>9</v>
      </c>
      <c r="N195">
        <v>12</v>
      </c>
      <c r="O195">
        <v>192</v>
      </c>
      <c r="P195">
        <v>4</v>
      </c>
      <c r="Q195">
        <v>271.730534700036</v>
      </c>
      <c r="V195">
        <v>271.72084770002402</v>
      </c>
      <c r="W195">
        <v>271.730534700036</v>
      </c>
      <c r="X195">
        <v>272.23057770001401</v>
      </c>
      <c r="Y195">
        <v>272.23057770001401</v>
      </c>
      <c r="Z195">
        <v>272.23057770001401</v>
      </c>
      <c r="AA195">
        <v>272.798360400018</v>
      </c>
      <c r="AB195" t="s">
        <v>63</v>
      </c>
      <c r="AC195">
        <v>1</v>
      </c>
      <c r="AD195">
        <v>0.55930109997279898</v>
      </c>
      <c r="AE195" t="s">
        <v>51</v>
      </c>
      <c r="AI195">
        <v>1</v>
      </c>
      <c r="AJ195">
        <v>1</v>
      </c>
      <c r="AK195" t="s">
        <v>42</v>
      </c>
      <c r="AL195" t="s">
        <v>43</v>
      </c>
      <c r="AN195" t="s">
        <v>44</v>
      </c>
      <c r="AO195">
        <v>59.778723070926397</v>
      </c>
      <c r="AP195" t="s">
        <v>45</v>
      </c>
    </row>
    <row r="196" spans="1:42" x14ac:dyDescent="0.3">
      <c r="A196" t="s">
        <v>67</v>
      </c>
      <c r="B196" t="s">
        <v>47</v>
      </c>
      <c r="C196" t="s">
        <v>53</v>
      </c>
      <c r="D196" t="s">
        <v>49</v>
      </c>
      <c r="E196" t="s">
        <v>54</v>
      </c>
      <c r="F196">
        <v>193</v>
      </c>
      <c r="G196">
        <v>13</v>
      </c>
      <c r="H196">
        <v>9</v>
      </c>
      <c r="I196" t="s">
        <v>54</v>
      </c>
      <c r="J196">
        <v>1</v>
      </c>
      <c r="K196">
        <v>0.85134450002806195</v>
      </c>
      <c r="L196" t="s">
        <v>51</v>
      </c>
      <c r="M196">
        <v>9</v>
      </c>
      <c r="N196">
        <v>13</v>
      </c>
      <c r="O196">
        <v>193</v>
      </c>
      <c r="P196">
        <v>10</v>
      </c>
      <c r="Q196">
        <v>272.81245560001099</v>
      </c>
      <c r="V196">
        <v>272.80116600001901</v>
      </c>
      <c r="W196">
        <v>272.81245560001099</v>
      </c>
      <c r="X196">
        <v>273.312266500026</v>
      </c>
      <c r="Y196">
        <v>273.312266500026</v>
      </c>
      <c r="Z196">
        <v>273.312266500026</v>
      </c>
      <c r="AA196">
        <v>274.167176100017</v>
      </c>
      <c r="AB196" t="s">
        <v>54</v>
      </c>
      <c r="AC196">
        <v>1</v>
      </c>
      <c r="AD196">
        <v>0.85134450002806195</v>
      </c>
      <c r="AE196" t="s">
        <v>51</v>
      </c>
      <c r="AI196">
        <v>1</v>
      </c>
      <c r="AJ196">
        <v>1</v>
      </c>
      <c r="AK196" t="s">
        <v>42</v>
      </c>
      <c r="AL196" t="s">
        <v>43</v>
      </c>
      <c r="AN196" t="s">
        <v>44</v>
      </c>
      <c r="AO196">
        <v>59.778723070926397</v>
      </c>
      <c r="AP196" t="s">
        <v>45</v>
      </c>
    </row>
    <row r="197" spans="1:42" x14ac:dyDescent="0.3">
      <c r="A197" t="s">
        <v>52</v>
      </c>
      <c r="B197" t="s">
        <v>47</v>
      </c>
      <c r="C197" t="s">
        <v>53</v>
      </c>
      <c r="D197" t="s">
        <v>49</v>
      </c>
      <c r="E197" t="s">
        <v>54</v>
      </c>
      <c r="F197">
        <v>194</v>
      </c>
      <c r="G197">
        <v>14</v>
      </c>
      <c r="H197">
        <v>9</v>
      </c>
      <c r="I197" t="s">
        <v>54</v>
      </c>
      <c r="J197">
        <v>1</v>
      </c>
      <c r="K197">
        <v>0.56718900002306305</v>
      </c>
      <c r="L197" t="s">
        <v>51</v>
      </c>
      <c r="M197">
        <v>9</v>
      </c>
      <c r="N197">
        <v>14</v>
      </c>
      <c r="O197">
        <v>194</v>
      </c>
      <c r="P197">
        <v>14</v>
      </c>
      <c r="Q197">
        <v>274.18012710002898</v>
      </c>
      <c r="V197">
        <v>274.17006200004801</v>
      </c>
      <c r="W197">
        <v>274.18012710002898</v>
      </c>
      <c r="X197">
        <v>274.68020530004202</v>
      </c>
      <c r="Y197">
        <v>274.68020530004202</v>
      </c>
      <c r="Z197">
        <v>274.68020530004202</v>
      </c>
      <c r="AA197">
        <v>275.24997180001799</v>
      </c>
      <c r="AB197" t="s">
        <v>54</v>
      </c>
      <c r="AC197">
        <v>1</v>
      </c>
      <c r="AD197">
        <v>0.56718900002306305</v>
      </c>
      <c r="AE197" t="s">
        <v>51</v>
      </c>
      <c r="AI197">
        <v>1</v>
      </c>
      <c r="AJ197">
        <v>1</v>
      </c>
      <c r="AK197" t="s">
        <v>42</v>
      </c>
      <c r="AL197" t="s">
        <v>43</v>
      </c>
      <c r="AN197" t="s">
        <v>44</v>
      </c>
      <c r="AO197">
        <v>59.778723070926397</v>
      </c>
      <c r="AP197" t="s">
        <v>45</v>
      </c>
    </row>
    <row r="198" spans="1:42" x14ac:dyDescent="0.3">
      <c r="A198" t="s">
        <v>72</v>
      </c>
      <c r="B198" t="s">
        <v>59</v>
      </c>
      <c r="C198" t="s">
        <v>61</v>
      </c>
      <c r="D198" t="s">
        <v>62</v>
      </c>
      <c r="E198" t="s">
        <v>63</v>
      </c>
      <c r="F198">
        <v>195</v>
      </c>
      <c r="G198">
        <v>15</v>
      </c>
      <c r="H198">
        <v>9</v>
      </c>
      <c r="I198" t="s">
        <v>63</v>
      </c>
      <c r="J198">
        <v>1</v>
      </c>
      <c r="K198">
        <v>1.46754839998902</v>
      </c>
      <c r="L198" t="s">
        <v>51</v>
      </c>
      <c r="M198">
        <v>9</v>
      </c>
      <c r="N198">
        <v>15</v>
      </c>
      <c r="O198">
        <v>195</v>
      </c>
      <c r="P198">
        <v>8</v>
      </c>
      <c r="Q198">
        <v>275.26344400004001</v>
      </c>
      <c r="V198">
        <v>275.25272610003498</v>
      </c>
      <c r="W198">
        <v>275.26344400004001</v>
      </c>
      <c r="X198">
        <v>275.76335600000999</v>
      </c>
      <c r="Y198">
        <v>275.76335600000999</v>
      </c>
      <c r="Z198">
        <v>275.76335600000999</v>
      </c>
      <c r="AA198">
        <v>277.23422460001802</v>
      </c>
      <c r="AB198" t="s">
        <v>63</v>
      </c>
      <c r="AC198">
        <v>1</v>
      </c>
      <c r="AD198">
        <v>1.46754839998902</v>
      </c>
      <c r="AE198" t="s">
        <v>51</v>
      </c>
      <c r="AI198">
        <v>1</v>
      </c>
      <c r="AJ198">
        <v>1</v>
      </c>
      <c r="AK198" t="s">
        <v>42</v>
      </c>
      <c r="AL198" t="s">
        <v>43</v>
      </c>
      <c r="AN198" t="s">
        <v>44</v>
      </c>
      <c r="AO198">
        <v>59.778723070926397</v>
      </c>
      <c r="AP198" t="s">
        <v>45</v>
      </c>
    </row>
    <row r="199" spans="1:42" x14ac:dyDescent="0.3">
      <c r="A199" t="s">
        <v>58</v>
      </c>
      <c r="B199" t="s">
        <v>59</v>
      </c>
      <c r="C199" t="s">
        <v>48</v>
      </c>
      <c r="D199" t="s">
        <v>49</v>
      </c>
      <c r="E199" t="s">
        <v>50</v>
      </c>
      <c r="F199">
        <v>196</v>
      </c>
      <c r="G199">
        <v>16</v>
      </c>
      <c r="H199">
        <v>9</v>
      </c>
      <c r="I199" t="s">
        <v>50</v>
      </c>
      <c r="J199">
        <v>1</v>
      </c>
      <c r="K199">
        <v>0.91120009997393903</v>
      </c>
      <c r="L199" t="s">
        <v>51</v>
      </c>
      <c r="M199">
        <v>9</v>
      </c>
      <c r="N199">
        <v>16</v>
      </c>
      <c r="O199">
        <v>196</v>
      </c>
      <c r="P199">
        <v>7</v>
      </c>
      <c r="Q199">
        <v>277.24654850002798</v>
      </c>
      <c r="V199">
        <v>277.23738659999799</v>
      </c>
      <c r="W199">
        <v>277.24654850002798</v>
      </c>
      <c r="X199">
        <v>277.74673660000502</v>
      </c>
      <c r="Y199">
        <v>277.74673660000502</v>
      </c>
      <c r="Z199">
        <v>277.74673660000502</v>
      </c>
      <c r="AA199">
        <v>278.66794170002601</v>
      </c>
      <c r="AB199" t="s">
        <v>50</v>
      </c>
      <c r="AC199">
        <v>1</v>
      </c>
      <c r="AD199">
        <v>0.91120009997393903</v>
      </c>
      <c r="AE199" t="s">
        <v>51</v>
      </c>
      <c r="AI199">
        <v>1</v>
      </c>
      <c r="AJ199">
        <v>1</v>
      </c>
      <c r="AK199" t="s">
        <v>42</v>
      </c>
      <c r="AL199" t="s">
        <v>43</v>
      </c>
      <c r="AN199" t="s">
        <v>44</v>
      </c>
      <c r="AO199">
        <v>59.778723070926397</v>
      </c>
      <c r="AP199" t="s">
        <v>45</v>
      </c>
    </row>
    <row r="200" spans="1:42" x14ac:dyDescent="0.3">
      <c r="A200" t="s">
        <v>75</v>
      </c>
      <c r="B200" t="s">
        <v>47</v>
      </c>
      <c r="C200" t="s">
        <v>61</v>
      </c>
      <c r="D200" t="s">
        <v>49</v>
      </c>
      <c r="E200" t="s">
        <v>63</v>
      </c>
      <c r="F200">
        <v>197</v>
      </c>
      <c r="G200">
        <v>17</v>
      </c>
      <c r="H200">
        <v>9</v>
      </c>
      <c r="I200" t="s">
        <v>54</v>
      </c>
      <c r="J200">
        <v>0</v>
      </c>
      <c r="K200">
        <v>0.87046750000445094</v>
      </c>
      <c r="L200" t="s">
        <v>51</v>
      </c>
      <c r="M200">
        <v>9</v>
      </c>
      <c r="N200">
        <v>17</v>
      </c>
      <c r="O200">
        <v>197</v>
      </c>
      <c r="P200">
        <v>16</v>
      </c>
      <c r="Q200">
        <v>278.67954959999702</v>
      </c>
      <c r="V200">
        <v>278.67210130003502</v>
      </c>
      <c r="W200">
        <v>278.67954959999702</v>
      </c>
      <c r="X200">
        <v>279.17978010000598</v>
      </c>
      <c r="Y200">
        <v>279.17978010000598</v>
      </c>
      <c r="Z200">
        <v>279.17978010000598</v>
      </c>
      <c r="AA200">
        <v>280.05067319999199</v>
      </c>
      <c r="AB200" t="s">
        <v>54</v>
      </c>
      <c r="AC200">
        <v>0</v>
      </c>
      <c r="AD200">
        <v>0.87046750000445094</v>
      </c>
      <c r="AE200" t="s">
        <v>51</v>
      </c>
      <c r="AI200">
        <v>1</v>
      </c>
      <c r="AJ200">
        <v>1</v>
      </c>
      <c r="AK200" t="s">
        <v>42</v>
      </c>
      <c r="AL200" t="s">
        <v>43</v>
      </c>
      <c r="AN200" t="s">
        <v>44</v>
      </c>
      <c r="AO200">
        <v>59.778723070926397</v>
      </c>
      <c r="AP200" t="s">
        <v>45</v>
      </c>
    </row>
    <row r="201" spans="1:42" x14ac:dyDescent="0.3">
      <c r="A201" t="s">
        <v>64</v>
      </c>
      <c r="B201" t="s">
        <v>47</v>
      </c>
      <c r="C201" t="s">
        <v>53</v>
      </c>
      <c r="D201" t="s">
        <v>49</v>
      </c>
      <c r="E201" t="s">
        <v>54</v>
      </c>
      <c r="F201">
        <v>198</v>
      </c>
      <c r="G201">
        <v>18</v>
      </c>
      <c r="H201">
        <v>9</v>
      </c>
      <c r="I201" t="s">
        <v>54</v>
      </c>
      <c r="J201">
        <v>1</v>
      </c>
      <c r="K201">
        <v>1.4712291000177999</v>
      </c>
      <c r="L201" t="s">
        <v>51</v>
      </c>
      <c r="M201">
        <v>9</v>
      </c>
      <c r="N201">
        <v>18</v>
      </c>
      <c r="O201">
        <v>198</v>
      </c>
      <c r="P201">
        <v>18</v>
      </c>
      <c r="Q201">
        <v>280.063513700035</v>
      </c>
      <c r="V201">
        <v>280.05388660001302</v>
      </c>
      <c r="W201">
        <v>280.063513700035</v>
      </c>
      <c r="X201">
        <v>280.56353560002702</v>
      </c>
      <c r="Y201">
        <v>280.56353560002702</v>
      </c>
      <c r="Z201">
        <v>280.56353560002702</v>
      </c>
      <c r="AA201">
        <v>282.05010029999499</v>
      </c>
      <c r="AB201" t="s">
        <v>54</v>
      </c>
      <c r="AC201">
        <v>1</v>
      </c>
      <c r="AD201">
        <v>1.4712291000177999</v>
      </c>
      <c r="AE201" t="s">
        <v>51</v>
      </c>
      <c r="AI201">
        <v>1</v>
      </c>
      <c r="AJ201">
        <v>1</v>
      </c>
      <c r="AK201" t="s">
        <v>42</v>
      </c>
      <c r="AL201" t="s">
        <v>43</v>
      </c>
      <c r="AN201" t="s">
        <v>44</v>
      </c>
      <c r="AO201">
        <v>59.778723070926397</v>
      </c>
      <c r="AP201" t="s">
        <v>45</v>
      </c>
    </row>
    <row r="202" spans="1:42" x14ac:dyDescent="0.3">
      <c r="A202" t="s">
        <v>60</v>
      </c>
      <c r="B202" t="s">
        <v>59</v>
      </c>
      <c r="C202" t="s">
        <v>61</v>
      </c>
      <c r="D202" t="s">
        <v>62</v>
      </c>
      <c r="E202" t="s">
        <v>63</v>
      </c>
      <c r="F202">
        <v>199</v>
      </c>
      <c r="G202">
        <v>19</v>
      </c>
      <c r="H202">
        <v>9</v>
      </c>
      <c r="I202" t="s">
        <v>63</v>
      </c>
      <c r="J202">
        <v>1</v>
      </c>
      <c r="K202">
        <v>0.95767589996103197</v>
      </c>
      <c r="L202" t="s">
        <v>51</v>
      </c>
      <c r="M202">
        <v>9</v>
      </c>
      <c r="N202">
        <v>19</v>
      </c>
      <c r="O202">
        <v>199</v>
      </c>
      <c r="P202">
        <v>0</v>
      </c>
      <c r="Q202">
        <v>282.06307510001301</v>
      </c>
      <c r="V202">
        <v>282.05255860002899</v>
      </c>
      <c r="W202">
        <v>282.06307510001301</v>
      </c>
      <c r="X202">
        <v>282.56325750000502</v>
      </c>
      <c r="Y202">
        <v>282.56325750000502</v>
      </c>
      <c r="Z202">
        <v>282.56325750000502</v>
      </c>
      <c r="AA202">
        <v>283.534257000021</v>
      </c>
      <c r="AB202" t="s">
        <v>63</v>
      </c>
      <c r="AC202">
        <v>1</v>
      </c>
      <c r="AD202">
        <v>0.95767589996103197</v>
      </c>
      <c r="AE202" t="s">
        <v>51</v>
      </c>
      <c r="AI202">
        <v>1</v>
      </c>
      <c r="AJ202">
        <v>1</v>
      </c>
      <c r="AK202" t="s">
        <v>42</v>
      </c>
      <c r="AL202" t="s">
        <v>43</v>
      </c>
      <c r="AN202" t="s">
        <v>44</v>
      </c>
      <c r="AO202">
        <v>59.778723070926397</v>
      </c>
      <c r="AP20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127A-7D89-46EE-9D10-53F9EF8CB1B7}">
  <dimension ref="A1:AQ203"/>
  <sheetViews>
    <sheetView workbookViewId="0">
      <selection sqref="A1:AQ203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79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3">
      <c r="S2">
        <v>1.3884300016797999E-2</v>
      </c>
      <c r="T2">
        <v>2.7891600038856199E-2</v>
      </c>
      <c r="U2">
        <v>2.01525200001196</v>
      </c>
      <c r="AJ2">
        <v>2</v>
      </c>
      <c r="AK2">
        <v>1</v>
      </c>
      <c r="AL2" t="s">
        <v>80</v>
      </c>
      <c r="AM2" t="s">
        <v>43</v>
      </c>
      <c r="AO2" t="s">
        <v>44</v>
      </c>
      <c r="AP2">
        <v>59.456390224006398</v>
      </c>
      <c r="AQ2" t="s">
        <v>81</v>
      </c>
    </row>
    <row r="3" spans="1:43" x14ac:dyDescent="0.3">
      <c r="A3" t="s">
        <v>77</v>
      </c>
      <c r="B3" t="s">
        <v>59</v>
      </c>
      <c r="C3" t="s">
        <v>61</v>
      </c>
      <c r="D3" t="s">
        <v>62</v>
      </c>
      <c r="E3" t="s">
        <v>63</v>
      </c>
      <c r="F3">
        <v>0</v>
      </c>
      <c r="G3">
        <v>0</v>
      </c>
      <c r="H3">
        <v>0</v>
      </c>
      <c r="I3" t="s">
        <v>63</v>
      </c>
      <c r="J3">
        <v>1</v>
      </c>
      <c r="K3">
        <v>1.52023399999598</v>
      </c>
      <c r="L3" t="s">
        <v>51</v>
      </c>
      <c r="M3">
        <v>0</v>
      </c>
      <c r="N3">
        <v>0</v>
      </c>
      <c r="O3">
        <v>0</v>
      </c>
      <c r="P3">
        <v>4</v>
      </c>
      <c r="Q3">
        <v>2.0614875000319399</v>
      </c>
      <c r="V3">
        <v>2.0403570000198599</v>
      </c>
      <c r="W3">
        <v>2.0614875000319399</v>
      </c>
      <c r="X3">
        <v>2.51141800003824</v>
      </c>
      <c r="Y3">
        <v>2.51141800003824</v>
      </c>
      <c r="Z3">
        <v>2.51141800003824</v>
      </c>
      <c r="AA3">
        <v>4.0522725000046096</v>
      </c>
      <c r="AB3" t="s">
        <v>63</v>
      </c>
      <c r="AC3">
        <v>1</v>
      </c>
      <c r="AD3">
        <v>1.52023399999598</v>
      </c>
      <c r="AE3" t="s">
        <v>51</v>
      </c>
      <c r="AJ3">
        <v>2</v>
      </c>
      <c r="AK3">
        <v>1</v>
      </c>
      <c r="AL3" t="s">
        <v>80</v>
      </c>
      <c r="AM3" t="s">
        <v>43</v>
      </c>
      <c r="AO3" t="s">
        <v>44</v>
      </c>
      <c r="AP3">
        <v>59.456390224006398</v>
      </c>
      <c r="AQ3" t="s">
        <v>81</v>
      </c>
    </row>
    <row r="4" spans="1:43" x14ac:dyDescent="0.3">
      <c r="A4" t="s">
        <v>71</v>
      </c>
      <c r="B4" t="s">
        <v>47</v>
      </c>
      <c r="C4" t="s">
        <v>48</v>
      </c>
      <c r="D4" t="s">
        <v>49</v>
      </c>
      <c r="E4" t="s">
        <v>50</v>
      </c>
      <c r="F4">
        <v>1</v>
      </c>
      <c r="G4">
        <v>1</v>
      </c>
      <c r="H4">
        <v>0</v>
      </c>
      <c r="I4" t="s">
        <v>50</v>
      </c>
      <c r="J4">
        <v>1</v>
      </c>
      <c r="K4">
        <v>1.04994160000933</v>
      </c>
      <c r="L4" t="s">
        <v>51</v>
      </c>
      <c r="M4">
        <v>0</v>
      </c>
      <c r="N4">
        <v>1</v>
      </c>
      <c r="O4">
        <v>1</v>
      </c>
      <c r="P4">
        <v>15</v>
      </c>
      <c r="Q4">
        <v>4.0599509000312501</v>
      </c>
      <c r="V4">
        <v>4.0553823000518596</v>
      </c>
      <c r="W4">
        <v>4.0599509000312501</v>
      </c>
      <c r="X4">
        <v>4.5602193000377103</v>
      </c>
      <c r="Y4">
        <v>4.5602193000377103</v>
      </c>
      <c r="Z4">
        <v>4.5602193000377103</v>
      </c>
      <c r="AA4">
        <v>5.6133909000200202</v>
      </c>
      <c r="AB4" t="s">
        <v>50</v>
      </c>
      <c r="AC4">
        <v>1</v>
      </c>
      <c r="AD4">
        <v>1.04994160000933</v>
      </c>
      <c r="AE4" t="s">
        <v>51</v>
      </c>
      <c r="AJ4">
        <v>2</v>
      </c>
      <c r="AK4">
        <v>1</v>
      </c>
      <c r="AL4" t="s">
        <v>80</v>
      </c>
      <c r="AM4" t="s">
        <v>43</v>
      </c>
      <c r="AO4" t="s">
        <v>44</v>
      </c>
      <c r="AP4">
        <v>59.456390224006398</v>
      </c>
      <c r="AQ4" t="s">
        <v>81</v>
      </c>
    </row>
    <row r="5" spans="1:43" x14ac:dyDescent="0.3">
      <c r="A5" t="s">
        <v>55</v>
      </c>
      <c r="B5" t="s">
        <v>47</v>
      </c>
      <c r="C5" t="s">
        <v>56</v>
      </c>
      <c r="D5" t="s">
        <v>49</v>
      </c>
      <c r="E5" t="s">
        <v>57</v>
      </c>
      <c r="F5">
        <v>2</v>
      </c>
      <c r="G5">
        <v>2</v>
      </c>
      <c r="H5">
        <v>0</v>
      </c>
      <c r="I5" t="s">
        <v>57</v>
      </c>
      <c r="J5">
        <v>1</v>
      </c>
      <c r="K5">
        <v>0.86224550002953004</v>
      </c>
      <c r="L5" t="s">
        <v>51</v>
      </c>
      <c r="M5">
        <v>0</v>
      </c>
      <c r="N5">
        <v>2</v>
      </c>
      <c r="O5">
        <v>2</v>
      </c>
      <c r="P5">
        <v>13</v>
      </c>
      <c r="Q5">
        <v>5.6271630000555799</v>
      </c>
      <c r="V5">
        <v>5.6165101000224196</v>
      </c>
      <c r="W5">
        <v>5.6271630000555799</v>
      </c>
      <c r="X5">
        <v>6.1279073000187001</v>
      </c>
      <c r="Y5">
        <v>6.1279073000187001</v>
      </c>
      <c r="Z5">
        <v>6.1279073000187001</v>
      </c>
      <c r="AA5">
        <v>6.99623410002095</v>
      </c>
      <c r="AB5" t="s">
        <v>57</v>
      </c>
      <c r="AC5">
        <v>1</v>
      </c>
      <c r="AD5">
        <v>0.86224550002953004</v>
      </c>
      <c r="AE5" t="s">
        <v>51</v>
      </c>
      <c r="AJ5">
        <v>2</v>
      </c>
      <c r="AK5">
        <v>1</v>
      </c>
      <c r="AL5" t="s">
        <v>80</v>
      </c>
      <c r="AM5" t="s">
        <v>43</v>
      </c>
      <c r="AO5" t="s">
        <v>44</v>
      </c>
      <c r="AP5">
        <v>59.456390224006398</v>
      </c>
      <c r="AQ5" t="s">
        <v>81</v>
      </c>
    </row>
    <row r="6" spans="1:43" x14ac:dyDescent="0.3">
      <c r="A6" t="s">
        <v>67</v>
      </c>
      <c r="B6" t="s">
        <v>47</v>
      </c>
      <c r="C6" t="s">
        <v>53</v>
      </c>
      <c r="D6" t="s">
        <v>49</v>
      </c>
      <c r="E6" t="s">
        <v>54</v>
      </c>
      <c r="F6">
        <v>3</v>
      </c>
      <c r="G6">
        <v>3</v>
      </c>
      <c r="H6">
        <v>0</v>
      </c>
      <c r="I6" t="s">
        <v>54</v>
      </c>
      <c r="J6">
        <v>1</v>
      </c>
      <c r="K6">
        <v>1.0147866999613999</v>
      </c>
      <c r="L6" t="s">
        <v>51</v>
      </c>
      <c r="M6">
        <v>0</v>
      </c>
      <c r="N6">
        <v>3</v>
      </c>
      <c r="O6">
        <v>3</v>
      </c>
      <c r="P6">
        <v>10</v>
      </c>
      <c r="Q6">
        <v>7.0106706000515198</v>
      </c>
      <c r="V6">
        <v>6.9986750000389204</v>
      </c>
      <c r="W6">
        <v>7.0106706000515198</v>
      </c>
      <c r="X6">
        <v>7.51139550004154</v>
      </c>
      <c r="Y6">
        <v>7.51139550004154</v>
      </c>
      <c r="Z6">
        <v>7.51139550004154</v>
      </c>
      <c r="AA6">
        <v>8.5320335000287706</v>
      </c>
      <c r="AB6" t="s">
        <v>54</v>
      </c>
      <c r="AC6">
        <v>1</v>
      </c>
      <c r="AD6">
        <v>1.0147866999613999</v>
      </c>
      <c r="AE6" t="s">
        <v>51</v>
      </c>
      <c r="AJ6">
        <v>2</v>
      </c>
      <c r="AK6">
        <v>1</v>
      </c>
      <c r="AL6" t="s">
        <v>80</v>
      </c>
      <c r="AM6" t="s">
        <v>43</v>
      </c>
      <c r="AO6" t="s">
        <v>44</v>
      </c>
      <c r="AP6">
        <v>59.456390224006398</v>
      </c>
      <c r="AQ6" t="s">
        <v>81</v>
      </c>
    </row>
    <row r="7" spans="1:43" x14ac:dyDescent="0.3">
      <c r="A7" t="s">
        <v>73</v>
      </c>
      <c r="B7" t="s">
        <v>59</v>
      </c>
      <c r="C7" t="s">
        <v>56</v>
      </c>
      <c r="D7" t="s">
        <v>49</v>
      </c>
      <c r="E7" t="s">
        <v>57</v>
      </c>
      <c r="F7">
        <v>4</v>
      </c>
      <c r="G7">
        <v>4</v>
      </c>
      <c r="H7">
        <v>0</v>
      </c>
      <c r="I7" t="s">
        <v>57</v>
      </c>
      <c r="J7">
        <v>1</v>
      </c>
      <c r="K7">
        <v>0.93821589997969501</v>
      </c>
      <c r="L7" t="s">
        <v>51</v>
      </c>
      <c r="M7">
        <v>0</v>
      </c>
      <c r="N7">
        <v>4</v>
      </c>
      <c r="O7">
        <v>4</v>
      </c>
      <c r="P7">
        <v>1</v>
      </c>
      <c r="Q7">
        <v>8.7271230000187607</v>
      </c>
      <c r="V7">
        <v>8.6743723000399697</v>
      </c>
      <c r="W7">
        <v>8.7271230000187607</v>
      </c>
      <c r="X7">
        <v>9.0446330000413493</v>
      </c>
      <c r="Y7">
        <v>9.0446330000413493</v>
      </c>
      <c r="Z7">
        <v>9.0446330000413493</v>
      </c>
      <c r="AA7">
        <v>9.9976291000493802</v>
      </c>
      <c r="AB7" t="s">
        <v>57</v>
      </c>
      <c r="AC7">
        <v>1</v>
      </c>
      <c r="AD7">
        <v>0.93821589997969501</v>
      </c>
      <c r="AE7" t="s">
        <v>51</v>
      </c>
      <c r="AJ7">
        <v>2</v>
      </c>
      <c r="AK7">
        <v>1</v>
      </c>
      <c r="AL7" t="s">
        <v>80</v>
      </c>
      <c r="AM7" t="s">
        <v>43</v>
      </c>
      <c r="AO7" t="s">
        <v>44</v>
      </c>
      <c r="AP7">
        <v>59.456390224006398</v>
      </c>
      <c r="AQ7" t="s">
        <v>81</v>
      </c>
    </row>
    <row r="8" spans="1:43" x14ac:dyDescent="0.3">
      <c r="A8" t="s">
        <v>78</v>
      </c>
      <c r="B8" t="s">
        <v>47</v>
      </c>
      <c r="C8" t="s">
        <v>56</v>
      </c>
      <c r="D8" t="s">
        <v>49</v>
      </c>
      <c r="E8" t="s">
        <v>57</v>
      </c>
      <c r="F8">
        <v>5</v>
      </c>
      <c r="G8">
        <v>5</v>
      </c>
      <c r="H8">
        <v>0</v>
      </c>
      <c r="I8" t="s">
        <v>57</v>
      </c>
      <c r="J8">
        <v>1</v>
      </c>
      <c r="K8">
        <v>0.59772989997873005</v>
      </c>
      <c r="L8" t="s">
        <v>51</v>
      </c>
      <c r="M8">
        <v>0</v>
      </c>
      <c r="N8">
        <v>5</v>
      </c>
      <c r="O8">
        <v>5</v>
      </c>
      <c r="P8">
        <v>17</v>
      </c>
      <c r="Q8">
        <v>10.0107136000297</v>
      </c>
      <c r="V8">
        <v>10.000264800037201</v>
      </c>
      <c r="W8">
        <v>10.0107136000297</v>
      </c>
      <c r="X8">
        <v>10.511186200019401</v>
      </c>
      <c r="Y8">
        <v>10.511186200019401</v>
      </c>
      <c r="Z8">
        <v>10.511186200019401</v>
      </c>
      <c r="AA8">
        <v>11.1145506000029</v>
      </c>
      <c r="AB8" t="s">
        <v>57</v>
      </c>
      <c r="AC8">
        <v>1</v>
      </c>
      <c r="AD8">
        <v>0.59772989997873005</v>
      </c>
      <c r="AE8" t="s">
        <v>51</v>
      </c>
      <c r="AJ8">
        <v>2</v>
      </c>
      <c r="AK8">
        <v>1</v>
      </c>
      <c r="AL8" t="s">
        <v>80</v>
      </c>
      <c r="AM8" t="s">
        <v>43</v>
      </c>
      <c r="AO8" t="s">
        <v>44</v>
      </c>
      <c r="AP8">
        <v>59.456390224006398</v>
      </c>
      <c r="AQ8" t="s">
        <v>81</v>
      </c>
    </row>
    <row r="9" spans="1:43" x14ac:dyDescent="0.3">
      <c r="A9" t="s">
        <v>64</v>
      </c>
      <c r="B9" t="s">
        <v>47</v>
      </c>
      <c r="C9" t="s">
        <v>53</v>
      </c>
      <c r="D9" t="s">
        <v>49</v>
      </c>
      <c r="E9" t="s">
        <v>54</v>
      </c>
      <c r="F9">
        <v>6</v>
      </c>
      <c r="G9">
        <v>6</v>
      </c>
      <c r="H9">
        <v>0</v>
      </c>
      <c r="I9" t="s">
        <v>54</v>
      </c>
      <c r="J9">
        <v>1</v>
      </c>
      <c r="K9">
        <v>1.00578910001786</v>
      </c>
      <c r="L9" t="s">
        <v>51</v>
      </c>
      <c r="M9">
        <v>0</v>
      </c>
      <c r="N9">
        <v>6</v>
      </c>
      <c r="O9">
        <v>6</v>
      </c>
      <c r="P9">
        <v>18</v>
      </c>
      <c r="Q9">
        <v>11.127967000007599</v>
      </c>
      <c r="V9">
        <v>11.1177896000444</v>
      </c>
      <c r="W9">
        <v>11.127967000007599</v>
      </c>
      <c r="X9">
        <v>11.6273202000302</v>
      </c>
      <c r="Y9">
        <v>11.6273202000302</v>
      </c>
      <c r="Z9">
        <v>11.6273202000302</v>
      </c>
      <c r="AA9">
        <v>12.647662000032099</v>
      </c>
      <c r="AB9" t="s">
        <v>54</v>
      </c>
      <c r="AC9">
        <v>1</v>
      </c>
      <c r="AD9">
        <v>1.00578910001786</v>
      </c>
      <c r="AE9" t="s">
        <v>51</v>
      </c>
      <c r="AJ9">
        <v>2</v>
      </c>
      <c r="AK9">
        <v>1</v>
      </c>
      <c r="AL9" t="s">
        <v>80</v>
      </c>
      <c r="AM9" t="s">
        <v>43</v>
      </c>
      <c r="AO9" t="s">
        <v>44</v>
      </c>
      <c r="AP9">
        <v>59.456390224006398</v>
      </c>
      <c r="AQ9" t="s">
        <v>81</v>
      </c>
    </row>
    <row r="10" spans="1:43" x14ac:dyDescent="0.3">
      <c r="A10" t="s">
        <v>52</v>
      </c>
      <c r="B10" t="s">
        <v>47</v>
      </c>
      <c r="C10" t="s">
        <v>53</v>
      </c>
      <c r="D10" t="s">
        <v>49</v>
      </c>
      <c r="E10" t="s">
        <v>54</v>
      </c>
      <c r="F10">
        <v>7</v>
      </c>
      <c r="G10">
        <v>7</v>
      </c>
      <c r="H10">
        <v>0</v>
      </c>
      <c r="I10" t="s">
        <v>54</v>
      </c>
      <c r="J10">
        <v>1</v>
      </c>
      <c r="K10">
        <v>0.56235209997976199</v>
      </c>
      <c r="L10" t="s">
        <v>51</v>
      </c>
      <c r="M10">
        <v>0</v>
      </c>
      <c r="N10">
        <v>7</v>
      </c>
      <c r="O10">
        <v>7</v>
      </c>
      <c r="P10">
        <v>14</v>
      </c>
      <c r="Q10">
        <v>12.6608962000464</v>
      </c>
      <c r="V10">
        <v>12.650372500007499</v>
      </c>
      <c r="W10">
        <v>12.6608962000464</v>
      </c>
      <c r="X10">
        <v>13.1605571000254</v>
      </c>
      <c r="Y10">
        <v>13.1605571000254</v>
      </c>
      <c r="Z10">
        <v>13.1605571000254</v>
      </c>
      <c r="AA10">
        <v>13.7312783000525</v>
      </c>
      <c r="AB10" t="s">
        <v>54</v>
      </c>
      <c r="AC10">
        <v>1</v>
      </c>
      <c r="AD10">
        <v>0.56235209997976199</v>
      </c>
      <c r="AE10" t="s">
        <v>51</v>
      </c>
      <c r="AJ10">
        <v>2</v>
      </c>
      <c r="AK10">
        <v>1</v>
      </c>
      <c r="AL10" t="s">
        <v>80</v>
      </c>
      <c r="AM10" t="s">
        <v>43</v>
      </c>
      <c r="AO10" t="s">
        <v>44</v>
      </c>
      <c r="AP10">
        <v>59.456390224006398</v>
      </c>
      <c r="AQ10" t="s">
        <v>81</v>
      </c>
    </row>
    <row r="11" spans="1:43" x14ac:dyDescent="0.3">
      <c r="A11" t="s">
        <v>60</v>
      </c>
      <c r="B11" t="s">
        <v>59</v>
      </c>
      <c r="C11" t="s">
        <v>61</v>
      </c>
      <c r="D11" t="s">
        <v>62</v>
      </c>
      <c r="E11" t="s">
        <v>63</v>
      </c>
      <c r="F11">
        <v>8</v>
      </c>
      <c r="G11">
        <v>8</v>
      </c>
      <c r="H11">
        <v>0</v>
      </c>
      <c r="I11" t="s">
        <v>63</v>
      </c>
      <c r="J11">
        <v>1</v>
      </c>
      <c r="K11">
        <v>1.04465400002663</v>
      </c>
      <c r="L11" t="s">
        <v>51</v>
      </c>
      <c r="M11">
        <v>0</v>
      </c>
      <c r="N11">
        <v>8</v>
      </c>
      <c r="O11">
        <v>8</v>
      </c>
      <c r="P11">
        <v>0</v>
      </c>
      <c r="Q11">
        <v>13.743663700006399</v>
      </c>
      <c r="V11">
        <v>13.735909500042901</v>
      </c>
      <c r="W11">
        <v>13.743663700006399</v>
      </c>
      <c r="X11">
        <v>14.247088600008199</v>
      </c>
      <c r="Y11">
        <v>14.247088600008199</v>
      </c>
      <c r="Z11">
        <v>14.247088600008199</v>
      </c>
      <c r="AA11">
        <v>15.297571700008101</v>
      </c>
      <c r="AB11" t="s">
        <v>63</v>
      </c>
      <c r="AC11">
        <v>1</v>
      </c>
      <c r="AD11">
        <v>1.04465400002663</v>
      </c>
      <c r="AE11" t="s">
        <v>51</v>
      </c>
      <c r="AJ11">
        <v>2</v>
      </c>
      <c r="AK11">
        <v>1</v>
      </c>
      <c r="AL11" t="s">
        <v>80</v>
      </c>
      <c r="AM11" t="s">
        <v>43</v>
      </c>
      <c r="AO11" t="s">
        <v>44</v>
      </c>
      <c r="AP11">
        <v>59.456390224006398</v>
      </c>
      <c r="AQ11" t="s">
        <v>81</v>
      </c>
    </row>
    <row r="12" spans="1:43" x14ac:dyDescent="0.3">
      <c r="A12" t="s">
        <v>58</v>
      </c>
      <c r="B12" t="s">
        <v>59</v>
      </c>
      <c r="C12" t="s">
        <v>48</v>
      </c>
      <c r="D12" t="s">
        <v>49</v>
      </c>
      <c r="E12" t="s">
        <v>50</v>
      </c>
      <c r="F12">
        <v>9</v>
      </c>
      <c r="G12">
        <v>9</v>
      </c>
      <c r="H12">
        <v>0</v>
      </c>
      <c r="I12" t="s">
        <v>50</v>
      </c>
      <c r="J12">
        <v>1</v>
      </c>
      <c r="K12">
        <v>1.0163888999959401</v>
      </c>
      <c r="L12" t="s">
        <v>51</v>
      </c>
      <c r="M12">
        <v>0</v>
      </c>
      <c r="N12">
        <v>9</v>
      </c>
      <c r="O12">
        <v>9</v>
      </c>
      <c r="P12">
        <v>7</v>
      </c>
      <c r="Q12">
        <v>15.3108926000422</v>
      </c>
      <c r="V12">
        <v>15.3006748000043</v>
      </c>
      <c r="W12">
        <v>15.3108926000422</v>
      </c>
      <c r="X12">
        <v>15.810509100032499</v>
      </c>
      <c r="Y12">
        <v>15.810509100032499</v>
      </c>
      <c r="Z12">
        <v>15.810509100032499</v>
      </c>
      <c r="AA12">
        <v>16.8331005000509</v>
      </c>
      <c r="AB12" t="s">
        <v>50</v>
      </c>
      <c r="AC12">
        <v>1</v>
      </c>
      <c r="AD12">
        <v>1.0163888999959401</v>
      </c>
      <c r="AE12" t="s">
        <v>51</v>
      </c>
      <c r="AJ12">
        <v>2</v>
      </c>
      <c r="AK12">
        <v>1</v>
      </c>
      <c r="AL12" t="s">
        <v>80</v>
      </c>
      <c r="AM12" t="s">
        <v>43</v>
      </c>
      <c r="AO12" t="s">
        <v>44</v>
      </c>
      <c r="AP12">
        <v>59.456390224006398</v>
      </c>
      <c r="AQ12" t="s">
        <v>81</v>
      </c>
    </row>
    <row r="13" spans="1:43" x14ac:dyDescent="0.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>
        <v>10</v>
      </c>
      <c r="G13">
        <v>10</v>
      </c>
      <c r="H13">
        <v>0</v>
      </c>
      <c r="I13" t="s">
        <v>50</v>
      </c>
      <c r="J13">
        <v>1</v>
      </c>
      <c r="K13">
        <v>1.2473353999666801</v>
      </c>
      <c r="L13" t="s">
        <v>51</v>
      </c>
      <c r="M13">
        <v>0</v>
      </c>
      <c r="N13">
        <v>10</v>
      </c>
      <c r="O13">
        <v>10</v>
      </c>
      <c r="P13">
        <v>19</v>
      </c>
      <c r="Q13">
        <v>16.8447542000212</v>
      </c>
      <c r="V13">
        <v>16.836529400025</v>
      </c>
      <c r="W13">
        <v>16.8447542000212</v>
      </c>
      <c r="X13">
        <v>17.344289100030402</v>
      </c>
      <c r="Y13">
        <v>17.344289100030402</v>
      </c>
      <c r="Z13">
        <v>17.344289100030402</v>
      </c>
      <c r="AA13">
        <v>18.597731200046798</v>
      </c>
      <c r="AB13" t="s">
        <v>50</v>
      </c>
      <c r="AC13">
        <v>1</v>
      </c>
      <c r="AD13">
        <v>1.2473353999666801</v>
      </c>
      <c r="AE13" t="s">
        <v>51</v>
      </c>
      <c r="AJ13">
        <v>2</v>
      </c>
      <c r="AK13">
        <v>1</v>
      </c>
      <c r="AL13" t="s">
        <v>80</v>
      </c>
      <c r="AM13" t="s">
        <v>43</v>
      </c>
      <c r="AO13" t="s">
        <v>44</v>
      </c>
      <c r="AP13">
        <v>59.456390224006398</v>
      </c>
      <c r="AQ13" t="s">
        <v>81</v>
      </c>
    </row>
    <row r="14" spans="1:43" x14ac:dyDescent="0.3">
      <c r="A14" t="s">
        <v>75</v>
      </c>
      <c r="B14" t="s">
        <v>47</v>
      </c>
      <c r="C14" t="s">
        <v>61</v>
      </c>
      <c r="D14" t="s">
        <v>49</v>
      </c>
      <c r="E14" t="s">
        <v>63</v>
      </c>
      <c r="F14">
        <v>11</v>
      </c>
      <c r="G14">
        <v>11</v>
      </c>
      <c r="H14">
        <v>0</v>
      </c>
      <c r="I14" t="s">
        <v>63</v>
      </c>
      <c r="J14">
        <v>1</v>
      </c>
      <c r="K14">
        <v>0.99014399998122804</v>
      </c>
      <c r="L14" t="s">
        <v>51</v>
      </c>
      <c r="M14">
        <v>0</v>
      </c>
      <c r="N14">
        <v>11</v>
      </c>
      <c r="O14">
        <v>11</v>
      </c>
      <c r="P14">
        <v>16</v>
      </c>
      <c r="Q14">
        <v>18.610666500055199</v>
      </c>
      <c r="V14">
        <v>18.6017448000493</v>
      </c>
      <c r="W14">
        <v>18.610666500055199</v>
      </c>
      <c r="X14">
        <v>19.110628800000899</v>
      </c>
      <c r="Y14">
        <v>19.110628800000899</v>
      </c>
      <c r="Z14">
        <v>19.110628800000899</v>
      </c>
      <c r="AA14">
        <v>20.114691700029599</v>
      </c>
      <c r="AB14" t="s">
        <v>63</v>
      </c>
      <c r="AC14">
        <v>1</v>
      </c>
      <c r="AD14">
        <v>0.99014399998122804</v>
      </c>
      <c r="AE14" t="s">
        <v>51</v>
      </c>
      <c r="AJ14">
        <v>2</v>
      </c>
      <c r="AK14">
        <v>1</v>
      </c>
      <c r="AL14" t="s">
        <v>80</v>
      </c>
      <c r="AM14" t="s">
        <v>43</v>
      </c>
      <c r="AO14" t="s">
        <v>44</v>
      </c>
      <c r="AP14">
        <v>59.456390224006398</v>
      </c>
      <c r="AQ14" t="s">
        <v>81</v>
      </c>
    </row>
    <row r="15" spans="1:43" x14ac:dyDescent="0.3">
      <c r="A15" t="s">
        <v>68</v>
      </c>
      <c r="B15" t="s">
        <v>59</v>
      </c>
      <c r="C15" t="s">
        <v>53</v>
      </c>
      <c r="D15" t="s">
        <v>49</v>
      </c>
      <c r="E15" t="s">
        <v>54</v>
      </c>
      <c r="F15">
        <v>12</v>
      </c>
      <c r="G15">
        <v>12</v>
      </c>
      <c r="H15">
        <v>0</v>
      </c>
      <c r="I15" t="s">
        <v>54</v>
      </c>
      <c r="J15">
        <v>1</v>
      </c>
      <c r="K15">
        <v>0.94732859998475705</v>
      </c>
      <c r="L15" t="s">
        <v>51</v>
      </c>
      <c r="M15">
        <v>0</v>
      </c>
      <c r="N15">
        <v>12</v>
      </c>
      <c r="O15">
        <v>12</v>
      </c>
      <c r="P15">
        <v>6</v>
      </c>
      <c r="Q15">
        <v>20.1267374000162</v>
      </c>
      <c r="V15">
        <v>20.120072100020401</v>
      </c>
      <c r="W15">
        <v>20.1267374000162</v>
      </c>
      <c r="X15">
        <v>20.627382600039699</v>
      </c>
      <c r="Y15">
        <v>20.627382600039699</v>
      </c>
      <c r="Z15">
        <v>20.627382600039699</v>
      </c>
      <c r="AA15">
        <v>21.5806638000067</v>
      </c>
      <c r="AB15" t="s">
        <v>54</v>
      </c>
      <c r="AC15">
        <v>1</v>
      </c>
      <c r="AD15">
        <v>0.94732859998475705</v>
      </c>
      <c r="AE15" t="s">
        <v>51</v>
      </c>
      <c r="AJ15">
        <v>2</v>
      </c>
      <c r="AK15">
        <v>1</v>
      </c>
      <c r="AL15" t="s">
        <v>80</v>
      </c>
      <c r="AM15" t="s">
        <v>43</v>
      </c>
      <c r="AO15" t="s">
        <v>44</v>
      </c>
      <c r="AP15">
        <v>59.456390224006398</v>
      </c>
      <c r="AQ15" t="s">
        <v>81</v>
      </c>
    </row>
    <row r="16" spans="1:43" x14ac:dyDescent="0.3">
      <c r="A16" t="s">
        <v>65</v>
      </c>
      <c r="B16" t="s">
        <v>59</v>
      </c>
      <c r="C16" t="s">
        <v>56</v>
      </c>
      <c r="D16" t="s">
        <v>49</v>
      </c>
      <c r="E16" t="s">
        <v>57</v>
      </c>
      <c r="F16">
        <v>13</v>
      </c>
      <c r="G16">
        <v>13</v>
      </c>
      <c r="H16">
        <v>0</v>
      </c>
      <c r="I16" t="s">
        <v>57</v>
      </c>
      <c r="J16">
        <v>1</v>
      </c>
      <c r="K16">
        <v>0.89374670002143797</v>
      </c>
      <c r="L16" t="s">
        <v>51</v>
      </c>
      <c r="M16">
        <v>0</v>
      </c>
      <c r="N16">
        <v>13</v>
      </c>
      <c r="O16">
        <v>13</v>
      </c>
      <c r="P16">
        <v>9</v>
      </c>
      <c r="Q16">
        <v>21.5942325000069</v>
      </c>
      <c r="V16">
        <v>21.5857918000547</v>
      </c>
      <c r="W16">
        <v>21.5942325000069</v>
      </c>
      <c r="X16">
        <v>22.094270600005899</v>
      </c>
      <c r="Y16">
        <v>22.094270600005899</v>
      </c>
      <c r="Z16">
        <v>22.094270600005899</v>
      </c>
      <c r="AA16">
        <v>22.997366200026502</v>
      </c>
      <c r="AB16" t="s">
        <v>57</v>
      </c>
      <c r="AC16">
        <v>1</v>
      </c>
      <c r="AD16">
        <v>0.89374670002143797</v>
      </c>
      <c r="AE16" t="s">
        <v>51</v>
      </c>
      <c r="AJ16">
        <v>2</v>
      </c>
      <c r="AK16">
        <v>1</v>
      </c>
      <c r="AL16" t="s">
        <v>80</v>
      </c>
      <c r="AM16" t="s">
        <v>43</v>
      </c>
      <c r="AO16" t="s">
        <v>44</v>
      </c>
      <c r="AP16">
        <v>59.456390224006398</v>
      </c>
      <c r="AQ16" t="s">
        <v>81</v>
      </c>
    </row>
    <row r="17" spans="1:43" x14ac:dyDescent="0.3">
      <c r="A17" t="s">
        <v>66</v>
      </c>
      <c r="B17" t="s">
        <v>47</v>
      </c>
      <c r="C17" t="s">
        <v>61</v>
      </c>
      <c r="D17" t="s">
        <v>49</v>
      </c>
      <c r="E17" t="s">
        <v>63</v>
      </c>
      <c r="F17">
        <v>14</v>
      </c>
      <c r="G17">
        <v>14</v>
      </c>
      <c r="H17">
        <v>0</v>
      </c>
      <c r="I17" t="s">
        <v>63</v>
      </c>
      <c r="J17">
        <v>1</v>
      </c>
      <c r="K17">
        <v>2.19592510000802</v>
      </c>
      <c r="L17" t="s">
        <v>51</v>
      </c>
      <c r="M17">
        <v>0</v>
      </c>
      <c r="N17">
        <v>14</v>
      </c>
      <c r="O17">
        <v>14</v>
      </c>
      <c r="P17">
        <v>12</v>
      </c>
      <c r="Q17">
        <v>23.010587100056</v>
      </c>
      <c r="V17">
        <v>23.0001000000047</v>
      </c>
      <c r="W17">
        <v>23.010587100056</v>
      </c>
      <c r="X17">
        <v>23.510729000030501</v>
      </c>
      <c r="Y17">
        <v>23.510729000030501</v>
      </c>
      <c r="Z17">
        <v>23.510729000030501</v>
      </c>
      <c r="AA17">
        <v>25.7141285000252</v>
      </c>
      <c r="AB17" t="s">
        <v>63</v>
      </c>
      <c r="AC17">
        <v>1</v>
      </c>
      <c r="AD17">
        <v>2.19592510000802</v>
      </c>
      <c r="AE17" t="s">
        <v>51</v>
      </c>
      <c r="AJ17">
        <v>2</v>
      </c>
      <c r="AK17">
        <v>1</v>
      </c>
      <c r="AL17" t="s">
        <v>80</v>
      </c>
      <c r="AM17" t="s">
        <v>43</v>
      </c>
      <c r="AO17" t="s">
        <v>44</v>
      </c>
      <c r="AP17">
        <v>59.456390224006398</v>
      </c>
      <c r="AQ17" t="s">
        <v>81</v>
      </c>
    </row>
    <row r="18" spans="1:43" x14ac:dyDescent="0.3">
      <c r="A18" t="s">
        <v>69</v>
      </c>
      <c r="B18" t="s">
        <v>59</v>
      </c>
      <c r="C18" t="s">
        <v>56</v>
      </c>
      <c r="D18" t="s">
        <v>49</v>
      </c>
      <c r="E18" t="s">
        <v>57</v>
      </c>
      <c r="F18">
        <v>15</v>
      </c>
      <c r="G18">
        <v>15</v>
      </c>
      <c r="H18">
        <v>0</v>
      </c>
      <c r="I18" t="s">
        <v>57</v>
      </c>
      <c r="J18">
        <v>1</v>
      </c>
      <c r="K18">
        <v>0.78310719999717504</v>
      </c>
      <c r="L18" t="s">
        <v>51</v>
      </c>
      <c r="M18">
        <v>0</v>
      </c>
      <c r="N18">
        <v>15</v>
      </c>
      <c r="O18">
        <v>15</v>
      </c>
      <c r="P18">
        <v>5</v>
      </c>
      <c r="Q18">
        <v>25.7267527000512</v>
      </c>
      <c r="V18">
        <v>25.717268600012101</v>
      </c>
      <c r="W18">
        <v>25.7267527000512</v>
      </c>
      <c r="X18">
        <v>26.226948800031</v>
      </c>
      <c r="Y18">
        <v>26.226948800031</v>
      </c>
      <c r="Z18">
        <v>26.226948800031</v>
      </c>
      <c r="AA18">
        <v>27.014507100044199</v>
      </c>
      <c r="AB18" t="s">
        <v>57</v>
      </c>
      <c r="AC18">
        <v>1</v>
      </c>
      <c r="AD18">
        <v>0.78310719999717504</v>
      </c>
      <c r="AE18" t="s">
        <v>51</v>
      </c>
      <c r="AJ18">
        <v>2</v>
      </c>
      <c r="AK18">
        <v>1</v>
      </c>
      <c r="AL18" t="s">
        <v>80</v>
      </c>
      <c r="AM18" t="s">
        <v>43</v>
      </c>
      <c r="AO18" t="s">
        <v>44</v>
      </c>
      <c r="AP18">
        <v>59.456390224006398</v>
      </c>
      <c r="AQ18" t="s">
        <v>81</v>
      </c>
    </row>
    <row r="19" spans="1:43" x14ac:dyDescent="0.3">
      <c r="A19" t="s">
        <v>70</v>
      </c>
      <c r="B19" t="s">
        <v>59</v>
      </c>
      <c r="C19" t="s">
        <v>53</v>
      </c>
      <c r="D19" t="s">
        <v>49</v>
      </c>
      <c r="E19" t="s">
        <v>54</v>
      </c>
      <c r="F19">
        <v>16</v>
      </c>
      <c r="G19">
        <v>16</v>
      </c>
      <c r="H19">
        <v>0</v>
      </c>
      <c r="I19" t="s">
        <v>54</v>
      </c>
      <c r="J19">
        <v>1</v>
      </c>
      <c r="K19">
        <v>0.95126390003133499</v>
      </c>
      <c r="L19" t="s">
        <v>51</v>
      </c>
      <c r="M19">
        <v>0</v>
      </c>
      <c r="N19">
        <v>16</v>
      </c>
      <c r="O19">
        <v>16</v>
      </c>
      <c r="P19">
        <v>2</v>
      </c>
      <c r="Q19">
        <v>27.026851800037502</v>
      </c>
      <c r="V19">
        <v>27.019450800027698</v>
      </c>
      <c r="W19">
        <v>27.026851800037502</v>
      </c>
      <c r="X19">
        <v>27.527169900014901</v>
      </c>
      <c r="Y19">
        <v>27.527169900014901</v>
      </c>
      <c r="Z19">
        <v>27.527169900014901</v>
      </c>
      <c r="AA19">
        <v>28.482517900003501</v>
      </c>
      <c r="AB19" t="s">
        <v>54</v>
      </c>
      <c r="AC19">
        <v>1</v>
      </c>
      <c r="AD19">
        <v>0.95126390003133499</v>
      </c>
      <c r="AE19" t="s">
        <v>51</v>
      </c>
      <c r="AJ19">
        <v>2</v>
      </c>
      <c r="AK19">
        <v>1</v>
      </c>
      <c r="AL19" t="s">
        <v>80</v>
      </c>
      <c r="AM19" t="s">
        <v>43</v>
      </c>
      <c r="AO19" t="s">
        <v>44</v>
      </c>
      <c r="AP19">
        <v>59.456390224006398</v>
      </c>
      <c r="AQ19" t="s">
        <v>81</v>
      </c>
    </row>
    <row r="20" spans="1:43" x14ac:dyDescent="0.3">
      <c r="A20" t="s">
        <v>76</v>
      </c>
      <c r="B20" t="s">
        <v>59</v>
      </c>
      <c r="C20" t="s">
        <v>48</v>
      </c>
      <c r="D20" t="s">
        <v>49</v>
      </c>
      <c r="E20" t="s">
        <v>50</v>
      </c>
      <c r="F20">
        <v>17</v>
      </c>
      <c r="G20">
        <v>17</v>
      </c>
      <c r="H20">
        <v>0</v>
      </c>
      <c r="I20" t="s">
        <v>50</v>
      </c>
      <c r="J20">
        <v>1</v>
      </c>
      <c r="K20">
        <v>0.588742099993396</v>
      </c>
      <c r="L20" t="s">
        <v>51</v>
      </c>
      <c r="M20">
        <v>0</v>
      </c>
      <c r="N20">
        <v>17</v>
      </c>
      <c r="O20">
        <v>17</v>
      </c>
      <c r="P20">
        <v>3</v>
      </c>
      <c r="Q20">
        <v>28.50946260005</v>
      </c>
      <c r="V20">
        <v>28.487113600014698</v>
      </c>
      <c r="W20">
        <v>28.50946260005</v>
      </c>
      <c r="X20">
        <v>28.993321400019301</v>
      </c>
      <c r="Y20">
        <v>28.993321400019301</v>
      </c>
      <c r="Z20">
        <v>28.993321400019301</v>
      </c>
      <c r="AA20">
        <v>29.5980120000313</v>
      </c>
      <c r="AB20" t="s">
        <v>50</v>
      </c>
      <c r="AC20">
        <v>1</v>
      </c>
      <c r="AD20">
        <v>0.588742099993396</v>
      </c>
      <c r="AE20" t="s">
        <v>51</v>
      </c>
      <c r="AJ20">
        <v>2</v>
      </c>
      <c r="AK20">
        <v>1</v>
      </c>
      <c r="AL20" t="s">
        <v>80</v>
      </c>
      <c r="AM20" t="s">
        <v>43</v>
      </c>
      <c r="AO20" t="s">
        <v>44</v>
      </c>
      <c r="AP20">
        <v>59.456390224006398</v>
      </c>
      <c r="AQ20" t="s">
        <v>81</v>
      </c>
    </row>
    <row r="21" spans="1:43" x14ac:dyDescent="0.3">
      <c r="A21" t="s">
        <v>72</v>
      </c>
      <c r="B21" t="s">
        <v>59</v>
      </c>
      <c r="C21" t="s">
        <v>61</v>
      </c>
      <c r="D21" t="s">
        <v>62</v>
      </c>
      <c r="E21" t="s">
        <v>63</v>
      </c>
      <c r="F21">
        <v>18</v>
      </c>
      <c r="G21">
        <v>18</v>
      </c>
      <c r="H21">
        <v>0</v>
      </c>
      <c r="I21" t="s">
        <v>63</v>
      </c>
      <c r="J21">
        <v>1</v>
      </c>
      <c r="K21">
        <v>0.48373849998460999</v>
      </c>
      <c r="L21" t="s">
        <v>51</v>
      </c>
      <c r="M21">
        <v>0</v>
      </c>
      <c r="N21">
        <v>18</v>
      </c>
      <c r="O21">
        <v>18</v>
      </c>
      <c r="P21">
        <v>8</v>
      </c>
      <c r="Q21">
        <v>29.610084300045798</v>
      </c>
      <c r="V21">
        <v>29.601827300037201</v>
      </c>
      <c r="W21">
        <v>29.610084300045798</v>
      </c>
      <c r="X21">
        <v>30.110335500037699</v>
      </c>
      <c r="Y21">
        <v>30.110335500037699</v>
      </c>
      <c r="Z21">
        <v>30.110335500037699</v>
      </c>
      <c r="AA21">
        <v>30.5970626000198</v>
      </c>
      <c r="AB21" t="s">
        <v>63</v>
      </c>
      <c r="AC21">
        <v>1</v>
      </c>
      <c r="AD21">
        <v>0.48373849998460999</v>
      </c>
      <c r="AE21" t="s">
        <v>51</v>
      </c>
      <c r="AJ21">
        <v>2</v>
      </c>
      <c r="AK21">
        <v>1</v>
      </c>
      <c r="AL21" t="s">
        <v>80</v>
      </c>
      <c r="AM21" t="s">
        <v>43</v>
      </c>
      <c r="AO21" t="s">
        <v>44</v>
      </c>
      <c r="AP21">
        <v>59.456390224006398</v>
      </c>
      <c r="AQ21" t="s">
        <v>81</v>
      </c>
    </row>
    <row r="22" spans="1:43" x14ac:dyDescent="0.3">
      <c r="A22" t="s">
        <v>74</v>
      </c>
      <c r="B22" t="s">
        <v>47</v>
      </c>
      <c r="C22" t="s">
        <v>48</v>
      </c>
      <c r="D22" t="s">
        <v>49</v>
      </c>
      <c r="E22" t="s">
        <v>50</v>
      </c>
      <c r="F22">
        <v>19</v>
      </c>
      <c r="G22">
        <v>19</v>
      </c>
      <c r="H22">
        <v>0</v>
      </c>
      <c r="I22" t="s">
        <v>54</v>
      </c>
      <c r="J22">
        <v>0</v>
      </c>
      <c r="K22">
        <v>0.793372499989345</v>
      </c>
      <c r="L22" t="s">
        <v>51</v>
      </c>
      <c r="M22">
        <v>0</v>
      </c>
      <c r="N22">
        <v>19</v>
      </c>
      <c r="O22">
        <v>19</v>
      </c>
      <c r="P22">
        <v>11</v>
      </c>
      <c r="Q22">
        <v>30.6102783000096</v>
      </c>
      <c r="V22">
        <v>30.600107600039301</v>
      </c>
      <c r="W22">
        <v>30.6102783000096</v>
      </c>
      <c r="X22">
        <v>31.110107000044</v>
      </c>
      <c r="Y22">
        <v>31.110107000044</v>
      </c>
      <c r="Z22">
        <v>31.110107000044</v>
      </c>
      <c r="AA22">
        <v>31.914552800008</v>
      </c>
      <c r="AB22" t="s">
        <v>54</v>
      </c>
      <c r="AC22">
        <v>0</v>
      </c>
      <c r="AD22">
        <v>0.793372499989345</v>
      </c>
      <c r="AE22" t="s">
        <v>51</v>
      </c>
      <c r="AJ22">
        <v>2</v>
      </c>
      <c r="AK22">
        <v>1</v>
      </c>
      <c r="AL22" t="s">
        <v>80</v>
      </c>
      <c r="AM22" t="s">
        <v>43</v>
      </c>
      <c r="AO22" t="s">
        <v>44</v>
      </c>
      <c r="AP22">
        <v>59.456390224006398</v>
      </c>
      <c r="AQ22" t="s">
        <v>81</v>
      </c>
    </row>
    <row r="23" spans="1:43" x14ac:dyDescent="0.3">
      <c r="A23" t="s">
        <v>77</v>
      </c>
      <c r="B23" t="s">
        <v>59</v>
      </c>
      <c r="C23" t="s">
        <v>61</v>
      </c>
      <c r="D23" t="s">
        <v>62</v>
      </c>
      <c r="E23" t="s">
        <v>63</v>
      </c>
      <c r="F23">
        <v>20</v>
      </c>
      <c r="G23">
        <v>0</v>
      </c>
      <c r="H23">
        <v>1</v>
      </c>
      <c r="I23" t="s">
        <v>63</v>
      </c>
      <c r="J23">
        <v>1</v>
      </c>
      <c r="K23">
        <v>0.67767150001600296</v>
      </c>
      <c r="L23" t="s">
        <v>51</v>
      </c>
      <c r="M23">
        <v>1</v>
      </c>
      <c r="N23">
        <v>0</v>
      </c>
      <c r="O23">
        <v>20</v>
      </c>
      <c r="P23">
        <v>4</v>
      </c>
      <c r="Q23">
        <v>31.928782800037801</v>
      </c>
      <c r="V23">
        <v>31.9176708000013</v>
      </c>
      <c r="W23">
        <v>31.928782800037801</v>
      </c>
      <c r="X23">
        <v>32.426828700001302</v>
      </c>
      <c r="Y23">
        <v>32.426828700001302</v>
      </c>
      <c r="Z23">
        <v>32.426828700001302</v>
      </c>
      <c r="AA23">
        <v>33.113411700003702</v>
      </c>
      <c r="AB23" t="s">
        <v>63</v>
      </c>
      <c r="AC23">
        <v>1</v>
      </c>
      <c r="AD23">
        <v>0.67767150001600296</v>
      </c>
      <c r="AE23" t="s">
        <v>51</v>
      </c>
      <c r="AJ23">
        <v>2</v>
      </c>
      <c r="AK23">
        <v>1</v>
      </c>
      <c r="AL23" t="s">
        <v>80</v>
      </c>
      <c r="AM23" t="s">
        <v>43</v>
      </c>
      <c r="AO23" t="s">
        <v>44</v>
      </c>
      <c r="AP23">
        <v>59.456390224006398</v>
      </c>
      <c r="AQ23" t="s">
        <v>81</v>
      </c>
    </row>
    <row r="24" spans="1:43" x14ac:dyDescent="0.3">
      <c r="A24" t="s">
        <v>68</v>
      </c>
      <c r="B24" t="s">
        <v>59</v>
      </c>
      <c r="C24" t="s">
        <v>53</v>
      </c>
      <c r="D24" t="s">
        <v>49</v>
      </c>
      <c r="E24" t="s">
        <v>54</v>
      </c>
      <c r="F24">
        <v>21</v>
      </c>
      <c r="G24">
        <v>1</v>
      </c>
      <c r="H24">
        <v>1</v>
      </c>
      <c r="I24" t="s">
        <v>54</v>
      </c>
      <c r="J24">
        <v>1</v>
      </c>
      <c r="K24">
        <v>1.5570615999749799</v>
      </c>
      <c r="L24" t="s">
        <v>51</v>
      </c>
      <c r="M24">
        <v>1</v>
      </c>
      <c r="N24">
        <v>1</v>
      </c>
      <c r="O24">
        <v>21</v>
      </c>
      <c r="P24">
        <v>6</v>
      </c>
      <c r="Q24">
        <v>33.126802800048601</v>
      </c>
      <c r="V24">
        <v>33.116351400036301</v>
      </c>
      <c r="W24">
        <v>33.126802800048601</v>
      </c>
      <c r="X24">
        <v>33.626770900038501</v>
      </c>
      <c r="Y24">
        <v>33.626770900038501</v>
      </c>
      <c r="Z24">
        <v>33.626770900038501</v>
      </c>
      <c r="AA24">
        <v>35.197130800050203</v>
      </c>
      <c r="AB24" t="s">
        <v>54</v>
      </c>
      <c r="AC24">
        <v>1</v>
      </c>
      <c r="AD24">
        <v>1.5570615999749799</v>
      </c>
      <c r="AE24" t="s">
        <v>51</v>
      </c>
      <c r="AJ24">
        <v>2</v>
      </c>
      <c r="AK24">
        <v>1</v>
      </c>
      <c r="AL24" t="s">
        <v>80</v>
      </c>
      <c r="AM24" t="s">
        <v>43</v>
      </c>
      <c r="AO24" t="s">
        <v>44</v>
      </c>
      <c r="AP24">
        <v>59.456390224006398</v>
      </c>
      <c r="AQ24" t="s">
        <v>81</v>
      </c>
    </row>
    <row r="25" spans="1:43" x14ac:dyDescent="0.3">
      <c r="A25" t="s">
        <v>75</v>
      </c>
      <c r="B25" t="s">
        <v>47</v>
      </c>
      <c r="C25" t="s">
        <v>61</v>
      </c>
      <c r="D25" t="s">
        <v>49</v>
      </c>
      <c r="E25" t="s">
        <v>63</v>
      </c>
      <c r="F25">
        <v>22</v>
      </c>
      <c r="G25">
        <v>2</v>
      </c>
      <c r="H25">
        <v>1</v>
      </c>
      <c r="I25" t="s">
        <v>63</v>
      </c>
      <c r="J25">
        <v>1</v>
      </c>
      <c r="K25">
        <v>0.70579580002231501</v>
      </c>
      <c r="L25" t="s">
        <v>51</v>
      </c>
      <c r="M25">
        <v>1</v>
      </c>
      <c r="N25">
        <v>2</v>
      </c>
      <c r="O25">
        <v>22</v>
      </c>
      <c r="P25">
        <v>16</v>
      </c>
      <c r="Q25">
        <v>35.2099572000443</v>
      </c>
      <c r="V25">
        <v>35.199899800005298</v>
      </c>
      <c r="W25">
        <v>35.2099572000443</v>
      </c>
      <c r="X25">
        <v>35.710009900038102</v>
      </c>
      <c r="Y25">
        <v>35.710009900038102</v>
      </c>
      <c r="Z25">
        <v>35.710009900038102</v>
      </c>
      <c r="AA25">
        <v>36.429744200024203</v>
      </c>
      <c r="AB25" t="s">
        <v>63</v>
      </c>
      <c r="AC25">
        <v>1</v>
      </c>
      <c r="AD25">
        <v>0.70579580002231501</v>
      </c>
      <c r="AE25" t="s">
        <v>51</v>
      </c>
      <c r="AJ25">
        <v>2</v>
      </c>
      <c r="AK25">
        <v>1</v>
      </c>
      <c r="AL25" t="s">
        <v>80</v>
      </c>
      <c r="AM25" t="s">
        <v>43</v>
      </c>
      <c r="AO25" t="s">
        <v>44</v>
      </c>
      <c r="AP25">
        <v>59.456390224006398</v>
      </c>
      <c r="AQ25" t="s">
        <v>81</v>
      </c>
    </row>
    <row r="26" spans="1:43" x14ac:dyDescent="0.3">
      <c r="A26" t="s">
        <v>67</v>
      </c>
      <c r="B26" t="s">
        <v>47</v>
      </c>
      <c r="C26" t="s">
        <v>53</v>
      </c>
      <c r="D26" t="s">
        <v>49</v>
      </c>
      <c r="E26" t="s">
        <v>54</v>
      </c>
      <c r="F26">
        <v>23</v>
      </c>
      <c r="G26">
        <v>3</v>
      </c>
      <c r="H26">
        <v>1</v>
      </c>
      <c r="I26" t="s">
        <v>54</v>
      </c>
      <c r="J26">
        <v>1</v>
      </c>
      <c r="K26">
        <v>0.71464289998402797</v>
      </c>
      <c r="L26" t="s">
        <v>51</v>
      </c>
      <c r="M26">
        <v>1</v>
      </c>
      <c r="N26">
        <v>3</v>
      </c>
      <c r="O26">
        <v>23</v>
      </c>
      <c r="P26">
        <v>10</v>
      </c>
      <c r="Q26">
        <v>36.444001000025303</v>
      </c>
      <c r="V26">
        <v>36.432922800013301</v>
      </c>
      <c r="W26">
        <v>36.444001000025303</v>
      </c>
      <c r="X26">
        <v>36.943240500055197</v>
      </c>
      <c r="Y26">
        <v>36.943240500055197</v>
      </c>
      <c r="Z26">
        <v>36.943240500055197</v>
      </c>
      <c r="AA26">
        <v>37.663344100001197</v>
      </c>
      <c r="AB26" t="s">
        <v>54</v>
      </c>
      <c r="AC26">
        <v>1</v>
      </c>
      <c r="AD26">
        <v>0.71464289998402797</v>
      </c>
      <c r="AE26" t="s">
        <v>51</v>
      </c>
      <c r="AJ26">
        <v>2</v>
      </c>
      <c r="AK26">
        <v>1</v>
      </c>
      <c r="AL26" t="s">
        <v>80</v>
      </c>
      <c r="AM26" t="s">
        <v>43</v>
      </c>
      <c r="AO26" t="s">
        <v>44</v>
      </c>
      <c r="AP26">
        <v>59.456390224006398</v>
      </c>
      <c r="AQ26" t="s">
        <v>81</v>
      </c>
    </row>
    <row r="27" spans="1:43" x14ac:dyDescent="0.3">
      <c r="A27" t="s">
        <v>72</v>
      </c>
      <c r="B27" t="s">
        <v>59</v>
      </c>
      <c r="C27" t="s">
        <v>61</v>
      </c>
      <c r="D27" t="s">
        <v>62</v>
      </c>
      <c r="E27" t="s">
        <v>63</v>
      </c>
      <c r="F27">
        <v>24</v>
      </c>
      <c r="G27">
        <v>4</v>
      </c>
      <c r="H27">
        <v>1</v>
      </c>
      <c r="I27" t="s">
        <v>63</v>
      </c>
      <c r="J27">
        <v>1</v>
      </c>
      <c r="K27">
        <v>0.69279780000215396</v>
      </c>
      <c r="L27" t="s">
        <v>51</v>
      </c>
      <c r="M27">
        <v>1</v>
      </c>
      <c r="N27">
        <v>4</v>
      </c>
      <c r="O27">
        <v>24</v>
      </c>
      <c r="P27">
        <v>8</v>
      </c>
      <c r="Q27">
        <v>37.6762253000051</v>
      </c>
      <c r="V27">
        <v>37.666087400051701</v>
      </c>
      <c r="W27">
        <v>37.6762253000051</v>
      </c>
      <c r="X27">
        <v>38.176138700044199</v>
      </c>
      <c r="Y27">
        <v>38.176138700044199</v>
      </c>
      <c r="Z27">
        <v>38.176138700044199</v>
      </c>
      <c r="AA27">
        <v>38.8798706000088</v>
      </c>
      <c r="AB27" t="s">
        <v>63</v>
      </c>
      <c r="AC27">
        <v>1</v>
      </c>
      <c r="AD27">
        <v>0.69279780000215396</v>
      </c>
      <c r="AE27" t="s">
        <v>51</v>
      </c>
      <c r="AJ27">
        <v>2</v>
      </c>
      <c r="AK27">
        <v>1</v>
      </c>
      <c r="AL27" t="s">
        <v>80</v>
      </c>
      <c r="AM27" t="s">
        <v>43</v>
      </c>
      <c r="AO27" t="s">
        <v>44</v>
      </c>
      <c r="AP27">
        <v>59.456390224006398</v>
      </c>
      <c r="AQ27" t="s">
        <v>81</v>
      </c>
    </row>
    <row r="28" spans="1:43" x14ac:dyDescent="0.3">
      <c r="A28" t="s">
        <v>60</v>
      </c>
      <c r="B28" t="s">
        <v>59</v>
      </c>
      <c r="C28" t="s">
        <v>61</v>
      </c>
      <c r="D28" t="s">
        <v>62</v>
      </c>
      <c r="E28" t="s">
        <v>63</v>
      </c>
      <c r="F28">
        <v>25</v>
      </c>
      <c r="G28">
        <v>5</v>
      </c>
      <c r="H28">
        <v>1</v>
      </c>
      <c r="I28" t="s">
        <v>63</v>
      </c>
      <c r="J28">
        <v>1</v>
      </c>
      <c r="K28">
        <v>0.80635529995197397</v>
      </c>
      <c r="L28" t="s">
        <v>51</v>
      </c>
      <c r="M28">
        <v>1</v>
      </c>
      <c r="N28">
        <v>5</v>
      </c>
      <c r="O28">
        <v>25</v>
      </c>
      <c r="P28">
        <v>0</v>
      </c>
      <c r="Q28">
        <v>38.893218100012703</v>
      </c>
      <c r="V28">
        <v>38.882511200034003</v>
      </c>
      <c r="W28">
        <v>38.893218100012703</v>
      </c>
      <c r="X28">
        <v>39.393343700037804</v>
      </c>
      <c r="Y28">
        <v>39.393343700037804</v>
      </c>
      <c r="Z28">
        <v>39.393343700037804</v>
      </c>
      <c r="AA28">
        <v>40.212428900005698</v>
      </c>
      <c r="AB28" t="s">
        <v>63</v>
      </c>
      <c r="AC28">
        <v>1</v>
      </c>
      <c r="AD28">
        <v>0.80635529995197397</v>
      </c>
      <c r="AE28" t="s">
        <v>51</v>
      </c>
      <c r="AJ28">
        <v>2</v>
      </c>
      <c r="AK28">
        <v>1</v>
      </c>
      <c r="AL28" t="s">
        <v>80</v>
      </c>
      <c r="AM28" t="s">
        <v>43</v>
      </c>
      <c r="AO28" t="s">
        <v>44</v>
      </c>
      <c r="AP28">
        <v>59.456390224006398</v>
      </c>
      <c r="AQ28" t="s">
        <v>81</v>
      </c>
    </row>
    <row r="29" spans="1:43" x14ac:dyDescent="0.3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>
        <v>26</v>
      </c>
      <c r="G29">
        <v>6</v>
      </c>
      <c r="H29">
        <v>1</v>
      </c>
      <c r="I29" t="s">
        <v>50</v>
      </c>
      <c r="J29">
        <v>1</v>
      </c>
      <c r="K29">
        <v>0.75092860002769102</v>
      </c>
      <c r="L29" t="s">
        <v>51</v>
      </c>
      <c r="M29">
        <v>1</v>
      </c>
      <c r="N29">
        <v>6</v>
      </c>
      <c r="O29">
        <v>26</v>
      </c>
      <c r="P29">
        <v>19</v>
      </c>
      <c r="Q29">
        <v>40.225194200000203</v>
      </c>
      <c r="V29">
        <v>40.215402800007702</v>
      </c>
      <c r="W29">
        <v>40.225194200000203</v>
      </c>
      <c r="X29">
        <v>40.725238300045</v>
      </c>
      <c r="Y29">
        <v>40.725238300045</v>
      </c>
      <c r="Z29">
        <v>40.725238300045</v>
      </c>
      <c r="AA29">
        <v>41.4795886000501</v>
      </c>
      <c r="AB29" t="s">
        <v>50</v>
      </c>
      <c r="AC29">
        <v>1</v>
      </c>
      <c r="AD29">
        <v>0.75092860002769102</v>
      </c>
      <c r="AE29" t="s">
        <v>51</v>
      </c>
      <c r="AJ29">
        <v>2</v>
      </c>
      <c r="AK29">
        <v>1</v>
      </c>
      <c r="AL29" t="s">
        <v>80</v>
      </c>
      <c r="AM29" t="s">
        <v>43</v>
      </c>
      <c r="AO29" t="s">
        <v>44</v>
      </c>
      <c r="AP29">
        <v>59.456390224006398</v>
      </c>
      <c r="AQ29" t="s">
        <v>81</v>
      </c>
    </row>
    <row r="30" spans="1:43" x14ac:dyDescent="0.3">
      <c r="A30" t="s">
        <v>58</v>
      </c>
      <c r="B30" t="s">
        <v>59</v>
      </c>
      <c r="C30" t="s">
        <v>48</v>
      </c>
      <c r="D30" t="s">
        <v>49</v>
      </c>
      <c r="E30" t="s">
        <v>50</v>
      </c>
      <c r="F30">
        <v>27</v>
      </c>
      <c r="G30">
        <v>7</v>
      </c>
      <c r="H30">
        <v>1</v>
      </c>
      <c r="I30" t="s">
        <v>50</v>
      </c>
      <c r="J30">
        <v>1</v>
      </c>
      <c r="K30">
        <v>0.46373760001733899</v>
      </c>
      <c r="L30" t="s">
        <v>51</v>
      </c>
      <c r="M30">
        <v>1</v>
      </c>
      <c r="N30">
        <v>7</v>
      </c>
      <c r="O30">
        <v>27</v>
      </c>
      <c r="P30">
        <v>7</v>
      </c>
      <c r="Q30">
        <v>41.4922041000099</v>
      </c>
      <c r="V30">
        <v>41.482209900044801</v>
      </c>
      <c r="W30">
        <v>41.4922041000099</v>
      </c>
      <c r="X30">
        <v>41.992067900020601</v>
      </c>
      <c r="Y30">
        <v>41.992067900020601</v>
      </c>
      <c r="Z30">
        <v>41.992067900020601</v>
      </c>
      <c r="AA30">
        <v>42.462071500020102</v>
      </c>
      <c r="AB30" t="s">
        <v>50</v>
      </c>
      <c r="AC30">
        <v>1</v>
      </c>
      <c r="AD30">
        <v>0.46373760001733899</v>
      </c>
      <c r="AE30" t="s">
        <v>51</v>
      </c>
      <c r="AJ30">
        <v>2</v>
      </c>
      <c r="AK30">
        <v>1</v>
      </c>
      <c r="AL30" t="s">
        <v>80</v>
      </c>
      <c r="AM30" t="s">
        <v>43</v>
      </c>
      <c r="AO30" t="s">
        <v>44</v>
      </c>
      <c r="AP30">
        <v>59.456390224006398</v>
      </c>
      <c r="AQ30" t="s">
        <v>81</v>
      </c>
    </row>
    <row r="31" spans="1:43" x14ac:dyDescent="0.3">
      <c r="A31" t="s">
        <v>69</v>
      </c>
      <c r="B31" t="s">
        <v>59</v>
      </c>
      <c r="C31" t="s">
        <v>56</v>
      </c>
      <c r="D31" t="s">
        <v>49</v>
      </c>
      <c r="E31" t="s">
        <v>57</v>
      </c>
      <c r="F31">
        <v>28</v>
      </c>
      <c r="G31">
        <v>8</v>
      </c>
      <c r="H31">
        <v>1</v>
      </c>
      <c r="I31" t="s">
        <v>57</v>
      </c>
      <c r="J31">
        <v>1</v>
      </c>
      <c r="K31">
        <v>0.88411829998949498</v>
      </c>
      <c r="L31" t="s">
        <v>51</v>
      </c>
      <c r="M31">
        <v>1</v>
      </c>
      <c r="N31">
        <v>8</v>
      </c>
      <c r="O31">
        <v>28</v>
      </c>
      <c r="P31">
        <v>5</v>
      </c>
      <c r="Q31">
        <v>42.475778200023299</v>
      </c>
      <c r="V31">
        <v>42.4643374000443</v>
      </c>
      <c r="W31">
        <v>42.475778200023299</v>
      </c>
      <c r="X31">
        <v>42.975110200000898</v>
      </c>
      <c r="Y31">
        <v>42.975110200000898</v>
      </c>
      <c r="Z31">
        <v>42.975110200000898</v>
      </c>
      <c r="AA31">
        <v>43.862054200027998</v>
      </c>
      <c r="AB31" t="s">
        <v>57</v>
      </c>
      <c r="AC31">
        <v>1</v>
      </c>
      <c r="AD31">
        <v>0.88411829998949498</v>
      </c>
      <c r="AE31" t="s">
        <v>51</v>
      </c>
      <c r="AJ31">
        <v>2</v>
      </c>
      <c r="AK31">
        <v>1</v>
      </c>
      <c r="AL31" t="s">
        <v>80</v>
      </c>
      <c r="AM31" t="s">
        <v>43</v>
      </c>
      <c r="AO31" t="s">
        <v>44</v>
      </c>
      <c r="AP31">
        <v>59.456390224006398</v>
      </c>
      <c r="AQ31" t="s">
        <v>81</v>
      </c>
    </row>
    <row r="32" spans="1:43" x14ac:dyDescent="0.3">
      <c r="A32" t="s">
        <v>64</v>
      </c>
      <c r="B32" t="s">
        <v>47</v>
      </c>
      <c r="C32" t="s">
        <v>53</v>
      </c>
      <c r="D32" t="s">
        <v>49</v>
      </c>
      <c r="E32" t="s">
        <v>54</v>
      </c>
      <c r="F32">
        <v>29</v>
      </c>
      <c r="G32">
        <v>9</v>
      </c>
      <c r="H32">
        <v>1</v>
      </c>
      <c r="I32" t="s">
        <v>54</v>
      </c>
      <c r="J32">
        <v>1</v>
      </c>
      <c r="K32">
        <v>0.93313379999017299</v>
      </c>
      <c r="L32" t="s">
        <v>51</v>
      </c>
      <c r="M32">
        <v>1</v>
      </c>
      <c r="N32">
        <v>9</v>
      </c>
      <c r="O32">
        <v>29</v>
      </c>
      <c r="P32">
        <v>18</v>
      </c>
      <c r="Q32">
        <v>43.8753550000255</v>
      </c>
      <c r="V32">
        <v>43.864200200012398</v>
      </c>
      <c r="W32">
        <v>43.8753550000255</v>
      </c>
      <c r="X32">
        <v>44.379097800003301</v>
      </c>
      <c r="Y32">
        <v>44.379097800003301</v>
      </c>
      <c r="Z32">
        <v>44.379097800003301</v>
      </c>
      <c r="AA32">
        <v>45.313621100038198</v>
      </c>
      <c r="AB32" t="s">
        <v>54</v>
      </c>
      <c r="AC32">
        <v>1</v>
      </c>
      <c r="AD32">
        <v>0.93313379999017299</v>
      </c>
      <c r="AE32" t="s">
        <v>51</v>
      </c>
      <c r="AJ32">
        <v>2</v>
      </c>
      <c r="AK32">
        <v>1</v>
      </c>
      <c r="AL32" t="s">
        <v>80</v>
      </c>
      <c r="AM32" t="s">
        <v>43</v>
      </c>
      <c r="AO32" t="s">
        <v>44</v>
      </c>
      <c r="AP32">
        <v>59.456390224006398</v>
      </c>
      <c r="AQ32" t="s">
        <v>81</v>
      </c>
    </row>
    <row r="33" spans="1:43" x14ac:dyDescent="0.3">
      <c r="A33" t="s">
        <v>65</v>
      </c>
      <c r="B33" t="s">
        <v>59</v>
      </c>
      <c r="C33" t="s">
        <v>56</v>
      </c>
      <c r="D33" t="s">
        <v>49</v>
      </c>
      <c r="E33" t="s">
        <v>57</v>
      </c>
      <c r="F33">
        <v>30</v>
      </c>
      <c r="G33">
        <v>10</v>
      </c>
      <c r="H33">
        <v>1</v>
      </c>
      <c r="I33" t="s">
        <v>57</v>
      </c>
      <c r="J33">
        <v>1</v>
      </c>
      <c r="K33">
        <v>2.88680079998448</v>
      </c>
      <c r="L33" t="s">
        <v>51</v>
      </c>
      <c r="M33">
        <v>1</v>
      </c>
      <c r="N33">
        <v>10</v>
      </c>
      <c r="O33">
        <v>30</v>
      </c>
      <c r="P33">
        <v>9</v>
      </c>
      <c r="Q33">
        <v>45.326297500054302</v>
      </c>
      <c r="V33">
        <v>45.316720900009301</v>
      </c>
      <c r="W33">
        <v>45.326297500054302</v>
      </c>
      <c r="X33">
        <v>45.826229300000698</v>
      </c>
      <c r="Y33">
        <v>45.826229300000698</v>
      </c>
      <c r="Z33">
        <v>45.826229300000698</v>
      </c>
      <c r="AA33">
        <v>48.714078300050403</v>
      </c>
      <c r="AB33" t="s">
        <v>57</v>
      </c>
      <c r="AC33">
        <v>1</v>
      </c>
      <c r="AD33">
        <v>2.88680079998448</v>
      </c>
      <c r="AE33" t="s">
        <v>51</v>
      </c>
      <c r="AJ33">
        <v>2</v>
      </c>
      <c r="AK33">
        <v>1</v>
      </c>
      <c r="AL33" t="s">
        <v>80</v>
      </c>
      <c r="AM33" t="s">
        <v>43</v>
      </c>
      <c r="AO33" t="s">
        <v>44</v>
      </c>
      <c r="AP33">
        <v>59.456390224006398</v>
      </c>
      <c r="AQ33" t="s">
        <v>81</v>
      </c>
    </row>
    <row r="34" spans="1:43" x14ac:dyDescent="0.3">
      <c r="A34" t="s">
        <v>55</v>
      </c>
      <c r="B34" t="s">
        <v>47</v>
      </c>
      <c r="C34" t="s">
        <v>56</v>
      </c>
      <c r="D34" t="s">
        <v>49</v>
      </c>
      <c r="E34" t="s">
        <v>57</v>
      </c>
      <c r="F34">
        <v>31</v>
      </c>
      <c r="G34">
        <v>11</v>
      </c>
      <c r="H34">
        <v>1</v>
      </c>
      <c r="I34" t="s">
        <v>57</v>
      </c>
      <c r="J34">
        <v>1</v>
      </c>
      <c r="K34">
        <v>0.54884249996393897</v>
      </c>
      <c r="L34" t="s">
        <v>51</v>
      </c>
      <c r="M34">
        <v>1</v>
      </c>
      <c r="N34">
        <v>11</v>
      </c>
      <c r="O34">
        <v>31</v>
      </c>
      <c r="P34">
        <v>13</v>
      </c>
      <c r="Q34">
        <v>48.725702100025899</v>
      </c>
      <c r="V34">
        <v>48.718157700030098</v>
      </c>
      <c r="W34">
        <v>48.725702100025899</v>
      </c>
      <c r="X34">
        <v>49.226105300011099</v>
      </c>
      <c r="Y34">
        <v>49.226105300011099</v>
      </c>
      <c r="Z34">
        <v>49.226105300011099</v>
      </c>
      <c r="AA34">
        <v>49.781308700039503</v>
      </c>
      <c r="AB34" t="s">
        <v>57</v>
      </c>
      <c r="AC34">
        <v>1</v>
      </c>
      <c r="AD34">
        <v>0.54884249996393897</v>
      </c>
      <c r="AE34" t="s">
        <v>51</v>
      </c>
      <c r="AJ34">
        <v>2</v>
      </c>
      <c r="AK34">
        <v>1</v>
      </c>
      <c r="AL34" t="s">
        <v>80</v>
      </c>
      <c r="AM34" t="s">
        <v>43</v>
      </c>
      <c r="AO34" t="s">
        <v>44</v>
      </c>
      <c r="AP34">
        <v>59.456390224006398</v>
      </c>
      <c r="AQ34" t="s">
        <v>81</v>
      </c>
    </row>
    <row r="35" spans="1:43" x14ac:dyDescent="0.3">
      <c r="A35" t="s">
        <v>71</v>
      </c>
      <c r="B35" t="s">
        <v>47</v>
      </c>
      <c r="C35" t="s">
        <v>48</v>
      </c>
      <c r="D35" t="s">
        <v>49</v>
      </c>
      <c r="E35" t="s">
        <v>50</v>
      </c>
      <c r="F35">
        <v>32</v>
      </c>
      <c r="G35">
        <v>12</v>
      </c>
      <c r="H35">
        <v>1</v>
      </c>
      <c r="I35" t="s">
        <v>50</v>
      </c>
      <c r="J35">
        <v>1</v>
      </c>
      <c r="K35">
        <v>0.78422440000576898</v>
      </c>
      <c r="L35" t="s">
        <v>51</v>
      </c>
      <c r="M35">
        <v>1</v>
      </c>
      <c r="N35">
        <v>12</v>
      </c>
      <c r="O35">
        <v>32</v>
      </c>
      <c r="P35">
        <v>15</v>
      </c>
      <c r="Q35">
        <v>49.7925991000374</v>
      </c>
      <c r="V35">
        <v>49.784878300037199</v>
      </c>
      <c r="W35">
        <v>49.7925991000374</v>
      </c>
      <c r="X35">
        <v>50.293122400005799</v>
      </c>
      <c r="Y35">
        <v>50.293122400005799</v>
      </c>
      <c r="Z35">
        <v>50.293122400005799</v>
      </c>
      <c r="AA35">
        <v>51.079903700039701</v>
      </c>
      <c r="AB35" t="s">
        <v>50</v>
      </c>
      <c r="AC35">
        <v>1</v>
      </c>
      <c r="AD35">
        <v>0.78422440000576898</v>
      </c>
      <c r="AE35" t="s">
        <v>51</v>
      </c>
      <c r="AJ35">
        <v>2</v>
      </c>
      <c r="AK35">
        <v>1</v>
      </c>
      <c r="AL35" t="s">
        <v>80</v>
      </c>
      <c r="AM35" t="s">
        <v>43</v>
      </c>
      <c r="AO35" t="s">
        <v>44</v>
      </c>
      <c r="AP35">
        <v>59.456390224006398</v>
      </c>
      <c r="AQ35" t="s">
        <v>81</v>
      </c>
    </row>
    <row r="36" spans="1:43" x14ac:dyDescent="0.3">
      <c r="A36" t="s">
        <v>73</v>
      </c>
      <c r="B36" t="s">
        <v>59</v>
      </c>
      <c r="C36" t="s">
        <v>56</v>
      </c>
      <c r="D36" t="s">
        <v>49</v>
      </c>
      <c r="E36" t="s">
        <v>57</v>
      </c>
      <c r="F36">
        <v>33</v>
      </c>
      <c r="G36">
        <v>13</v>
      </c>
      <c r="H36">
        <v>1</v>
      </c>
      <c r="I36" t="s">
        <v>57</v>
      </c>
      <c r="J36">
        <v>1</v>
      </c>
      <c r="K36">
        <v>0.65526449994649705</v>
      </c>
      <c r="L36" t="s">
        <v>51</v>
      </c>
      <c r="M36">
        <v>1</v>
      </c>
      <c r="N36">
        <v>13</v>
      </c>
      <c r="O36">
        <v>33</v>
      </c>
      <c r="P36">
        <v>1</v>
      </c>
      <c r="Q36">
        <v>51.092534900002597</v>
      </c>
      <c r="V36">
        <v>51.082667700015001</v>
      </c>
      <c r="W36">
        <v>51.092534900002597</v>
      </c>
      <c r="X36">
        <v>51.593330600007903</v>
      </c>
      <c r="Y36">
        <v>51.593330600007903</v>
      </c>
      <c r="Z36">
        <v>51.593330600007903</v>
      </c>
      <c r="AA36">
        <v>52.2632946000085</v>
      </c>
      <c r="AB36" t="s">
        <v>57</v>
      </c>
      <c r="AC36">
        <v>1</v>
      </c>
      <c r="AD36">
        <v>0.65526449994649705</v>
      </c>
      <c r="AE36" t="s">
        <v>51</v>
      </c>
      <c r="AJ36">
        <v>2</v>
      </c>
      <c r="AK36">
        <v>1</v>
      </c>
      <c r="AL36" t="s">
        <v>80</v>
      </c>
      <c r="AM36" t="s">
        <v>43</v>
      </c>
      <c r="AO36" t="s">
        <v>44</v>
      </c>
      <c r="AP36">
        <v>59.456390224006398</v>
      </c>
      <c r="AQ36" t="s">
        <v>81</v>
      </c>
    </row>
    <row r="37" spans="1:43" x14ac:dyDescent="0.3">
      <c r="A37" t="s">
        <v>78</v>
      </c>
      <c r="B37" t="s">
        <v>47</v>
      </c>
      <c r="C37" t="s">
        <v>56</v>
      </c>
      <c r="D37" t="s">
        <v>49</v>
      </c>
      <c r="E37" t="s">
        <v>57</v>
      </c>
      <c r="F37">
        <v>34</v>
      </c>
      <c r="G37">
        <v>14</v>
      </c>
      <c r="H37">
        <v>1</v>
      </c>
      <c r="I37" t="s">
        <v>57</v>
      </c>
      <c r="J37">
        <v>1</v>
      </c>
      <c r="K37">
        <v>0.41086429997812901</v>
      </c>
      <c r="L37" t="s">
        <v>51</v>
      </c>
      <c r="M37">
        <v>1</v>
      </c>
      <c r="N37">
        <v>14</v>
      </c>
      <c r="O37">
        <v>34</v>
      </c>
      <c r="P37">
        <v>17</v>
      </c>
      <c r="Q37">
        <v>52.276023100013802</v>
      </c>
      <c r="V37">
        <v>52.265790900040798</v>
      </c>
      <c r="W37">
        <v>52.276023100013802</v>
      </c>
      <c r="X37">
        <v>52.776466700015497</v>
      </c>
      <c r="Y37">
        <v>52.776466700015497</v>
      </c>
      <c r="Z37">
        <v>52.776466700015497</v>
      </c>
      <c r="AA37">
        <v>53.196427800052298</v>
      </c>
      <c r="AB37" t="s">
        <v>57</v>
      </c>
      <c r="AC37">
        <v>1</v>
      </c>
      <c r="AD37">
        <v>0.41086429997812901</v>
      </c>
      <c r="AE37" t="s">
        <v>51</v>
      </c>
      <c r="AJ37">
        <v>2</v>
      </c>
      <c r="AK37">
        <v>1</v>
      </c>
      <c r="AL37" t="s">
        <v>80</v>
      </c>
      <c r="AM37" t="s">
        <v>43</v>
      </c>
      <c r="AO37" t="s">
        <v>44</v>
      </c>
      <c r="AP37">
        <v>59.456390224006398</v>
      </c>
      <c r="AQ37" t="s">
        <v>81</v>
      </c>
    </row>
    <row r="38" spans="1:43" x14ac:dyDescent="0.3">
      <c r="A38" t="s">
        <v>76</v>
      </c>
      <c r="B38" t="s">
        <v>59</v>
      </c>
      <c r="C38" t="s">
        <v>48</v>
      </c>
      <c r="D38" t="s">
        <v>49</v>
      </c>
      <c r="E38" t="s">
        <v>50</v>
      </c>
      <c r="F38">
        <v>35</v>
      </c>
      <c r="G38">
        <v>15</v>
      </c>
      <c r="H38">
        <v>1</v>
      </c>
      <c r="I38" t="s">
        <v>63</v>
      </c>
      <c r="J38">
        <v>0</v>
      </c>
      <c r="K38">
        <v>0.86282089998712697</v>
      </c>
      <c r="L38" t="s">
        <v>51</v>
      </c>
      <c r="M38">
        <v>1</v>
      </c>
      <c r="N38">
        <v>15</v>
      </c>
      <c r="O38">
        <v>35</v>
      </c>
      <c r="P38">
        <v>3</v>
      </c>
      <c r="Q38">
        <v>53.209617700020303</v>
      </c>
      <c r="V38">
        <v>53.199246100033598</v>
      </c>
      <c r="W38">
        <v>53.209617700020303</v>
      </c>
      <c r="X38">
        <v>53.7111345000448</v>
      </c>
      <c r="Y38">
        <v>53.7111345000448</v>
      </c>
      <c r="Z38">
        <v>53.7111345000448</v>
      </c>
      <c r="AA38">
        <v>54.580383300024501</v>
      </c>
      <c r="AB38" t="s">
        <v>63</v>
      </c>
      <c r="AC38">
        <v>0</v>
      </c>
      <c r="AD38">
        <v>0.86282089998712697</v>
      </c>
      <c r="AE38" t="s">
        <v>51</v>
      </c>
      <c r="AJ38">
        <v>2</v>
      </c>
      <c r="AK38">
        <v>1</v>
      </c>
      <c r="AL38" t="s">
        <v>80</v>
      </c>
      <c r="AM38" t="s">
        <v>43</v>
      </c>
      <c r="AO38" t="s">
        <v>44</v>
      </c>
      <c r="AP38">
        <v>59.456390224006398</v>
      </c>
      <c r="AQ38" t="s">
        <v>81</v>
      </c>
    </row>
    <row r="39" spans="1:43" x14ac:dyDescent="0.3">
      <c r="A39" t="s">
        <v>70</v>
      </c>
      <c r="B39" t="s">
        <v>59</v>
      </c>
      <c r="C39" t="s">
        <v>53</v>
      </c>
      <c r="D39" t="s">
        <v>49</v>
      </c>
      <c r="E39" t="s">
        <v>54</v>
      </c>
      <c r="F39">
        <v>36</v>
      </c>
      <c r="G39">
        <v>16</v>
      </c>
      <c r="H39">
        <v>1</v>
      </c>
      <c r="I39" t="s">
        <v>54</v>
      </c>
      <c r="J39">
        <v>1</v>
      </c>
      <c r="K39">
        <v>1.48842359997797</v>
      </c>
      <c r="L39" t="s">
        <v>51</v>
      </c>
      <c r="M39">
        <v>1</v>
      </c>
      <c r="N39">
        <v>16</v>
      </c>
      <c r="O39">
        <v>36</v>
      </c>
      <c r="P39">
        <v>2</v>
      </c>
      <c r="Q39">
        <v>54.592150100041103</v>
      </c>
      <c r="V39">
        <v>54.583684700017301</v>
      </c>
      <c r="W39">
        <v>54.592150100041103</v>
      </c>
      <c r="X39">
        <v>55.092310900043202</v>
      </c>
      <c r="Y39">
        <v>55.092310900043202</v>
      </c>
      <c r="Z39">
        <v>55.092310900043202</v>
      </c>
      <c r="AA39">
        <v>56.596305100014398</v>
      </c>
      <c r="AB39" t="s">
        <v>54</v>
      </c>
      <c r="AC39">
        <v>1</v>
      </c>
      <c r="AD39">
        <v>1.48842359997797</v>
      </c>
      <c r="AE39" t="s">
        <v>51</v>
      </c>
      <c r="AJ39">
        <v>2</v>
      </c>
      <c r="AK39">
        <v>1</v>
      </c>
      <c r="AL39" t="s">
        <v>80</v>
      </c>
      <c r="AM39" t="s">
        <v>43</v>
      </c>
      <c r="AO39" t="s">
        <v>44</v>
      </c>
      <c r="AP39">
        <v>59.456390224006398</v>
      </c>
      <c r="AQ39" t="s">
        <v>81</v>
      </c>
    </row>
    <row r="40" spans="1:43" x14ac:dyDescent="0.3">
      <c r="A40" t="s">
        <v>74</v>
      </c>
      <c r="B40" t="s">
        <v>47</v>
      </c>
      <c r="C40" t="s">
        <v>48</v>
      </c>
      <c r="D40" t="s">
        <v>49</v>
      </c>
      <c r="E40" t="s">
        <v>50</v>
      </c>
      <c r="F40">
        <v>37</v>
      </c>
      <c r="G40">
        <v>17</v>
      </c>
      <c r="H40">
        <v>1</v>
      </c>
      <c r="I40" t="s">
        <v>50</v>
      </c>
      <c r="J40">
        <v>1</v>
      </c>
      <c r="K40">
        <v>1.16131789999781</v>
      </c>
      <c r="L40" t="s">
        <v>51</v>
      </c>
      <c r="M40">
        <v>1</v>
      </c>
      <c r="N40">
        <v>17</v>
      </c>
      <c r="O40">
        <v>37</v>
      </c>
      <c r="P40">
        <v>11</v>
      </c>
      <c r="Q40">
        <v>56.6090135000413</v>
      </c>
      <c r="V40">
        <v>56.599300100002402</v>
      </c>
      <c r="W40">
        <v>56.6090135000413</v>
      </c>
      <c r="X40">
        <v>57.108592900040001</v>
      </c>
      <c r="Y40">
        <v>57.108592900040001</v>
      </c>
      <c r="Z40">
        <v>57.108592900040001</v>
      </c>
      <c r="AA40">
        <v>58.278959200019003</v>
      </c>
      <c r="AB40" t="s">
        <v>50</v>
      </c>
      <c r="AC40">
        <v>1</v>
      </c>
      <c r="AD40">
        <v>1.16131789999781</v>
      </c>
      <c r="AE40" t="s">
        <v>51</v>
      </c>
      <c r="AJ40">
        <v>2</v>
      </c>
      <c r="AK40">
        <v>1</v>
      </c>
      <c r="AL40" t="s">
        <v>80</v>
      </c>
      <c r="AM40" t="s">
        <v>43</v>
      </c>
      <c r="AO40" t="s">
        <v>44</v>
      </c>
      <c r="AP40">
        <v>59.456390224006398</v>
      </c>
      <c r="AQ40" t="s">
        <v>81</v>
      </c>
    </row>
    <row r="41" spans="1:43" x14ac:dyDescent="0.3">
      <c r="A41" t="s">
        <v>66</v>
      </c>
      <c r="B41" t="s">
        <v>47</v>
      </c>
      <c r="C41" t="s">
        <v>61</v>
      </c>
      <c r="D41" t="s">
        <v>49</v>
      </c>
      <c r="E41" t="s">
        <v>63</v>
      </c>
      <c r="F41">
        <v>38</v>
      </c>
      <c r="G41">
        <v>18</v>
      </c>
      <c r="H41">
        <v>1</v>
      </c>
      <c r="I41" t="s">
        <v>63</v>
      </c>
      <c r="J41">
        <v>1</v>
      </c>
      <c r="K41">
        <v>0.56004549999488495</v>
      </c>
      <c r="L41" t="s">
        <v>51</v>
      </c>
      <c r="M41">
        <v>1</v>
      </c>
      <c r="N41">
        <v>18</v>
      </c>
      <c r="O41">
        <v>38</v>
      </c>
      <c r="P41">
        <v>12</v>
      </c>
      <c r="Q41">
        <v>58.292607400042399</v>
      </c>
      <c r="V41">
        <v>58.281672800017901</v>
      </c>
      <c r="W41">
        <v>58.292607400042399</v>
      </c>
      <c r="X41">
        <v>58.792602900008198</v>
      </c>
      <c r="Y41">
        <v>58.792602900008198</v>
      </c>
      <c r="Z41">
        <v>58.792602900008198</v>
      </c>
      <c r="AA41">
        <v>59.362421500030898</v>
      </c>
      <c r="AB41" t="s">
        <v>63</v>
      </c>
      <c r="AC41">
        <v>1</v>
      </c>
      <c r="AD41">
        <v>0.56004549999488495</v>
      </c>
      <c r="AE41" t="s">
        <v>51</v>
      </c>
      <c r="AJ41">
        <v>2</v>
      </c>
      <c r="AK41">
        <v>1</v>
      </c>
      <c r="AL41" t="s">
        <v>80</v>
      </c>
      <c r="AM41" t="s">
        <v>43</v>
      </c>
      <c r="AO41" t="s">
        <v>44</v>
      </c>
      <c r="AP41">
        <v>59.456390224006398</v>
      </c>
      <c r="AQ41" t="s">
        <v>81</v>
      </c>
    </row>
    <row r="42" spans="1:43" x14ac:dyDescent="0.3">
      <c r="A42" t="s">
        <v>52</v>
      </c>
      <c r="B42" t="s">
        <v>47</v>
      </c>
      <c r="C42" t="s">
        <v>53</v>
      </c>
      <c r="D42" t="s">
        <v>49</v>
      </c>
      <c r="E42" t="s">
        <v>54</v>
      </c>
      <c r="F42">
        <v>39</v>
      </c>
      <c r="G42">
        <v>19</v>
      </c>
      <c r="H42">
        <v>1</v>
      </c>
      <c r="I42" t="s">
        <v>54</v>
      </c>
      <c r="J42">
        <v>1</v>
      </c>
      <c r="K42">
        <v>1.5275830000173301</v>
      </c>
      <c r="L42" t="s">
        <v>51</v>
      </c>
      <c r="M42">
        <v>1</v>
      </c>
      <c r="N42">
        <v>19</v>
      </c>
      <c r="O42">
        <v>39</v>
      </c>
      <c r="P42">
        <v>14</v>
      </c>
      <c r="Q42">
        <v>59.375708400039002</v>
      </c>
      <c r="V42">
        <v>59.365485900023401</v>
      </c>
      <c r="W42">
        <v>59.375708400039002</v>
      </c>
      <c r="X42">
        <v>59.875484100019001</v>
      </c>
      <c r="Y42">
        <v>59.875484100019001</v>
      </c>
      <c r="Z42">
        <v>59.875484100019001</v>
      </c>
      <c r="AA42">
        <v>61.412167000002199</v>
      </c>
      <c r="AB42" t="s">
        <v>54</v>
      </c>
      <c r="AC42">
        <v>1</v>
      </c>
      <c r="AD42">
        <v>1.5275830000173301</v>
      </c>
      <c r="AE42" t="s">
        <v>51</v>
      </c>
      <c r="AJ42">
        <v>2</v>
      </c>
      <c r="AK42">
        <v>1</v>
      </c>
      <c r="AL42" t="s">
        <v>80</v>
      </c>
      <c r="AM42" t="s">
        <v>43</v>
      </c>
      <c r="AO42" t="s">
        <v>44</v>
      </c>
      <c r="AP42">
        <v>59.456390224006398</v>
      </c>
      <c r="AQ42" t="s">
        <v>81</v>
      </c>
    </row>
    <row r="43" spans="1:43" x14ac:dyDescent="0.3">
      <c r="A43" t="s">
        <v>72</v>
      </c>
      <c r="B43" t="s">
        <v>59</v>
      </c>
      <c r="C43" t="s">
        <v>61</v>
      </c>
      <c r="D43" t="s">
        <v>62</v>
      </c>
      <c r="E43" t="s">
        <v>63</v>
      </c>
      <c r="F43">
        <v>40</v>
      </c>
      <c r="G43">
        <v>0</v>
      </c>
      <c r="H43">
        <v>2</v>
      </c>
      <c r="I43" t="s">
        <v>63</v>
      </c>
      <c r="J43">
        <v>1</v>
      </c>
      <c r="K43">
        <v>2.116837700014</v>
      </c>
      <c r="L43" t="s">
        <v>51</v>
      </c>
      <c r="M43">
        <v>2</v>
      </c>
      <c r="N43">
        <v>0</v>
      </c>
      <c r="O43">
        <v>40</v>
      </c>
      <c r="P43">
        <v>8</v>
      </c>
      <c r="Q43">
        <v>61.425751900009303</v>
      </c>
      <c r="V43">
        <v>61.415596000035201</v>
      </c>
      <c r="W43">
        <v>61.425751900009303</v>
      </c>
      <c r="X43">
        <v>61.925725600041901</v>
      </c>
      <c r="Y43">
        <v>61.925725600041901</v>
      </c>
      <c r="Z43">
        <v>61.925725600041901</v>
      </c>
      <c r="AA43">
        <v>64.049016500008193</v>
      </c>
      <c r="AB43" t="s">
        <v>63</v>
      </c>
      <c r="AC43">
        <v>1</v>
      </c>
      <c r="AD43">
        <v>2.116837700014</v>
      </c>
      <c r="AE43" t="s">
        <v>51</v>
      </c>
      <c r="AJ43">
        <v>2</v>
      </c>
      <c r="AK43">
        <v>1</v>
      </c>
      <c r="AL43" t="s">
        <v>80</v>
      </c>
      <c r="AM43" t="s">
        <v>43</v>
      </c>
      <c r="AO43" t="s">
        <v>44</v>
      </c>
      <c r="AP43">
        <v>59.456390224006398</v>
      </c>
      <c r="AQ43" t="s">
        <v>81</v>
      </c>
    </row>
    <row r="44" spans="1:43" x14ac:dyDescent="0.3">
      <c r="A44" t="s">
        <v>52</v>
      </c>
      <c r="B44" t="s">
        <v>47</v>
      </c>
      <c r="C44" t="s">
        <v>53</v>
      </c>
      <c r="D44" t="s">
        <v>49</v>
      </c>
      <c r="E44" t="s">
        <v>54</v>
      </c>
      <c r="F44">
        <v>41</v>
      </c>
      <c r="G44">
        <v>1</v>
      </c>
      <c r="H44">
        <v>2</v>
      </c>
      <c r="I44" t="s">
        <v>54</v>
      </c>
      <c r="J44">
        <v>1</v>
      </c>
      <c r="K44">
        <v>1.2697122999816199</v>
      </c>
      <c r="L44" t="s">
        <v>51</v>
      </c>
      <c r="M44">
        <v>2</v>
      </c>
      <c r="N44">
        <v>1</v>
      </c>
      <c r="O44">
        <v>41</v>
      </c>
      <c r="P44">
        <v>14</v>
      </c>
      <c r="Q44">
        <v>64.074650400027096</v>
      </c>
      <c r="V44">
        <v>64.052800400007897</v>
      </c>
      <c r="W44">
        <v>64.074650400027096</v>
      </c>
      <c r="X44">
        <v>64.558626600017305</v>
      </c>
      <c r="Y44">
        <v>64.558626600017305</v>
      </c>
      <c r="Z44">
        <v>64.558626600017305</v>
      </c>
      <c r="AA44">
        <v>65.8293965000193</v>
      </c>
      <c r="AB44" t="s">
        <v>54</v>
      </c>
      <c r="AC44">
        <v>1</v>
      </c>
      <c r="AD44">
        <v>1.2697122999816199</v>
      </c>
      <c r="AE44" t="s">
        <v>51</v>
      </c>
      <c r="AJ44">
        <v>2</v>
      </c>
      <c r="AK44">
        <v>1</v>
      </c>
      <c r="AL44" t="s">
        <v>80</v>
      </c>
      <c r="AM44" t="s">
        <v>43</v>
      </c>
      <c r="AO44" t="s">
        <v>44</v>
      </c>
      <c r="AP44">
        <v>59.456390224006398</v>
      </c>
      <c r="AQ44" t="s">
        <v>81</v>
      </c>
    </row>
    <row r="45" spans="1:43" x14ac:dyDescent="0.3">
      <c r="A45" t="s">
        <v>66</v>
      </c>
      <c r="B45" t="s">
        <v>47</v>
      </c>
      <c r="C45" t="s">
        <v>61</v>
      </c>
      <c r="D45" t="s">
        <v>49</v>
      </c>
      <c r="E45" t="s">
        <v>63</v>
      </c>
      <c r="F45">
        <v>42</v>
      </c>
      <c r="G45">
        <v>2</v>
      </c>
      <c r="H45">
        <v>2</v>
      </c>
      <c r="I45" t="s">
        <v>63</v>
      </c>
      <c r="J45">
        <v>1</v>
      </c>
      <c r="K45">
        <v>0.89389459998346799</v>
      </c>
      <c r="L45" t="s">
        <v>51</v>
      </c>
      <c r="M45">
        <v>2</v>
      </c>
      <c r="N45">
        <v>2</v>
      </c>
      <c r="O45">
        <v>42</v>
      </c>
      <c r="P45">
        <v>12</v>
      </c>
      <c r="Q45">
        <v>65.841706400038603</v>
      </c>
      <c r="V45">
        <v>65.833340400015004</v>
      </c>
      <c r="W45">
        <v>65.841706400038603</v>
      </c>
      <c r="X45">
        <v>66.3421944000292</v>
      </c>
      <c r="Y45">
        <v>66.3421944000292</v>
      </c>
      <c r="Z45">
        <v>66.3421944000292</v>
      </c>
      <c r="AA45">
        <v>67.245291800005305</v>
      </c>
      <c r="AB45" t="s">
        <v>63</v>
      </c>
      <c r="AC45">
        <v>1</v>
      </c>
      <c r="AD45">
        <v>0.89389459998346799</v>
      </c>
      <c r="AE45" t="s">
        <v>51</v>
      </c>
      <c r="AJ45">
        <v>2</v>
      </c>
      <c r="AK45">
        <v>1</v>
      </c>
      <c r="AL45" t="s">
        <v>80</v>
      </c>
      <c r="AM45" t="s">
        <v>43</v>
      </c>
      <c r="AO45" t="s">
        <v>44</v>
      </c>
      <c r="AP45">
        <v>59.456390224006398</v>
      </c>
      <c r="AQ45" t="s">
        <v>81</v>
      </c>
    </row>
    <row r="46" spans="1:43" x14ac:dyDescent="0.3">
      <c r="A46" t="s">
        <v>64</v>
      </c>
      <c r="B46" t="s">
        <v>47</v>
      </c>
      <c r="C46" t="s">
        <v>53</v>
      </c>
      <c r="D46" t="s">
        <v>49</v>
      </c>
      <c r="E46" t="s">
        <v>54</v>
      </c>
      <c r="F46">
        <v>43</v>
      </c>
      <c r="G46">
        <v>3</v>
      </c>
      <c r="H46">
        <v>2</v>
      </c>
      <c r="I46" t="s">
        <v>54</v>
      </c>
      <c r="J46">
        <v>1</v>
      </c>
      <c r="K46">
        <v>1.0273432999965699</v>
      </c>
      <c r="L46" t="s">
        <v>51</v>
      </c>
      <c r="M46">
        <v>2</v>
      </c>
      <c r="N46">
        <v>3</v>
      </c>
      <c r="O46">
        <v>43</v>
      </c>
      <c r="P46">
        <v>18</v>
      </c>
      <c r="Q46">
        <v>67.258589100034399</v>
      </c>
      <c r="V46">
        <v>67.248557800019597</v>
      </c>
      <c r="W46">
        <v>67.258589100034399</v>
      </c>
      <c r="X46">
        <v>67.758600100001701</v>
      </c>
      <c r="Y46">
        <v>67.758600100001701</v>
      </c>
      <c r="Z46">
        <v>67.758600100001701</v>
      </c>
      <c r="AA46">
        <v>68.795659600000306</v>
      </c>
      <c r="AB46" t="s">
        <v>54</v>
      </c>
      <c r="AC46">
        <v>1</v>
      </c>
      <c r="AD46">
        <v>1.0273432999965699</v>
      </c>
      <c r="AE46" t="s">
        <v>51</v>
      </c>
      <c r="AJ46">
        <v>2</v>
      </c>
      <c r="AK46">
        <v>1</v>
      </c>
      <c r="AL46" t="s">
        <v>80</v>
      </c>
      <c r="AM46" t="s">
        <v>43</v>
      </c>
      <c r="AO46" t="s">
        <v>44</v>
      </c>
      <c r="AP46">
        <v>59.456390224006398</v>
      </c>
      <c r="AQ46" t="s">
        <v>81</v>
      </c>
    </row>
    <row r="47" spans="1:43" x14ac:dyDescent="0.3">
      <c r="A47" t="s">
        <v>71</v>
      </c>
      <c r="B47" t="s">
        <v>47</v>
      </c>
      <c r="C47" t="s">
        <v>48</v>
      </c>
      <c r="D47" t="s">
        <v>49</v>
      </c>
      <c r="E47" t="s">
        <v>50</v>
      </c>
      <c r="F47">
        <v>44</v>
      </c>
      <c r="G47">
        <v>4</v>
      </c>
      <c r="H47">
        <v>2</v>
      </c>
      <c r="I47" t="s">
        <v>54</v>
      </c>
      <c r="J47">
        <v>0</v>
      </c>
      <c r="K47">
        <v>0.556476700003258</v>
      </c>
      <c r="L47" t="s">
        <v>51</v>
      </c>
      <c r="M47">
        <v>2</v>
      </c>
      <c r="N47">
        <v>4</v>
      </c>
      <c r="O47">
        <v>44</v>
      </c>
      <c r="P47">
        <v>15</v>
      </c>
      <c r="Q47">
        <v>68.808712000027299</v>
      </c>
      <c r="V47">
        <v>68.798932800011201</v>
      </c>
      <c r="W47">
        <v>68.808712000027299</v>
      </c>
      <c r="X47">
        <v>69.308498600032095</v>
      </c>
      <c r="Y47">
        <v>69.308498600032095</v>
      </c>
      <c r="Z47">
        <v>69.308498600032095</v>
      </c>
      <c r="AA47">
        <v>69.879547000047694</v>
      </c>
      <c r="AB47" t="s">
        <v>54</v>
      </c>
      <c r="AC47">
        <v>0</v>
      </c>
      <c r="AD47">
        <v>0.556476700003258</v>
      </c>
      <c r="AE47" t="s">
        <v>51</v>
      </c>
      <c r="AJ47">
        <v>2</v>
      </c>
      <c r="AK47">
        <v>1</v>
      </c>
      <c r="AL47" t="s">
        <v>80</v>
      </c>
      <c r="AM47" t="s">
        <v>43</v>
      </c>
      <c r="AO47" t="s">
        <v>44</v>
      </c>
      <c r="AP47">
        <v>59.456390224006398</v>
      </c>
      <c r="AQ47" t="s">
        <v>81</v>
      </c>
    </row>
    <row r="48" spans="1:43" x14ac:dyDescent="0.3">
      <c r="A48" t="s">
        <v>77</v>
      </c>
      <c r="B48" t="s">
        <v>59</v>
      </c>
      <c r="C48" t="s">
        <v>61</v>
      </c>
      <c r="D48" t="s">
        <v>62</v>
      </c>
      <c r="E48" t="s">
        <v>63</v>
      </c>
      <c r="F48">
        <v>45</v>
      </c>
      <c r="G48">
        <v>5</v>
      </c>
      <c r="H48">
        <v>2</v>
      </c>
      <c r="I48" t="s">
        <v>63</v>
      </c>
      <c r="J48">
        <v>1</v>
      </c>
      <c r="K48">
        <v>0.58433879999211003</v>
      </c>
      <c r="L48" t="s">
        <v>51</v>
      </c>
      <c r="M48">
        <v>2</v>
      </c>
      <c r="N48">
        <v>5</v>
      </c>
      <c r="O48">
        <v>45</v>
      </c>
      <c r="P48">
        <v>4</v>
      </c>
      <c r="Q48">
        <v>69.891662000038195</v>
      </c>
      <c r="V48">
        <v>69.882170000055297</v>
      </c>
      <c r="W48">
        <v>69.891662000038195</v>
      </c>
      <c r="X48">
        <v>70.391589100006897</v>
      </c>
      <c r="Y48">
        <v>70.391589100006897</v>
      </c>
      <c r="Z48">
        <v>70.391589100006897</v>
      </c>
      <c r="AA48">
        <v>70.979362800018805</v>
      </c>
      <c r="AB48" t="s">
        <v>63</v>
      </c>
      <c r="AC48">
        <v>1</v>
      </c>
      <c r="AD48">
        <v>0.58433879999211003</v>
      </c>
      <c r="AE48" t="s">
        <v>51</v>
      </c>
      <c r="AJ48">
        <v>2</v>
      </c>
      <c r="AK48">
        <v>1</v>
      </c>
      <c r="AL48" t="s">
        <v>80</v>
      </c>
      <c r="AM48" t="s">
        <v>43</v>
      </c>
      <c r="AO48" t="s">
        <v>44</v>
      </c>
      <c r="AP48">
        <v>59.456390224006398</v>
      </c>
      <c r="AQ48" t="s">
        <v>81</v>
      </c>
    </row>
    <row r="49" spans="1:43" x14ac:dyDescent="0.3">
      <c r="A49" t="s">
        <v>65</v>
      </c>
      <c r="B49" t="s">
        <v>59</v>
      </c>
      <c r="C49" t="s">
        <v>56</v>
      </c>
      <c r="D49" t="s">
        <v>49</v>
      </c>
      <c r="E49" t="s">
        <v>57</v>
      </c>
      <c r="F49">
        <v>46</v>
      </c>
      <c r="G49">
        <v>6</v>
      </c>
      <c r="H49">
        <v>2</v>
      </c>
      <c r="I49" t="s">
        <v>57</v>
      </c>
      <c r="J49">
        <v>1</v>
      </c>
      <c r="K49">
        <v>0.80016509996494201</v>
      </c>
      <c r="L49" t="s">
        <v>51</v>
      </c>
      <c r="M49">
        <v>2</v>
      </c>
      <c r="N49">
        <v>6</v>
      </c>
      <c r="O49">
        <v>46</v>
      </c>
      <c r="P49">
        <v>9</v>
      </c>
      <c r="Q49">
        <v>70.992410300008402</v>
      </c>
      <c r="V49">
        <v>70.982270000036806</v>
      </c>
      <c r="W49">
        <v>70.992410300008402</v>
      </c>
      <c r="X49">
        <v>71.491848000034196</v>
      </c>
      <c r="Y49">
        <v>71.491848000034196</v>
      </c>
      <c r="Z49">
        <v>71.491848000034196</v>
      </c>
      <c r="AA49">
        <v>72.296466200030395</v>
      </c>
      <c r="AB49" t="s">
        <v>57</v>
      </c>
      <c r="AC49">
        <v>1</v>
      </c>
      <c r="AD49">
        <v>0.80016509996494201</v>
      </c>
      <c r="AE49" t="s">
        <v>51</v>
      </c>
      <c r="AJ49">
        <v>2</v>
      </c>
      <c r="AK49">
        <v>1</v>
      </c>
      <c r="AL49" t="s">
        <v>80</v>
      </c>
      <c r="AM49" t="s">
        <v>43</v>
      </c>
      <c r="AO49" t="s">
        <v>44</v>
      </c>
      <c r="AP49">
        <v>59.456390224006398</v>
      </c>
      <c r="AQ49" t="s">
        <v>81</v>
      </c>
    </row>
    <row r="50" spans="1:43" x14ac:dyDescent="0.3">
      <c r="A50" t="s">
        <v>55</v>
      </c>
      <c r="B50" t="s">
        <v>47</v>
      </c>
      <c r="C50" t="s">
        <v>56</v>
      </c>
      <c r="D50" t="s">
        <v>49</v>
      </c>
      <c r="E50" t="s">
        <v>57</v>
      </c>
      <c r="F50">
        <v>47</v>
      </c>
      <c r="G50">
        <v>7</v>
      </c>
      <c r="H50">
        <v>2</v>
      </c>
      <c r="I50" t="s">
        <v>57</v>
      </c>
      <c r="J50">
        <v>1</v>
      </c>
      <c r="K50">
        <v>0.457069299998693</v>
      </c>
      <c r="L50" t="s">
        <v>51</v>
      </c>
      <c r="M50">
        <v>2</v>
      </c>
      <c r="N50">
        <v>7</v>
      </c>
      <c r="O50">
        <v>47</v>
      </c>
      <c r="P50">
        <v>13</v>
      </c>
      <c r="Q50">
        <v>72.309550900012198</v>
      </c>
      <c r="V50">
        <v>72.300539500021799</v>
      </c>
      <c r="W50">
        <v>72.309550900012198</v>
      </c>
      <c r="X50">
        <v>72.808271700050597</v>
      </c>
      <c r="Y50">
        <v>72.808271700050597</v>
      </c>
      <c r="Z50">
        <v>72.808271700050597</v>
      </c>
      <c r="AA50">
        <v>73.278703400050205</v>
      </c>
      <c r="AB50" t="s">
        <v>57</v>
      </c>
      <c r="AC50">
        <v>1</v>
      </c>
      <c r="AD50">
        <v>0.457069299998693</v>
      </c>
      <c r="AE50" t="s">
        <v>51</v>
      </c>
      <c r="AJ50">
        <v>2</v>
      </c>
      <c r="AK50">
        <v>1</v>
      </c>
      <c r="AL50" t="s">
        <v>80</v>
      </c>
      <c r="AM50" t="s">
        <v>43</v>
      </c>
      <c r="AO50" t="s">
        <v>44</v>
      </c>
      <c r="AP50">
        <v>59.456390224006398</v>
      </c>
      <c r="AQ50" t="s">
        <v>81</v>
      </c>
    </row>
    <row r="51" spans="1:43" x14ac:dyDescent="0.3">
      <c r="A51" t="s">
        <v>68</v>
      </c>
      <c r="B51" t="s">
        <v>59</v>
      </c>
      <c r="C51" t="s">
        <v>53</v>
      </c>
      <c r="D51" t="s">
        <v>49</v>
      </c>
      <c r="E51" t="s">
        <v>54</v>
      </c>
      <c r="F51">
        <v>48</v>
      </c>
      <c r="G51">
        <v>8</v>
      </c>
      <c r="H51">
        <v>2</v>
      </c>
      <c r="I51" t="s">
        <v>54</v>
      </c>
      <c r="J51">
        <v>1</v>
      </c>
      <c r="K51">
        <v>1.00892609998118</v>
      </c>
      <c r="L51" t="s">
        <v>51</v>
      </c>
      <c r="M51">
        <v>2</v>
      </c>
      <c r="N51">
        <v>8</v>
      </c>
      <c r="O51">
        <v>48</v>
      </c>
      <c r="P51">
        <v>6</v>
      </c>
      <c r="Q51">
        <v>73.292003100039395</v>
      </c>
      <c r="V51">
        <v>73.2817349000251</v>
      </c>
      <c r="W51">
        <v>73.292003100039395</v>
      </c>
      <c r="X51">
        <v>73.791341900010593</v>
      </c>
      <c r="Y51">
        <v>73.791341900010593</v>
      </c>
      <c r="Z51">
        <v>73.791341900010593</v>
      </c>
      <c r="AA51">
        <v>74.811957300000302</v>
      </c>
      <c r="AB51" t="s">
        <v>54</v>
      </c>
      <c r="AC51">
        <v>1</v>
      </c>
      <c r="AD51">
        <v>1.00892609998118</v>
      </c>
      <c r="AE51" t="s">
        <v>51</v>
      </c>
      <c r="AJ51">
        <v>2</v>
      </c>
      <c r="AK51">
        <v>1</v>
      </c>
      <c r="AL51" t="s">
        <v>80</v>
      </c>
      <c r="AM51" t="s">
        <v>43</v>
      </c>
      <c r="AO51" t="s">
        <v>44</v>
      </c>
      <c r="AP51">
        <v>59.456390224006398</v>
      </c>
      <c r="AQ51" t="s">
        <v>81</v>
      </c>
    </row>
    <row r="52" spans="1:43" x14ac:dyDescent="0.3">
      <c r="A52" t="s">
        <v>73</v>
      </c>
      <c r="B52" t="s">
        <v>59</v>
      </c>
      <c r="C52" t="s">
        <v>56</v>
      </c>
      <c r="D52" t="s">
        <v>49</v>
      </c>
      <c r="E52" t="s">
        <v>57</v>
      </c>
      <c r="F52">
        <v>49</v>
      </c>
      <c r="G52">
        <v>9</v>
      </c>
      <c r="H52">
        <v>2</v>
      </c>
      <c r="I52" t="s">
        <v>57</v>
      </c>
      <c r="J52">
        <v>1</v>
      </c>
      <c r="K52">
        <v>0.79196740000042998</v>
      </c>
      <c r="L52" t="s">
        <v>51</v>
      </c>
      <c r="M52">
        <v>2</v>
      </c>
      <c r="N52">
        <v>9</v>
      </c>
      <c r="O52">
        <v>49</v>
      </c>
      <c r="P52">
        <v>1</v>
      </c>
      <c r="Q52">
        <v>74.825507400033501</v>
      </c>
      <c r="V52">
        <v>74.814288600056898</v>
      </c>
      <c r="W52">
        <v>74.825507400033501</v>
      </c>
      <c r="X52">
        <v>75.324905600049505</v>
      </c>
      <c r="Y52">
        <v>75.324905600049505</v>
      </c>
      <c r="Z52">
        <v>75.324905600049505</v>
      </c>
      <c r="AA52">
        <v>76.128515700052901</v>
      </c>
      <c r="AB52" t="s">
        <v>57</v>
      </c>
      <c r="AC52">
        <v>1</v>
      </c>
      <c r="AD52">
        <v>0.79196740000042998</v>
      </c>
      <c r="AE52" t="s">
        <v>51</v>
      </c>
      <c r="AJ52">
        <v>2</v>
      </c>
      <c r="AK52">
        <v>1</v>
      </c>
      <c r="AL52" t="s">
        <v>80</v>
      </c>
      <c r="AM52" t="s">
        <v>43</v>
      </c>
      <c r="AO52" t="s">
        <v>44</v>
      </c>
      <c r="AP52">
        <v>59.456390224006398</v>
      </c>
      <c r="AQ52" t="s">
        <v>81</v>
      </c>
    </row>
    <row r="53" spans="1:43" x14ac:dyDescent="0.3">
      <c r="A53" t="s">
        <v>74</v>
      </c>
      <c r="B53" t="s">
        <v>47</v>
      </c>
      <c r="C53" t="s">
        <v>48</v>
      </c>
      <c r="D53" t="s">
        <v>49</v>
      </c>
      <c r="E53" t="s">
        <v>50</v>
      </c>
      <c r="F53">
        <v>50</v>
      </c>
      <c r="G53">
        <v>10</v>
      </c>
      <c r="H53">
        <v>2</v>
      </c>
      <c r="I53" t="s">
        <v>50</v>
      </c>
      <c r="J53">
        <v>1</v>
      </c>
      <c r="K53">
        <v>0.80747390002943498</v>
      </c>
      <c r="L53" t="s">
        <v>51</v>
      </c>
      <c r="M53">
        <v>2</v>
      </c>
      <c r="N53">
        <v>10</v>
      </c>
      <c r="O53">
        <v>50</v>
      </c>
      <c r="P53">
        <v>11</v>
      </c>
      <c r="Q53">
        <v>76.1416292000212</v>
      </c>
      <c r="V53">
        <v>76.1311941000167</v>
      </c>
      <c r="W53">
        <v>76.1416292000212</v>
      </c>
      <c r="X53">
        <v>76.641482700011693</v>
      </c>
      <c r="Y53">
        <v>76.641482700011693</v>
      </c>
      <c r="Z53">
        <v>76.641482700011693</v>
      </c>
      <c r="AA53">
        <v>77.461935300030703</v>
      </c>
      <c r="AB53" t="s">
        <v>50</v>
      </c>
      <c r="AC53">
        <v>1</v>
      </c>
      <c r="AD53">
        <v>0.80747390002943498</v>
      </c>
      <c r="AE53" t="s">
        <v>51</v>
      </c>
      <c r="AJ53">
        <v>2</v>
      </c>
      <c r="AK53">
        <v>1</v>
      </c>
      <c r="AL53" t="s">
        <v>80</v>
      </c>
      <c r="AM53" t="s">
        <v>43</v>
      </c>
      <c r="AO53" t="s">
        <v>44</v>
      </c>
      <c r="AP53">
        <v>59.456390224006398</v>
      </c>
      <c r="AQ53" t="s">
        <v>81</v>
      </c>
    </row>
    <row r="54" spans="1:43" x14ac:dyDescent="0.3">
      <c r="A54" t="s">
        <v>70</v>
      </c>
      <c r="B54" t="s">
        <v>59</v>
      </c>
      <c r="C54" t="s">
        <v>53</v>
      </c>
      <c r="D54" t="s">
        <v>49</v>
      </c>
      <c r="E54" t="s">
        <v>54</v>
      </c>
      <c r="F54">
        <v>51</v>
      </c>
      <c r="G54">
        <v>11</v>
      </c>
      <c r="H54">
        <v>2</v>
      </c>
      <c r="I54" t="s">
        <v>54</v>
      </c>
      <c r="J54">
        <v>1</v>
      </c>
      <c r="K54">
        <v>0.66517570003634297</v>
      </c>
      <c r="L54" t="s">
        <v>51</v>
      </c>
      <c r="M54">
        <v>2</v>
      </c>
      <c r="N54">
        <v>11</v>
      </c>
      <c r="O54">
        <v>51</v>
      </c>
      <c r="P54">
        <v>2</v>
      </c>
      <c r="Q54">
        <v>77.474790500011295</v>
      </c>
      <c r="V54">
        <v>77.4645864000194</v>
      </c>
      <c r="W54">
        <v>77.474790500011295</v>
      </c>
      <c r="X54">
        <v>77.974244900047694</v>
      </c>
      <c r="Y54">
        <v>77.974244900047694</v>
      </c>
      <c r="Z54">
        <v>77.974244900047694</v>
      </c>
      <c r="AA54">
        <v>78.644612900039604</v>
      </c>
      <c r="AB54" t="s">
        <v>54</v>
      </c>
      <c r="AC54">
        <v>1</v>
      </c>
      <c r="AD54">
        <v>0.66517570003634297</v>
      </c>
      <c r="AE54" t="s">
        <v>51</v>
      </c>
      <c r="AJ54">
        <v>2</v>
      </c>
      <c r="AK54">
        <v>1</v>
      </c>
      <c r="AL54" t="s">
        <v>80</v>
      </c>
      <c r="AM54" t="s">
        <v>43</v>
      </c>
      <c r="AO54" t="s">
        <v>44</v>
      </c>
      <c r="AP54">
        <v>59.456390224006398</v>
      </c>
      <c r="AQ54" t="s">
        <v>81</v>
      </c>
    </row>
    <row r="55" spans="1:43" x14ac:dyDescent="0.3">
      <c r="A55" t="s">
        <v>67</v>
      </c>
      <c r="B55" t="s">
        <v>47</v>
      </c>
      <c r="C55" t="s">
        <v>53</v>
      </c>
      <c r="D55" t="s">
        <v>49</v>
      </c>
      <c r="E55" t="s">
        <v>54</v>
      </c>
      <c r="F55">
        <v>52</v>
      </c>
      <c r="G55">
        <v>12</v>
      </c>
      <c r="H55">
        <v>2</v>
      </c>
      <c r="I55" t="s">
        <v>54</v>
      </c>
      <c r="J55">
        <v>1</v>
      </c>
      <c r="K55">
        <v>0.46160089998738801</v>
      </c>
      <c r="L55" t="s">
        <v>51</v>
      </c>
      <c r="M55">
        <v>2</v>
      </c>
      <c r="N55">
        <v>12</v>
      </c>
      <c r="O55">
        <v>52</v>
      </c>
      <c r="P55">
        <v>10</v>
      </c>
      <c r="Q55">
        <v>78.658139800012506</v>
      </c>
      <c r="V55">
        <v>78.647309200023301</v>
      </c>
      <c r="W55">
        <v>78.658139800012506</v>
      </c>
      <c r="X55">
        <v>79.157647200045105</v>
      </c>
      <c r="Y55">
        <v>79.157647200045105</v>
      </c>
      <c r="Z55">
        <v>79.157647200045105</v>
      </c>
      <c r="AA55">
        <v>79.627894900040701</v>
      </c>
      <c r="AB55" t="s">
        <v>54</v>
      </c>
      <c r="AC55">
        <v>1</v>
      </c>
      <c r="AD55">
        <v>0.46160089998738801</v>
      </c>
      <c r="AE55" t="s">
        <v>51</v>
      </c>
      <c r="AJ55">
        <v>2</v>
      </c>
      <c r="AK55">
        <v>1</v>
      </c>
      <c r="AL55" t="s">
        <v>80</v>
      </c>
      <c r="AM55" t="s">
        <v>43</v>
      </c>
      <c r="AO55" t="s">
        <v>44</v>
      </c>
      <c r="AP55">
        <v>59.456390224006398</v>
      </c>
      <c r="AQ55" t="s">
        <v>81</v>
      </c>
    </row>
    <row r="56" spans="1:43" x14ac:dyDescent="0.3">
      <c r="A56" t="s">
        <v>75</v>
      </c>
      <c r="B56" t="s">
        <v>47</v>
      </c>
      <c r="C56" t="s">
        <v>61</v>
      </c>
      <c r="D56" t="s">
        <v>49</v>
      </c>
      <c r="E56" t="s">
        <v>63</v>
      </c>
      <c r="F56">
        <v>53</v>
      </c>
      <c r="G56">
        <v>13</v>
      </c>
      <c r="H56">
        <v>2</v>
      </c>
      <c r="I56" t="s">
        <v>63</v>
      </c>
      <c r="J56">
        <v>1</v>
      </c>
      <c r="K56">
        <v>0.55240360001334898</v>
      </c>
      <c r="L56" t="s">
        <v>51</v>
      </c>
      <c r="M56">
        <v>2</v>
      </c>
      <c r="N56">
        <v>13</v>
      </c>
      <c r="O56">
        <v>53</v>
      </c>
      <c r="P56">
        <v>16</v>
      </c>
      <c r="Q56">
        <v>79.641024500015106</v>
      </c>
      <c r="V56">
        <v>79.6304713000427</v>
      </c>
      <c r="W56">
        <v>79.641024500015106</v>
      </c>
      <c r="X56">
        <v>80.140913000039205</v>
      </c>
      <c r="Y56">
        <v>80.140913000039205</v>
      </c>
      <c r="Z56">
        <v>80.140913000039205</v>
      </c>
      <c r="AA56">
        <v>80.695359600009397</v>
      </c>
      <c r="AB56" t="s">
        <v>63</v>
      </c>
      <c r="AC56">
        <v>1</v>
      </c>
      <c r="AD56">
        <v>0.55240360001334898</v>
      </c>
      <c r="AE56" t="s">
        <v>51</v>
      </c>
      <c r="AJ56">
        <v>2</v>
      </c>
      <c r="AK56">
        <v>1</v>
      </c>
      <c r="AL56" t="s">
        <v>80</v>
      </c>
      <c r="AM56" t="s">
        <v>43</v>
      </c>
      <c r="AO56" t="s">
        <v>44</v>
      </c>
      <c r="AP56">
        <v>59.456390224006398</v>
      </c>
      <c r="AQ56" t="s">
        <v>81</v>
      </c>
    </row>
    <row r="57" spans="1:43" x14ac:dyDescent="0.3">
      <c r="A57" t="s">
        <v>78</v>
      </c>
      <c r="B57" t="s">
        <v>47</v>
      </c>
      <c r="C57" t="s">
        <v>56</v>
      </c>
      <c r="D57" t="s">
        <v>49</v>
      </c>
      <c r="E57" t="s">
        <v>57</v>
      </c>
      <c r="F57">
        <v>54</v>
      </c>
      <c r="G57">
        <v>14</v>
      </c>
      <c r="H57">
        <v>2</v>
      </c>
      <c r="I57" t="s">
        <v>57</v>
      </c>
      <c r="J57">
        <v>1</v>
      </c>
      <c r="K57">
        <v>0.52570719999493998</v>
      </c>
      <c r="L57" t="s">
        <v>51</v>
      </c>
      <c r="M57">
        <v>2</v>
      </c>
      <c r="N57">
        <v>14</v>
      </c>
      <c r="O57">
        <v>54</v>
      </c>
      <c r="P57">
        <v>17</v>
      </c>
      <c r="Q57">
        <v>80.708038000040602</v>
      </c>
      <c r="V57">
        <v>80.698538700002203</v>
      </c>
      <c r="W57">
        <v>80.708038000040602</v>
      </c>
      <c r="X57">
        <v>81.208102700009405</v>
      </c>
      <c r="Y57">
        <v>81.208102700009405</v>
      </c>
      <c r="Z57">
        <v>81.208102700009405</v>
      </c>
      <c r="AA57">
        <v>81.7453490000334</v>
      </c>
      <c r="AB57" t="s">
        <v>57</v>
      </c>
      <c r="AC57">
        <v>1</v>
      </c>
      <c r="AD57">
        <v>0.52570719999493998</v>
      </c>
      <c r="AE57" t="s">
        <v>51</v>
      </c>
      <c r="AJ57">
        <v>2</v>
      </c>
      <c r="AK57">
        <v>1</v>
      </c>
      <c r="AL57" t="s">
        <v>80</v>
      </c>
      <c r="AM57" t="s">
        <v>43</v>
      </c>
      <c r="AO57" t="s">
        <v>44</v>
      </c>
      <c r="AP57">
        <v>59.456390224006398</v>
      </c>
      <c r="AQ57" t="s">
        <v>81</v>
      </c>
    </row>
    <row r="58" spans="1:43" x14ac:dyDescent="0.3">
      <c r="A58" t="s">
        <v>46</v>
      </c>
      <c r="B58" t="s">
        <v>47</v>
      </c>
      <c r="C58" t="s">
        <v>48</v>
      </c>
      <c r="D58" t="s">
        <v>49</v>
      </c>
      <c r="E58" t="s">
        <v>50</v>
      </c>
      <c r="F58">
        <v>55</v>
      </c>
      <c r="G58">
        <v>15</v>
      </c>
      <c r="H58">
        <v>2</v>
      </c>
      <c r="I58" t="s">
        <v>50</v>
      </c>
      <c r="J58">
        <v>1</v>
      </c>
      <c r="K58">
        <v>0.72204620001139097</v>
      </c>
      <c r="L58" t="s">
        <v>51</v>
      </c>
      <c r="M58">
        <v>2</v>
      </c>
      <c r="N58">
        <v>15</v>
      </c>
      <c r="O58">
        <v>55</v>
      </c>
      <c r="P58">
        <v>19</v>
      </c>
      <c r="Q58">
        <v>81.758105900022201</v>
      </c>
      <c r="V58">
        <v>81.748130800027795</v>
      </c>
      <c r="W58">
        <v>81.758105900022201</v>
      </c>
      <c r="X58">
        <v>82.258016100036897</v>
      </c>
      <c r="Y58">
        <v>82.258016100036897</v>
      </c>
      <c r="Z58">
        <v>82.258016100036897</v>
      </c>
      <c r="AA58">
        <v>82.996709600032702</v>
      </c>
      <c r="AB58" t="s">
        <v>50</v>
      </c>
      <c r="AC58">
        <v>1</v>
      </c>
      <c r="AD58">
        <v>0.72204620001139097</v>
      </c>
      <c r="AE58" t="s">
        <v>51</v>
      </c>
      <c r="AJ58">
        <v>2</v>
      </c>
      <c r="AK58">
        <v>1</v>
      </c>
      <c r="AL58" t="s">
        <v>80</v>
      </c>
      <c r="AM58" t="s">
        <v>43</v>
      </c>
      <c r="AO58" t="s">
        <v>44</v>
      </c>
      <c r="AP58">
        <v>59.456390224006398</v>
      </c>
      <c r="AQ58" t="s">
        <v>81</v>
      </c>
    </row>
    <row r="59" spans="1:43" x14ac:dyDescent="0.3">
      <c r="A59" t="s">
        <v>60</v>
      </c>
      <c r="B59" t="s">
        <v>59</v>
      </c>
      <c r="C59" t="s">
        <v>61</v>
      </c>
      <c r="D59" t="s">
        <v>62</v>
      </c>
      <c r="E59" t="s">
        <v>63</v>
      </c>
      <c r="F59">
        <v>56</v>
      </c>
      <c r="G59">
        <v>16</v>
      </c>
      <c r="H59">
        <v>2</v>
      </c>
      <c r="I59" t="s">
        <v>63</v>
      </c>
      <c r="J59">
        <v>1</v>
      </c>
      <c r="K59">
        <v>0.55074899998726301</v>
      </c>
      <c r="L59" t="s">
        <v>51</v>
      </c>
      <c r="M59">
        <v>2</v>
      </c>
      <c r="N59">
        <v>16</v>
      </c>
      <c r="O59">
        <v>56</v>
      </c>
      <c r="P59">
        <v>0</v>
      </c>
      <c r="Q59">
        <v>83.008036700019105</v>
      </c>
      <c r="V59">
        <v>83.000412200053603</v>
      </c>
      <c r="W59">
        <v>83.008036700019105</v>
      </c>
      <c r="X59">
        <v>83.508545200049397</v>
      </c>
      <c r="Y59">
        <v>83.508545200049397</v>
      </c>
      <c r="Z59">
        <v>83.508545200049397</v>
      </c>
      <c r="AA59">
        <v>84.061694700038004</v>
      </c>
      <c r="AB59" t="s">
        <v>63</v>
      </c>
      <c r="AC59">
        <v>1</v>
      </c>
      <c r="AD59">
        <v>0.55074899998726301</v>
      </c>
      <c r="AE59" t="s">
        <v>51</v>
      </c>
      <c r="AJ59">
        <v>2</v>
      </c>
      <c r="AK59">
        <v>1</v>
      </c>
      <c r="AL59" t="s">
        <v>80</v>
      </c>
      <c r="AM59" t="s">
        <v>43</v>
      </c>
      <c r="AO59" t="s">
        <v>44</v>
      </c>
      <c r="AP59">
        <v>59.456390224006398</v>
      </c>
      <c r="AQ59" t="s">
        <v>81</v>
      </c>
    </row>
    <row r="60" spans="1:43" x14ac:dyDescent="0.3">
      <c r="A60" t="s">
        <v>69</v>
      </c>
      <c r="B60" t="s">
        <v>59</v>
      </c>
      <c r="C60" t="s">
        <v>56</v>
      </c>
      <c r="D60" t="s">
        <v>49</v>
      </c>
      <c r="E60" t="s">
        <v>57</v>
      </c>
      <c r="F60">
        <v>57</v>
      </c>
      <c r="G60">
        <v>17</v>
      </c>
      <c r="H60">
        <v>2</v>
      </c>
      <c r="I60" t="s">
        <v>57</v>
      </c>
      <c r="J60">
        <v>1</v>
      </c>
      <c r="K60">
        <v>0.77268989995354698</v>
      </c>
      <c r="L60" t="s">
        <v>51</v>
      </c>
      <c r="M60">
        <v>2</v>
      </c>
      <c r="N60">
        <v>17</v>
      </c>
      <c r="O60">
        <v>57</v>
      </c>
      <c r="P60">
        <v>5</v>
      </c>
      <c r="Q60">
        <v>84.074005500005995</v>
      </c>
      <c r="V60">
        <v>84.064790800039106</v>
      </c>
      <c r="W60">
        <v>84.074005500005995</v>
      </c>
      <c r="X60">
        <v>84.574468600039793</v>
      </c>
      <c r="Y60">
        <v>84.574468600039793</v>
      </c>
      <c r="Z60">
        <v>84.574468600039793</v>
      </c>
      <c r="AA60">
        <v>85.361913800006704</v>
      </c>
      <c r="AB60" t="s">
        <v>57</v>
      </c>
      <c r="AC60">
        <v>1</v>
      </c>
      <c r="AD60">
        <v>0.77268989995354698</v>
      </c>
      <c r="AE60" t="s">
        <v>51</v>
      </c>
      <c r="AJ60">
        <v>2</v>
      </c>
      <c r="AK60">
        <v>1</v>
      </c>
      <c r="AL60" t="s">
        <v>80</v>
      </c>
      <c r="AM60" t="s">
        <v>43</v>
      </c>
      <c r="AO60" t="s">
        <v>44</v>
      </c>
      <c r="AP60">
        <v>59.456390224006398</v>
      </c>
      <c r="AQ60" t="s">
        <v>81</v>
      </c>
    </row>
    <row r="61" spans="1:43" x14ac:dyDescent="0.3">
      <c r="A61" t="s">
        <v>76</v>
      </c>
      <c r="B61" t="s">
        <v>59</v>
      </c>
      <c r="C61" t="s">
        <v>48</v>
      </c>
      <c r="D61" t="s">
        <v>49</v>
      </c>
      <c r="E61" t="s">
        <v>50</v>
      </c>
      <c r="F61">
        <v>58</v>
      </c>
      <c r="G61">
        <v>18</v>
      </c>
      <c r="H61">
        <v>2</v>
      </c>
      <c r="I61" t="s">
        <v>50</v>
      </c>
      <c r="J61">
        <v>1</v>
      </c>
      <c r="K61">
        <v>1.2532569000031799</v>
      </c>
      <c r="L61" t="s">
        <v>51</v>
      </c>
      <c r="M61">
        <v>2</v>
      </c>
      <c r="N61">
        <v>18</v>
      </c>
      <c r="O61">
        <v>58</v>
      </c>
      <c r="P61">
        <v>3</v>
      </c>
      <c r="Q61">
        <v>85.374620000016805</v>
      </c>
      <c r="V61">
        <v>85.364569800032697</v>
      </c>
      <c r="W61">
        <v>85.374620000016805</v>
      </c>
      <c r="X61">
        <v>85.874765500018796</v>
      </c>
      <c r="Y61">
        <v>85.874765500018796</v>
      </c>
      <c r="Z61">
        <v>85.874765500018796</v>
      </c>
      <c r="AA61">
        <v>87.144783900002906</v>
      </c>
      <c r="AB61" t="s">
        <v>50</v>
      </c>
      <c r="AC61">
        <v>1</v>
      </c>
      <c r="AD61">
        <v>1.2532569000031799</v>
      </c>
      <c r="AE61" t="s">
        <v>51</v>
      </c>
      <c r="AJ61">
        <v>2</v>
      </c>
      <c r="AK61">
        <v>1</v>
      </c>
      <c r="AL61" t="s">
        <v>80</v>
      </c>
      <c r="AM61" t="s">
        <v>43</v>
      </c>
      <c r="AO61" t="s">
        <v>44</v>
      </c>
      <c r="AP61">
        <v>59.456390224006398</v>
      </c>
      <c r="AQ61" t="s">
        <v>81</v>
      </c>
    </row>
    <row r="62" spans="1:43" x14ac:dyDescent="0.3">
      <c r="A62" t="s">
        <v>58</v>
      </c>
      <c r="B62" t="s">
        <v>59</v>
      </c>
      <c r="C62" t="s">
        <v>48</v>
      </c>
      <c r="D62" t="s">
        <v>49</v>
      </c>
      <c r="E62" t="s">
        <v>50</v>
      </c>
      <c r="F62">
        <v>59</v>
      </c>
      <c r="G62">
        <v>19</v>
      </c>
      <c r="H62">
        <v>2</v>
      </c>
      <c r="I62" t="s">
        <v>50</v>
      </c>
      <c r="J62">
        <v>1</v>
      </c>
      <c r="K62">
        <v>0.48359810002148101</v>
      </c>
      <c r="L62" t="s">
        <v>51</v>
      </c>
      <c r="M62">
        <v>2</v>
      </c>
      <c r="N62">
        <v>19</v>
      </c>
      <c r="O62">
        <v>59</v>
      </c>
      <c r="P62">
        <v>7</v>
      </c>
      <c r="Q62">
        <v>87.157429800019599</v>
      </c>
      <c r="V62">
        <v>87.147488300048195</v>
      </c>
      <c r="W62">
        <v>87.157429800019599</v>
      </c>
      <c r="X62">
        <v>87.657866000023205</v>
      </c>
      <c r="Y62">
        <v>87.657866000023205</v>
      </c>
      <c r="Z62">
        <v>87.657866000023205</v>
      </c>
      <c r="AA62">
        <v>88.145008400024295</v>
      </c>
      <c r="AB62" t="s">
        <v>50</v>
      </c>
      <c r="AC62">
        <v>1</v>
      </c>
      <c r="AD62">
        <v>0.48359810002148101</v>
      </c>
      <c r="AE62" t="s">
        <v>51</v>
      </c>
      <c r="AJ62">
        <v>2</v>
      </c>
      <c r="AK62">
        <v>1</v>
      </c>
      <c r="AL62" t="s">
        <v>80</v>
      </c>
      <c r="AM62" t="s">
        <v>43</v>
      </c>
      <c r="AO62" t="s">
        <v>44</v>
      </c>
      <c r="AP62">
        <v>59.456390224006398</v>
      </c>
      <c r="AQ62" t="s">
        <v>81</v>
      </c>
    </row>
    <row r="63" spans="1:43" x14ac:dyDescent="0.3">
      <c r="A63" t="s">
        <v>78</v>
      </c>
      <c r="B63" t="s">
        <v>47</v>
      </c>
      <c r="C63" t="s">
        <v>56</v>
      </c>
      <c r="D63" t="s">
        <v>49</v>
      </c>
      <c r="E63" t="s">
        <v>57</v>
      </c>
      <c r="F63">
        <v>60</v>
      </c>
      <c r="G63">
        <v>0</v>
      </c>
      <c r="H63">
        <v>3</v>
      </c>
      <c r="I63" t="s">
        <v>57</v>
      </c>
      <c r="J63">
        <v>1</v>
      </c>
      <c r="K63">
        <v>0.86322549998294495</v>
      </c>
      <c r="L63" t="s">
        <v>51</v>
      </c>
      <c r="M63">
        <v>3</v>
      </c>
      <c r="N63">
        <v>0</v>
      </c>
      <c r="O63">
        <v>60</v>
      </c>
      <c r="P63">
        <v>17</v>
      </c>
      <c r="Q63">
        <v>88.157857900019707</v>
      </c>
      <c r="V63">
        <v>88.148088900023097</v>
      </c>
      <c r="W63">
        <v>88.157857900019707</v>
      </c>
      <c r="X63">
        <v>88.657862700056199</v>
      </c>
      <c r="Y63">
        <v>88.657862700056199</v>
      </c>
      <c r="Z63">
        <v>88.657862700056199</v>
      </c>
      <c r="AA63">
        <v>89.527871199999893</v>
      </c>
      <c r="AB63" t="s">
        <v>57</v>
      </c>
      <c r="AC63">
        <v>1</v>
      </c>
      <c r="AD63">
        <v>0.86322549998294495</v>
      </c>
      <c r="AE63" t="s">
        <v>51</v>
      </c>
      <c r="AJ63">
        <v>2</v>
      </c>
      <c r="AK63">
        <v>1</v>
      </c>
      <c r="AL63" t="s">
        <v>80</v>
      </c>
      <c r="AM63" t="s">
        <v>43</v>
      </c>
      <c r="AO63" t="s">
        <v>44</v>
      </c>
      <c r="AP63">
        <v>59.456390224006398</v>
      </c>
      <c r="AQ63" t="s">
        <v>81</v>
      </c>
    </row>
    <row r="64" spans="1:43" x14ac:dyDescent="0.3">
      <c r="A64" t="s">
        <v>64</v>
      </c>
      <c r="B64" t="s">
        <v>47</v>
      </c>
      <c r="C64" t="s">
        <v>53</v>
      </c>
      <c r="D64" t="s">
        <v>49</v>
      </c>
      <c r="E64" t="s">
        <v>54</v>
      </c>
      <c r="F64">
        <v>61</v>
      </c>
      <c r="G64">
        <v>1</v>
      </c>
      <c r="H64">
        <v>3</v>
      </c>
      <c r="I64" t="s">
        <v>63</v>
      </c>
      <c r="J64">
        <v>0</v>
      </c>
      <c r="K64">
        <v>0.60449090000474803</v>
      </c>
      <c r="L64" t="s">
        <v>51</v>
      </c>
      <c r="M64">
        <v>3</v>
      </c>
      <c r="N64">
        <v>1</v>
      </c>
      <c r="O64">
        <v>61</v>
      </c>
      <c r="P64">
        <v>18</v>
      </c>
      <c r="Q64">
        <v>89.540728300053104</v>
      </c>
      <c r="V64">
        <v>89.530756700027197</v>
      </c>
      <c r="W64">
        <v>89.540728300053104</v>
      </c>
      <c r="X64">
        <v>90.041312600020305</v>
      </c>
      <c r="Y64">
        <v>90.041312600020305</v>
      </c>
      <c r="Z64">
        <v>90.041312600020305</v>
      </c>
      <c r="AA64">
        <v>90.647578000032794</v>
      </c>
      <c r="AB64" t="s">
        <v>63</v>
      </c>
      <c r="AC64">
        <v>0</v>
      </c>
      <c r="AD64">
        <v>0.60449090000474803</v>
      </c>
      <c r="AE64" t="s">
        <v>51</v>
      </c>
      <c r="AJ64">
        <v>2</v>
      </c>
      <c r="AK64">
        <v>1</v>
      </c>
      <c r="AL64" t="s">
        <v>80</v>
      </c>
      <c r="AM64" t="s">
        <v>43</v>
      </c>
      <c r="AO64" t="s">
        <v>44</v>
      </c>
      <c r="AP64">
        <v>59.456390224006398</v>
      </c>
      <c r="AQ64" t="s">
        <v>81</v>
      </c>
    </row>
    <row r="65" spans="1:43" x14ac:dyDescent="0.3">
      <c r="A65" t="s">
        <v>72</v>
      </c>
      <c r="B65" t="s">
        <v>59</v>
      </c>
      <c r="C65" t="s">
        <v>61</v>
      </c>
      <c r="D65" t="s">
        <v>62</v>
      </c>
      <c r="E65" t="s">
        <v>63</v>
      </c>
      <c r="F65">
        <v>62</v>
      </c>
      <c r="G65">
        <v>2</v>
      </c>
      <c r="H65">
        <v>3</v>
      </c>
      <c r="I65" t="s">
        <v>63</v>
      </c>
      <c r="J65">
        <v>1</v>
      </c>
      <c r="K65">
        <v>0.95112959999823898</v>
      </c>
      <c r="L65" t="s">
        <v>51</v>
      </c>
      <c r="M65">
        <v>3</v>
      </c>
      <c r="N65">
        <v>2</v>
      </c>
      <c r="O65">
        <v>62</v>
      </c>
      <c r="P65">
        <v>8</v>
      </c>
      <c r="Q65">
        <v>90.674591500020995</v>
      </c>
      <c r="V65">
        <v>90.651814500044495</v>
      </c>
      <c r="W65">
        <v>90.674591500020995</v>
      </c>
      <c r="X65">
        <v>91.157562400039694</v>
      </c>
      <c r="Y65">
        <v>91.157562400039694</v>
      </c>
      <c r="Z65">
        <v>91.157562400039694</v>
      </c>
      <c r="AA65">
        <v>92.111419400025596</v>
      </c>
      <c r="AB65" t="s">
        <v>63</v>
      </c>
      <c r="AC65">
        <v>1</v>
      </c>
      <c r="AD65">
        <v>0.95112959999823898</v>
      </c>
      <c r="AE65" t="s">
        <v>51</v>
      </c>
      <c r="AJ65">
        <v>2</v>
      </c>
      <c r="AK65">
        <v>1</v>
      </c>
      <c r="AL65" t="s">
        <v>80</v>
      </c>
      <c r="AM65" t="s">
        <v>43</v>
      </c>
      <c r="AO65" t="s">
        <v>44</v>
      </c>
      <c r="AP65">
        <v>59.456390224006398</v>
      </c>
      <c r="AQ65" t="s">
        <v>81</v>
      </c>
    </row>
    <row r="66" spans="1:43" x14ac:dyDescent="0.3">
      <c r="A66" t="s">
        <v>71</v>
      </c>
      <c r="B66" t="s">
        <v>47</v>
      </c>
      <c r="C66" t="s">
        <v>48</v>
      </c>
      <c r="D66" t="s">
        <v>49</v>
      </c>
      <c r="E66" t="s">
        <v>50</v>
      </c>
      <c r="F66">
        <v>63</v>
      </c>
      <c r="G66">
        <v>3</v>
      </c>
      <c r="H66">
        <v>3</v>
      </c>
      <c r="I66" t="s">
        <v>50</v>
      </c>
      <c r="J66">
        <v>1</v>
      </c>
      <c r="K66">
        <v>0.825581799959763</v>
      </c>
      <c r="L66" t="s">
        <v>51</v>
      </c>
      <c r="M66">
        <v>3</v>
      </c>
      <c r="N66">
        <v>3</v>
      </c>
      <c r="O66">
        <v>63</v>
      </c>
      <c r="P66">
        <v>15</v>
      </c>
      <c r="Q66">
        <v>92.124472100054803</v>
      </c>
      <c r="V66">
        <v>92.115622200013604</v>
      </c>
      <c r="W66">
        <v>92.124472100054803</v>
      </c>
      <c r="X66">
        <v>92.624428300012298</v>
      </c>
      <c r="Y66">
        <v>92.624428300012298</v>
      </c>
      <c r="Z66">
        <v>92.624428300012298</v>
      </c>
      <c r="AA66">
        <v>93.461043100047306</v>
      </c>
      <c r="AB66" t="s">
        <v>50</v>
      </c>
      <c r="AC66">
        <v>1</v>
      </c>
      <c r="AD66">
        <v>0.825581799959763</v>
      </c>
      <c r="AE66" t="s">
        <v>51</v>
      </c>
      <c r="AJ66">
        <v>2</v>
      </c>
      <c r="AK66">
        <v>1</v>
      </c>
      <c r="AL66" t="s">
        <v>80</v>
      </c>
      <c r="AM66" t="s">
        <v>43</v>
      </c>
      <c r="AO66" t="s">
        <v>44</v>
      </c>
      <c r="AP66">
        <v>59.456390224006398</v>
      </c>
      <c r="AQ66" t="s">
        <v>81</v>
      </c>
    </row>
    <row r="67" spans="1:43" x14ac:dyDescent="0.3">
      <c r="A67" t="s">
        <v>58</v>
      </c>
      <c r="B67" t="s">
        <v>59</v>
      </c>
      <c r="C67" t="s">
        <v>48</v>
      </c>
      <c r="D67" t="s">
        <v>49</v>
      </c>
      <c r="E67" t="s">
        <v>50</v>
      </c>
      <c r="F67">
        <v>64</v>
      </c>
      <c r="G67">
        <v>4</v>
      </c>
      <c r="H67">
        <v>3</v>
      </c>
      <c r="I67" t="s">
        <v>50</v>
      </c>
      <c r="J67">
        <v>1</v>
      </c>
      <c r="K67">
        <v>0.64167769998311996</v>
      </c>
      <c r="L67" t="s">
        <v>51</v>
      </c>
      <c r="M67">
        <v>3</v>
      </c>
      <c r="N67">
        <v>4</v>
      </c>
      <c r="O67">
        <v>64</v>
      </c>
      <c r="P67">
        <v>7</v>
      </c>
      <c r="Q67">
        <v>93.474059300031499</v>
      </c>
      <c r="V67">
        <v>93.464020700019304</v>
      </c>
      <c r="W67">
        <v>93.474059300031499</v>
      </c>
      <c r="X67">
        <v>93.974329200049397</v>
      </c>
      <c r="Y67">
        <v>93.974329200049397</v>
      </c>
      <c r="Z67">
        <v>93.974329200049397</v>
      </c>
      <c r="AA67">
        <v>94.630336700007305</v>
      </c>
      <c r="AB67" t="s">
        <v>50</v>
      </c>
      <c r="AC67">
        <v>1</v>
      </c>
      <c r="AD67">
        <v>0.64167769998311996</v>
      </c>
      <c r="AE67" t="s">
        <v>51</v>
      </c>
      <c r="AJ67">
        <v>2</v>
      </c>
      <c r="AK67">
        <v>1</v>
      </c>
      <c r="AL67" t="s">
        <v>80</v>
      </c>
      <c r="AM67" t="s">
        <v>43</v>
      </c>
      <c r="AO67" t="s">
        <v>44</v>
      </c>
      <c r="AP67">
        <v>59.456390224006398</v>
      </c>
      <c r="AQ67" t="s">
        <v>81</v>
      </c>
    </row>
    <row r="68" spans="1:43" x14ac:dyDescent="0.3">
      <c r="A68" t="s">
        <v>75</v>
      </c>
      <c r="B68" t="s">
        <v>47</v>
      </c>
      <c r="C68" t="s">
        <v>61</v>
      </c>
      <c r="D68" t="s">
        <v>49</v>
      </c>
      <c r="E68" t="s">
        <v>63</v>
      </c>
      <c r="F68">
        <v>65</v>
      </c>
      <c r="G68">
        <v>5</v>
      </c>
      <c r="H68">
        <v>3</v>
      </c>
      <c r="I68" t="s">
        <v>63</v>
      </c>
      <c r="J68">
        <v>1</v>
      </c>
      <c r="K68">
        <v>0.97379260003799495</v>
      </c>
      <c r="L68" t="s">
        <v>51</v>
      </c>
      <c r="M68">
        <v>3</v>
      </c>
      <c r="N68">
        <v>5</v>
      </c>
      <c r="O68">
        <v>65</v>
      </c>
      <c r="P68">
        <v>16</v>
      </c>
      <c r="Q68">
        <v>94.640677000046693</v>
      </c>
      <c r="V68">
        <v>94.633908900024807</v>
      </c>
      <c r="W68">
        <v>94.640677000046693</v>
      </c>
      <c r="X68">
        <v>95.141322500014198</v>
      </c>
      <c r="Y68">
        <v>95.141322500014198</v>
      </c>
      <c r="Z68">
        <v>95.141322500014198</v>
      </c>
      <c r="AA68">
        <v>96.1262858000118</v>
      </c>
      <c r="AB68" t="s">
        <v>63</v>
      </c>
      <c r="AC68">
        <v>1</v>
      </c>
      <c r="AD68">
        <v>0.97379260003799495</v>
      </c>
      <c r="AE68" t="s">
        <v>51</v>
      </c>
      <c r="AJ68">
        <v>2</v>
      </c>
      <c r="AK68">
        <v>1</v>
      </c>
      <c r="AL68" t="s">
        <v>80</v>
      </c>
      <c r="AM68" t="s">
        <v>43</v>
      </c>
      <c r="AO68" t="s">
        <v>44</v>
      </c>
      <c r="AP68">
        <v>59.456390224006398</v>
      </c>
      <c r="AQ68" t="s">
        <v>81</v>
      </c>
    </row>
    <row r="69" spans="1:43" x14ac:dyDescent="0.3">
      <c r="A69" t="s">
        <v>77</v>
      </c>
      <c r="B69" t="s">
        <v>59</v>
      </c>
      <c r="C69" t="s">
        <v>61</v>
      </c>
      <c r="D69" t="s">
        <v>62</v>
      </c>
      <c r="E69" t="s">
        <v>63</v>
      </c>
      <c r="F69">
        <v>66</v>
      </c>
      <c r="G69">
        <v>6</v>
      </c>
      <c r="H69">
        <v>3</v>
      </c>
      <c r="I69" t="s">
        <v>63</v>
      </c>
      <c r="J69">
        <v>1</v>
      </c>
      <c r="K69">
        <v>0.43732650001766099</v>
      </c>
      <c r="L69" t="s">
        <v>51</v>
      </c>
      <c r="M69">
        <v>3</v>
      </c>
      <c r="N69">
        <v>6</v>
      </c>
      <c r="O69">
        <v>66</v>
      </c>
      <c r="P69">
        <v>4</v>
      </c>
      <c r="Q69">
        <v>96.139948600029996</v>
      </c>
      <c r="V69">
        <v>96.1288408000255</v>
      </c>
      <c r="W69">
        <v>96.139948600029996</v>
      </c>
      <c r="X69">
        <v>96.639407000038702</v>
      </c>
      <c r="Y69">
        <v>96.639407000038702</v>
      </c>
      <c r="Z69">
        <v>96.639407000038702</v>
      </c>
      <c r="AA69">
        <v>97.077108600002205</v>
      </c>
      <c r="AB69" t="s">
        <v>63</v>
      </c>
      <c r="AC69">
        <v>1</v>
      </c>
      <c r="AD69">
        <v>0.43732650001766099</v>
      </c>
      <c r="AE69" t="s">
        <v>51</v>
      </c>
      <c r="AJ69">
        <v>2</v>
      </c>
      <c r="AK69">
        <v>1</v>
      </c>
      <c r="AL69" t="s">
        <v>80</v>
      </c>
      <c r="AM69" t="s">
        <v>43</v>
      </c>
      <c r="AO69" t="s">
        <v>44</v>
      </c>
      <c r="AP69">
        <v>59.456390224006398</v>
      </c>
      <c r="AQ69" t="s">
        <v>81</v>
      </c>
    </row>
    <row r="70" spans="1:43" x14ac:dyDescent="0.3">
      <c r="A70" t="s">
        <v>66</v>
      </c>
      <c r="B70" t="s">
        <v>47</v>
      </c>
      <c r="C70" t="s">
        <v>61</v>
      </c>
      <c r="D70" t="s">
        <v>49</v>
      </c>
      <c r="E70" t="s">
        <v>63</v>
      </c>
      <c r="F70">
        <v>67</v>
      </c>
      <c r="G70">
        <v>7</v>
      </c>
      <c r="H70">
        <v>3</v>
      </c>
      <c r="I70" t="s">
        <v>63</v>
      </c>
      <c r="J70">
        <v>1</v>
      </c>
      <c r="K70">
        <v>0.48822259996086298</v>
      </c>
      <c r="L70" t="s">
        <v>51</v>
      </c>
      <c r="M70">
        <v>3</v>
      </c>
      <c r="N70">
        <v>7</v>
      </c>
      <c r="O70">
        <v>67</v>
      </c>
      <c r="P70">
        <v>12</v>
      </c>
      <c r="Q70">
        <v>97.090515100047895</v>
      </c>
      <c r="V70">
        <v>97.079971700033596</v>
      </c>
      <c r="W70">
        <v>97.090515100047895</v>
      </c>
      <c r="X70">
        <v>97.589380500023196</v>
      </c>
      <c r="Y70">
        <v>97.589380500023196</v>
      </c>
      <c r="Z70">
        <v>97.589380500023196</v>
      </c>
      <c r="AA70">
        <v>98.094298900046795</v>
      </c>
      <c r="AB70" t="s">
        <v>63</v>
      </c>
      <c r="AC70">
        <v>1</v>
      </c>
      <c r="AD70">
        <v>0.48822259996086298</v>
      </c>
      <c r="AE70" t="s">
        <v>51</v>
      </c>
      <c r="AJ70">
        <v>2</v>
      </c>
      <c r="AK70">
        <v>1</v>
      </c>
      <c r="AL70" t="s">
        <v>80</v>
      </c>
      <c r="AM70" t="s">
        <v>43</v>
      </c>
      <c r="AO70" t="s">
        <v>44</v>
      </c>
      <c r="AP70">
        <v>59.456390224006398</v>
      </c>
      <c r="AQ70" t="s">
        <v>81</v>
      </c>
    </row>
    <row r="71" spans="1:43" x14ac:dyDescent="0.3">
      <c r="A71" t="s">
        <v>76</v>
      </c>
      <c r="B71" t="s">
        <v>59</v>
      </c>
      <c r="C71" t="s">
        <v>48</v>
      </c>
      <c r="D71" t="s">
        <v>49</v>
      </c>
      <c r="E71" t="s">
        <v>50</v>
      </c>
      <c r="F71">
        <v>68</v>
      </c>
      <c r="G71">
        <v>8</v>
      </c>
      <c r="H71">
        <v>3</v>
      </c>
      <c r="I71" t="s">
        <v>50</v>
      </c>
      <c r="J71">
        <v>1</v>
      </c>
      <c r="K71">
        <v>0.90782289998605803</v>
      </c>
      <c r="L71" t="s">
        <v>51</v>
      </c>
      <c r="M71">
        <v>3</v>
      </c>
      <c r="N71">
        <v>8</v>
      </c>
      <c r="O71">
        <v>68</v>
      </c>
      <c r="P71">
        <v>3</v>
      </c>
      <c r="Q71">
        <v>98.107438200036995</v>
      </c>
      <c r="V71">
        <v>98.0985862000379</v>
      </c>
      <c r="W71">
        <v>98.107438200036995</v>
      </c>
      <c r="X71">
        <v>98.607287700055096</v>
      </c>
      <c r="Y71">
        <v>98.607287700055096</v>
      </c>
      <c r="Z71">
        <v>98.607287700055096</v>
      </c>
      <c r="AA71">
        <v>99.526040700031402</v>
      </c>
      <c r="AB71" t="s">
        <v>50</v>
      </c>
      <c r="AC71">
        <v>1</v>
      </c>
      <c r="AD71">
        <v>0.90782289998605803</v>
      </c>
      <c r="AE71" t="s">
        <v>51</v>
      </c>
      <c r="AJ71">
        <v>2</v>
      </c>
      <c r="AK71">
        <v>1</v>
      </c>
      <c r="AL71" t="s">
        <v>80</v>
      </c>
      <c r="AM71" t="s">
        <v>43</v>
      </c>
      <c r="AO71" t="s">
        <v>44</v>
      </c>
      <c r="AP71">
        <v>59.456390224006398</v>
      </c>
      <c r="AQ71" t="s">
        <v>81</v>
      </c>
    </row>
    <row r="72" spans="1:43" x14ac:dyDescent="0.3">
      <c r="A72" t="s">
        <v>73</v>
      </c>
      <c r="B72" t="s">
        <v>59</v>
      </c>
      <c r="C72" t="s">
        <v>56</v>
      </c>
      <c r="D72" t="s">
        <v>49</v>
      </c>
      <c r="E72" t="s">
        <v>57</v>
      </c>
      <c r="F72">
        <v>69</v>
      </c>
      <c r="G72">
        <v>9</v>
      </c>
      <c r="H72">
        <v>3</v>
      </c>
      <c r="I72" t="s">
        <v>57</v>
      </c>
      <c r="J72">
        <v>1</v>
      </c>
      <c r="K72">
        <v>0.57385469996370297</v>
      </c>
      <c r="L72" t="s">
        <v>51</v>
      </c>
      <c r="M72">
        <v>3</v>
      </c>
      <c r="N72">
        <v>9</v>
      </c>
      <c r="O72">
        <v>69</v>
      </c>
      <c r="P72">
        <v>1</v>
      </c>
      <c r="Q72">
        <v>99.539469300012499</v>
      </c>
      <c r="V72">
        <v>99.528577500022905</v>
      </c>
      <c r="W72">
        <v>99.539469300012499</v>
      </c>
      <c r="X72">
        <v>100.040983600018</v>
      </c>
      <c r="Y72">
        <v>100.040983600018</v>
      </c>
      <c r="Z72">
        <v>100.040983600018</v>
      </c>
      <c r="AA72">
        <v>100.62766140000799</v>
      </c>
      <c r="AB72" t="s">
        <v>57</v>
      </c>
      <c r="AC72">
        <v>1</v>
      </c>
      <c r="AD72">
        <v>0.57385469996370297</v>
      </c>
      <c r="AE72" t="s">
        <v>51</v>
      </c>
      <c r="AJ72">
        <v>2</v>
      </c>
      <c r="AK72">
        <v>1</v>
      </c>
      <c r="AL72" t="s">
        <v>80</v>
      </c>
      <c r="AM72" t="s">
        <v>43</v>
      </c>
      <c r="AO72" t="s">
        <v>44</v>
      </c>
      <c r="AP72">
        <v>59.456390224006398</v>
      </c>
      <c r="AQ72" t="s">
        <v>81</v>
      </c>
    </row>
    <row r="73" spans="1:43" x14ac:dyDescent="0.3">
      <c r="A73" t="s">
        <v>46</v>
      </c>
      <c r="B73" t="s">
        <v>47</v>
      </c>
      <c r="C73" t="s">
        <v>48</v>
      </c>
      <c r="D73" t="s">
        <v>49</v>
      </c>
      <c r="E73" t="s">
        <v>50</v>
      </c>
      <c r="F73">
        <v>70</v>
      </c>
      <c r="G73">
        <v>10</v>
      </c>
      <c r="H73">
        <v>3</v>
      </c>
      <c r="I73" t="s">
        <v>50</v>
      </c>
      <c r="J73">
        <v>1</v>
      </c>
      <c r="K73">
        <v>0.83155800000531599</v>
      </c>
      <c r="L73" t="s">
        <v>51</v>
      </c>
      <c r="M73">
        <v>3</v>
      </c>
      <c r="N73">
        <v>10</v>
      </c>
      <c r="O73">
        <v>70</v>
      </c>
      <c r="P73">
        <v>19</v>
      </c>
      <c r="Q73">
        <v>100.640241900051</v>
      </c>
      <c r="V73">
        <v>100.630938400048</v>
      </c>
      <c r="W73">
        <v>100.640241900051</v>
      </c>
      <c r="X73">
        <v>101.140194200037</v>
      </c>
      <c r="Y73">
        <v>101.140194200037</v>
      </c>
      <c r="Z73">
        <v>101.140194200037</v>
      </c>
      <c r="AA73">
        <v>101.978452400013</v>
      </c>
      <c r="AB73" t="s">
        <v>50</v>
      </c>
      <c r="AC73">
        <v>1</v>
      </c>
      <c r="AD73">
        <v>0.83155800000531599</v>
      </c>
      <c r="AE73" t="s">
        <v>51</v>
      </c>
      <c r="AJ73">
        <v>2</v>
      </c>
      <c r="AK73">
        <v>1</v>
      </c>
      <c r="AL73" t="s">
        <v>80</v>
      </c>
      <c r="AM73" t="s">
        <v>43</v>
      </c>
      <c r="AO73" t="s">
        <v>44</v>
      </c>
      <c r="AP73">
        <v>59.456390224006398</v>
      </c>
      <c r="AQ73" t="s">
        <v>81</v>
      </c>
    </row>
    <row r="74" spans="1:43" x14ac:dyDescent="0.3">
      <c r="A74" t="s">
        <v>67</v>
      </c>
      <c r="B74" t="s">
        <v>47</v>
      </c>
      <c r="C74" t="s">
        <v>53</v>
      </c>
      <c r="D74" t="s">
        <v>49</v>
      </c>
      <c r="E74" t="s">
        <v>54</v>
      </c>
      <c r="F74">
        <v>71</v>
      </c>
      <c r="G74">
        <v>11</v>
      </c>
      <c r="H74">
        <v>3</v>
      </c>
      <c r="I74" t="s">
        <v>54</v>
      </c>
      <c r="J74">
        <v>1</v>
      </c>
      <c r="K74">
        <v>0.56933359999675304</v>
      </c>
      <c r="L74" t="s">
        <v>51</v>
      </c>
      <c r="M74">
        <v>3</v>
      </c>
      <c r="N74">
        <v>11</v>
      </c>
      <c r="O74">
        <v>71</v>
      </c>
      <c r="P74">
        <v>10</v>
      </c>
      <c r="Q74">
        <v>101.99101770005601</v>
      </c>
      <c r="V74">
        <v>101.982164500048</v>
      </c>
      <c r="W74">
        <v>101.99101770005601</v>
      </c>
      <c r="X74">
        <v>102.491562200011</v>
      </c>
      <c r="Y74">
        <v>102.491562200011</v>
      </c>
      <c r="Z74">
        <v>102.491562200011</v>
      </c>
      <c r="AA74">
        <v>103.07760850002499</v>
      </c>
      <c r="AB74" t="s">
        <v>54</v>
      </c>
      <c r="AC74">
        <v>1</v>
      </c>
      <c r="AD74">
        <v>0.56933359999675304</v>
      </c>
      <c r="AE74" t="s">
        <v>51</v>
      </c>
      <c r="AJ74">
        <v>2</v>
      </c>
      <c r="AK74">
        <v>1</v>
      </c>
      <c r="AL74" t="s">
        <v>80</v>
      </c>
      <c r="AM74" t="s">
        <v>43</v>
      </c>
      <c r="AO74" t="s">
        <v>44</v>
      </c>
      <c r="AP74">
        <v>59.456390224006398</v>
      </c>
      <c r="AQ74" t="s">
        <v>81</v>
      </c>
    </row>
    <row r="75" spans="1:43" x14ac:dyDescent="0.3">
      <c r="A75" t="s">
        <v>55</v>
      </c>
      <c r="B75" t="s">
        <v>47</v>
      </c>
      <c r="C75" t="s">
        <v>56</v>
      </c>
      <c r="D75" t="s">
        <v>49</v>
      </c>
      <c r="E75" t="s">
        <v>57</v>
      </c>
      <c r="F75">
        <v>72</v>
      </c>
      <c r="G75">
        <v>12</v>
      </c>
      <c r="H75">
        <v>3</v>
      </c>
      <c r="I75" t="s">
        <v>57</v>
      </c>
      <c r="J75">
        <v>1</v>
      </c>
      <c r="K75">
        <v>2.4507550999987799</v>
      </c>
      <c r="L75" t="s">
        <v>51</v>
      </c>
      <c r="M75">
        <v>3</v>
      </c>
      <c r="N75">
        <v>12</v>
      </c>
      <c r="O75">
        <v>72</v>
      </c>
      <c r="P75">
        <v>13</v>
      </c>
      <c r="Q75">
        <v>103.090367200027</v>
      </c>
      <c r="V75">
        <v>103.08070590003599</v>
      </c>
      <c r="W75">
        <v>103.090367200027</v>
      </c>
      <c r="X75">
        <v>103.590353900042</v>
      </c>
      <c r="Y75">
        <v>103.590353900042</v>
      </c>
      <c r="Z75">
        <v>103.590353900042</v>
      </c>
      <c r="AA75">
        <v>106.04476290004</v>
      </c>
      <c r="AB75" t="s">
        <v>57</v>
      </c>
      <c r="AC75">
        <v>1</v>
      </c>
      <c r="AD75">
        <v>2.4507550999987799</v>
      </c>
      <c r="AE75" t="s">
        <v>51</v>
      </c>
      <c r="AJ75">
        <v>2</v>
      </c>
      <c r="AK75">
        <v>1</v>
      </c>
      <c r="AL75" t="s">
        <v>80</v>
      </c>
      <c r="AM75" t="s">
        <v>43</v>
      </c>
      <c r="AO75" t="s">
        <v>44</v>
      </c>
      <c r="AP75">
        <v>59.456390224006398</v>
      </c>
      <c r="AQ75" t="s">
        <v>81</v>
      </c>
    </row>
    <row r="76" spans="1:43" x14ac:dyDescent="0.3">
      <c r="A76" t="s">
        <v>68</v>
      </c>
      <c r="B76" t="s">
        <v>59</v>
      </c>
      <c r="C76" t="s">
        <v>53</v>
      </c>
      <c r="D76" t="s">
        <v>49</v>
      </c>
      <c r="E76" t="s">
        <v>54</v>
      </c>
      <c r="F76">
        <v>73</v>
      </c>
      <c r="G76">
        <v>13</v>
      </c>
      <c r="H76">
        <v>3</v>
      </c>
      <c r="I76" t="s">
        <v>54</v>
      </c>
      <c r="J76">
        <v>1</v>
      </c>
      <c r="K76">
        <v>1.50234340003225</v>
      </c>
      <c r="L76" t="s">
        <v>51</v>
      </c>
      <c r="M76">
        <v>3</v>
      </c>
      <c r="N76">
        <v>13</v>
      </c>
      <c r="O76">
        <v>73</v>
      </c>
      <c r="P76">
        <v>6</v>
      </c>
      <c r="Q76">
        <v>106.057020300009</v>
      </c>
      <c r="V76">
        <v>106.047929899999</v>
      </c>
      <c r="W76">
        <v>106.057020300009</v>
      </c>
      <c r="X76">
        <v>106.55712740001</v>
      </c>
      <c r="Y76">
        <v>106.55712740001</v>
      </c>
      <c r="Z76">
        <v>106.55712740001</v>
      </c>
      <c r="AA76">
        <v>108.060883000027</v>
      </c>
      <c r="AB76" t="s">
        <v>54</v>
      </c>
      <c r="AC76">
        <v>1</v>
      </c>
      <c r="AD76">
        <v>1.50234340003225</v>
      </c>
      <c r="AE76" t="s">
        <v>51</v>
      </c>
      <c r="AJ76">
        <v>2</v>
      </c>
      <c r="AK76">
        <v>1</v>
      </c>
      <c r="AL76" t="s">
        <v>80</v>
      </c>
      <c r="AM76" t="s">
        <v>43</v>
      </c>
      <c r="AO76" t="s">
        <v>44</v>
      </c>
      <c r="AP76">
        <v>59.456390224006398</v>
      </c>
      <c r="AQ76" t="s">
        <v>81</v>
      </c>
    </row>
    <row r="77" spans="1:43" x14ac:dyDescent="0.3">
      <c r="A77" t="s">
        <v>69</v>
      </c>
      <c r="B77" t="s">
        <v>59</v>
      </c>
      <c r="C77" t="s">
        <v>56</v>
      </c>
      <c r="D77" t="s">
        <v>49</v>
      </c>
      <c r="E77" t="s">
        <v>57</v>
      </c>
      <c r="F77">
        <v>74</v>
      </c>
      <c r="G77">
        <v>14</v>
      </c>
      <c r="H77">
        <v>3</v>
      </c>
      <c r="I77" t="s">
        <v>57</v>
      </c>
      <c r="J77">
        <v>1</v>
      </c>
      <c r="K77">
        <v>0.69701890001306299</v>
      </c>
      <c r="L77" t="s">
        <v>51</v>
      </c>
      <c r="M77">
        <v>3</v>
      </c>
      <c r="N77">
        <v>14</v>
      </c>
      <c r="O77">
        <v>74</v>
      </c>
      <c r="P77">
        <v>5</v>
      </c>
      <c r="Q77">
        <v>108.073965000046</v>
      </c>
      <c r="V77">
        <v>108.064086300029</v>
      </c>
      <c r="W77">
        <v>108.073965000046</v>
      </c>
      <c r="X77">
        <v>108.574090800015</v>
      </c>
      <c r="Y77">
        <v>108.574090800015</v>
      </c>
      <c r="Z77">
        <v>108.574090800015</v>
      </c>
      <c r="AA77">
        <v>109.276897200034</v>
      </c>
      <c r="AB77" t="s">
        <v>57</v>
      </c>
      <c r="AC77">
        <v>1</v>
      </c>
      <c r="AD77">
        <v>0.69701890001306299</v>
      </c>
      <c r="AE77" t="s">
        <v>51</v>
      </c>
      <c r="AJ77">
        <v>2</v>
      </c>
      <c r="AK77">
        <v>1</v>
      </c>
      <c r="AL77" t="s">
        <v>80</v>
      </c>
      <c r="AM77" t="s">
        <v>43</v>
      </c>
      <c r="AO77" t="s">
        <v>44</v>
      </c>
      <c r="AP77">
        <v>59.456390224006398</v>
      </c>
      <c r="AQ77" t="s">
        <v>81</v>
      </c>
    </row>
    <row r="78" spans="1:43" x14ac:dyDescent="0.3">
      <c r="A78" t="s">
        <v>70</v>
      </c>
      <c r="B78" t="s">
        <v>59</v>
      </c>
      <c r="C78" t="s">
        <v>53</v>
      </c>
      <c r="D78" t="s">
        <v>49</v>
      </c>
      <c r="E78" t="s">
        <v>54</v>
      </c>
      <c r="F78">
        <v>75</v>
      </c>
      <c r="G78">
        <v>15</v>
      </c>
      <c r="H78">
        <v>3</v>
      </c>
      <c r="I78" t="s">
        <v>54</v>
      </c>
      <c r="J78">
        <v>1</v>
      </c>
      <c r="K78">
        <v>0.75163169996812895</v>
      </c>
      <c r="L78" t="s">
        <v>51</v>
      </c>
      <c r="M78">
        <v>3</v>
      </c>
      <c r="N78">
        <v>15</v>
      </c>
      <c r="O78">
        <v>75</v>
      </c>
      <c r="P78">
        <v>2</v>
      </c>
      <c r="Q78">
        <v>109.290666000044</v>
      </c>
      <c r="V78">
        <v>109.279442200029</v>
      </c>
      <c r="W78">
        <v>109.290666000044</v>
      </c>
      <c r="X78">
        <v>109.790030500036</v>
      </c>
      <c r="Y78">
        <v>109.790030500036</v>
      </c>
      <c r="Z78">
        <v>109.790030500036</v>
      </c>
      <c r="AA78">
        <v>110.544533000036</v>
      </c>
      <c r="AB78" t="s">
        <v>54</v>
      </c>
      <c r="AC78">
        <v>1</v>
      </c>
      <c r="AD78">
        <v>0.75163169996812895</v>
      </c>
      <c r="AE78" t="s">
        <v>51</v>
      </c>
      <c r="AJ78">
        <v>2</v>
      </c>
      <c r="AK78">
        <v>1</v>
      </c>
      <c r="AL78" t="s">
        <v>80</v>
      </c>
      <c r="AM78" t="s">
        <v>43</v>
      </c>
      <c r="AO78" t="s">
        <v>44</v>
      </c>
      <c r="AP78">
        <v>59.456390224006398</v>
      </c>
      <c r="AQ78" t="s">
        <v>81</v>
      </c>
    </row>
    <row r="79" spans="1:43" x14ac:dyDescent="0.3">
      <c r="A79" t="s">
        <v>74</v>
      </c>
      <c r="B79" t="s">
        <v>47</v>
      </c>
      <c r="C79" t="s">
        <v>48</v>
      </c>
      <c r="D79" t="s">
        <v>49</v>
      </c>
      <c r="E79" t="s">
        <v>50</v>
      </c>
      <c r="F79">
        <v>76</v>
      </c>
      <c r="G79">
        <v>16</v>
      </c>
      <c r="H79">
        <v>3</v>
      </c>
      <c r="I79" t="s">
        <v>50</v>
      </c>
      <c r="J79">
        <v>1</v>
      </c>
      <c r="K79">
        <v>0.73600010003428895</v>
      </c>
      <c r="L79" t="s">
        <v>51</v>
      </c>
      <c r="M79">
        <v>3</v>
      </c>
      <c r="N79">
        <v>16</v>
      </c>
      <c r="O79">
        <v>76</v>
      </c>
      <c r="P79">
        <v>11</v>
      </c>
      <c r="Q79">
        <v>110.55794300005</v>
      </c>
      <c r="V79">
        <v>110.548715900047</v>
      </c>
      <c r="W79">
        <v>110.55794300005</v>
      </c>
      <c r="X79">
        <v>111.057038200029</v>
      </c>
      <c r="Y79">
        <v>111.057038200029</v>
      </c>
      <c r="Z79">
        <v>111.057038200029</v>
      </c>
      <c r="AA79">
        <v>111.794718100049</v>
      </c>
      <c r="AB79" t="s">
        <v>50</v>
      </c>
      <c r="AC79">
        <v>1</v>
      </c>
      <c r="AD79">
        <v>0.73600010003428895</v>
      </c>
      <c r="AE79" t="s">
        <v>51</v>
      </c>
      <c r="AJ79">
        <v>2</v>
      </c>
      <c r="AK79">
        <v>1</v>
      </c>
      <c r="AL79" t="s">
        <v>80</v>
      </c>
      <c r="AM79" t="s">
        <v>43</v>
      </c>
      <c r="AO79" t="s">
        <v>44</v>
      </c>
      <c r="AP79">
        <v>59.456390224006398</v>
      </c>
      <c r="AQ79" t="s">
        <v>81</v>
      </c>
    </row>
    <row r="80" spans="1:43" x14ac:dyDescent="0.3">
      <c r="A80" t="s">
        <v>65</v>
      </c>
      <c r="B80" t="s">
        <v>59</v>
      </c>
      <c r="C80" t="s">
        <v>56</v>
      </c>
      <c r="D80" t="s">
        <v>49</v>
      </c>
      <c r="E80" t="s">
        <v>57</v>
      </c>
      <c r="F80">
        <v>77</v>
      </c>
      <c r="G80">
        <v>17</v>
      </c>
      <c r="H80">
        <v>3</v>
      </c>
      <c r="I80" t="s">
        <v>57</v>
      </c>
      <c r="J80">
        <v>1</v>
      </c>
      <c r="K80">
        <v>0.77165509999031201</v>
      </c>
      <c r="L80" t="s">
        <v>51</v>
      </c>
      <c r="M80">
        <v>3</v>
      </c>
      <c r="N80">
        <v>17</v>
      </c>
      <c r="O80">
        <v>77</v>
      </c>
      <c r="P80">
        <v>9</v>
      </c>
      <c r="Q80">
        <v>111.807204500015</v>
      </c>
      <c r="V80">
        <v>111.797493600053</v>
      </c>
      <c r="W80">
        <v>111.807204500015</v>
      </c>
      <c r="X80">
        <v>112.307225800002</v>
      </c>
      <c r="Y80">
        <v>112.307225800002</v>
      </c>
      <c r="Z80">
        <v>112.307225800002</v>
      </c>
      <c r="AA80">
        <v>113.09428710001499</v>
      </c>
      <c r="AB80" t="s">
        <v>57</v>
      </c>
      <c r="AC80">
        <v>1</v>
      </c>
      <c r="AD80">
        <v>0.77165509999031201</v>
      </c>
      <c r="AE80" t="s">
        <v>51</v>
      </c>
      <c r="AJ80">
        <v>2</v>
      </c>
      <c r="AK80">
        <v>1</v>
      </c>
      <c r="AL80" t="s">
        <v>80</v>
      </c>
      <c r="AM80" t="s">
        <v>43</v>
      </c>
      <c r="AO80" t="s">
        <v>44</v>
      </c>
      <c r="AP80">
        <v>59.456390224006398</v>
      </c>
      <c r="AQ80" t="s">
        <v>81</v>
      </c>
    </row>
    <row r="81" spans="1:43" x14ac:dyDescent="0.3">
      <c r="A81" t="s">
        <v>60</v>
      </c>
      <c r="B81" t="s">
        <v>59</v>
      </c>
      <c r="C81" t="s">
        <v>61</v>
      </c>
      <c r="D81" t="s">
        <v>62</v>
      </c>
      <c r="E81" t="s">
        <v>63</v>
      </c>
      <c r="F81">
        <v>78</v>
      </c>
      <c r="G81">
        <v>18</v>
      </c>
      <c r="H81">
        <v>3</v>
      </c>
      <c r="I81" t="s">
        <v>63</v>
      </c>
      <c r="J81">
        <v>1</v>
      </c>
      <c r="K81">
        <v>1.300340900023</v>
      </c>
      <c r="L81" t="s">
        <v>51</v>
      </c>
      <c r="M81">
        <v>3</v>
      </c>
      <c r="N81">
        <v>18</v>
      </c>
      <c r="O81">
        <v>78</v>
      </c>
      <c r="P81">
        <v>0</v>
      </c>
      <c r="Q81">
        <v>113.10668680001901</v>
      </c>
      <c r="V81">
        <v>113.097329300013</v>
      </c>
      <c r="W81">
        <v>113.10668680001901</v>
      </c>
      <c r="X81">
        <v>113.606488400022</v>
      </c>
      <c r="Y81">
        <v>113.606488400022</v>
      </c>
      <c r="Z81">
        <v>113.606488400022</v>
      </c>
      <c r="AA81">
        <v>114.910807300009</v>
      </c>
      <c r="AB81" t="s">
        <v>63</v>
      </c>
      <c r="AC81">
        <v>1</v>
      </c>
      <c r="AD81">
        <v>1.300340900023</v>
      </c>
      <c r="AE81" t="s">
        <v>51</v>
      </c>
      <c r="AJ81">
        <v>2</v>
      </c>
      <c r="AK81">
        <v>1</v>
      </c>
      <c r="AL81" t="s">
        <v>80</v>
      </c>
      <c r="AM81" t="s">
        <v>43</v>
      </c>
      <c r="AO81" t="s">
        <v>44</v>
      </c>
      <c r="AP81">
        <v>59.456390224006398</v>
      </c>
      <c r="AQ81" t="s">
        <v>81</v>
      </c>
    </row>
    <row r="82" spans="1:43" x14ac:dyDescent="0.3">
      <c r="A82" t="s">
        <v>52</v>
      </c>
      <c r="B82" t="s">
        <v>47</v>
      </c>
      <c r="C82" t="s">
        <v>53</v>
      </c>
      <c r="D82" t="s">
        <v>49</v>
      </c>
      <c r="E82" t="s">
        <v>54</v>
      </c>
      <c r="F82">
        <v>79</v>
      </c>
      <c r="G82">
        <v>19</v>
      </c>
      <c r="H82">
        <v>3</v>
      </c>
      <c r="I82" t="s">
        <v>50</v>
      </c>
      <c r="J82">
        <v>0</v>
      </c>
      <c r="K82">
        <v>0.80442830000538301</v>
      </c>
      <c r="L82" t="s">
        <v>51</v>
      </c>
      <c r="M82">
        <v>3</v>
      </c>
      <c r="N82">
        <v>19</v>
      </c>
      <c r="O82">
        <v>79</v>
      </c>
      <c r="P82">
        <v>14</v>
      </c>
      <c r="Q82">
        <v>114.92305140005099</v>
      </c>
      <c r="V82">
        <v>114.913675900024</v>
      </c>
      <c r="W82">
        <v>114.92305140005099</v>
      </c>
      <c r="X82">
        <v>115.422958100039</v>
      </c>
      <c r="Y82">
        <v>115.422958100039</v>
      </c>
      <c r="Z82">
        <v>115.422958100039</v>
      </c>
      <c r="AA82">
        <v>116.244312900002</v>
      </c>
      <c r="AB82" t="s">
        <v>50</v>
      </c>
      <c r="AC82">
        <v>0</v>
      </c>
      <c r="AD82">
        <v>0.80442830000538301</v>
      </c>
      <c r="AE82" t="s">
        <v>51</v>
      </c>
      <c r="AJ82">
        <v>2</v>
      </c>
      <c r="AK82">
        <v>1</v>
      </c>
      <c r="AL82" t="s">
        <v>80</v>
      </c>
      <c r="AM82" t="s">
        <v>43</v>
      </c>
      <c r="AO82" t="s">
        <v>44</v>
      </c>
      <c r="AP82">
        <v>59.456390224006398</v>
      </c>
      <c r="AQ82" t="s">
        <v>81</v>
      </c>
    </row>
    <row r="83" spans="1:43" x14ac:dyDescent="0.3">
      <c r="A83" t="s">
        <v>70</v>
      </c>
      <c r="B83" t="s">
        <v>59</v>
      </c>
      <c r="C83" t="s">
        <v>53</v>
      </c>
      <c r="D83" t="s">
        <v>49</v>
      </c>
      <c r="E83" t="s">
        <v>54</v>
      </c>
      <c r="F83">
        <v>80</v>
      </c>
      <c r="G83">
        <v>0</v>
      </c>
      <c r="H83">
        <v>4</v>
      </c>
      <c r="I83" t="s">
        <v>54</v>
      </c>
      <c r="J83">
        <v>1</v>
      </c>
      <c r="K83">
        <v>0.49648589995922499</v>
      </c>
      <c r="L83" t="s">
        <v>51</v>
      </c>
      <c r="M83">
        <v>4</v>
      </c>
      <c r="N83">
        <v>0</v>
      </c>
      <c r="O83">
        <v>80</v>
      </c>
      <c r="P83">
        <v>2</v>
      </c>
      <c r="Q83">
        <v>116.256359900056</v>
      </c>
      <c r="V83">
        <v>116.247784100007</v>
      </c>
      <c r="W83">
        <v>116.256359900056</v>
      </c>
      <c r="X83">
        <v>116.756459300057</v>
      </c>
      <c r="Y83">
        <v>116.756459300057</v>
      </c>
      <c r="Z83">
        <v>116.756459300057</v>
      </c>
      <c r="AA83">
        <v>117.260729800036</v>
      </c>
      <c r="AB83" t="s">
        <v>54</v>
      </c>
      <c r="AC83">
        <v>1</v>
      </c>
      <c r="AD83">
        <v>0.49648589995922499</v>
      </c>
      <c r="AE83" t="s">
        <v>51</v>
      </c>
      <c r="AJ83">
        <v>2</v>
      </c>
      <c r="AK83">
        <v>1</v>
      </c>
      <c r="AL83" t="s">
        <v>80</v>
      </c>
      <c r="AM83" t="s">
        <v>43</v>
      </c>
      <c r="AO83" t="s">
        <v>44</v>
      </c>
      <c r="AP83">
        <v>59.456390224006398</v>
      </c>
      <c r="AQ83" t="s">
        <v>81</v>
      </c>
    </row>
    <row r="84" spans="1:43" x14ac:dyDescent="0.3">
      <c r="A84" t="s">
        <v>60</v>
      </c>
      <c r="B84" t="s">
        <v>59</v>
      </c>
      <c r="C84" t="s">
        <v>61</v>
      </c>
      <c r="D84" t="s">
        <v>62</v>
      </c>
      <c r="E84" t="s">
        <v>63</v>
      </c>
      <c r="F84">
        <v>81</v>
      </c>
      <c r="G84">
        <v>1</v>
      </c>
      <c r="H84">
        <v>4</v>
      </c>
      <c r="I84" t="s">
        <v>63</v>
      </c>
      <c r="J84">
        <v>1</v>
      </c>
      <c r="K84">
        <v>0.86749229999259103</v>
      </c>
      <c r="L84" t="s">
        <v>51</v>
      </c>
      <c r="M84">
        <v>4</v>
      </c>
      <c r="N84">
        <v>1</v>
      </c>
      <c r="O84">
        <v>81</v>
      </c>
      <c r="P84">
        <v>0</v>
      </c>
      <c r="Q84">
        <v>117.27301660005401</v>
      </c>
      <c r="V84">
        <v>117.263521400047</v>
      </c>
      <c r="W84">
        <v>117.27301660005401</v>
      </c>
      <c r="X84">
        <v>117.773467600054</v>
      </c>
      <c r="Y84">
        <v>117.773467600054</v>
      </c>
      <c r="Z84">
        <v>117.773467600054</v>
      </c>
      <c r="AA84">
        <v>118.644548400014</v>
      </c>
      <c r="AB84" t="s">
        <v>63</v>
      </c>
      <c r="AC84">
        <v>1</v>
      </c>
      <c r="AD84">
        <v>0.86749229999259103</v>
      </c>
      <c r="AE84" t="s">
        <v>51</v>
      </c>
      <c r="AJ84">
        <v>2</v>
      </c>
      <c r="AK84">
        <v>1</v>
      </c>
      <c r="AL84" t="s">
        <v>80</v>
      </c>
      <c r="AM84" t="s">
        <v>43</v>
      </c>
      <c r="AO84" t="s">
        <v>44</v>
      </c>
      <c r="AP84">
        <v>59.456390224006398</v>
      </c>
      <c r="AQ84" t="s">
        <v>81</v>
      </c>
    </row>
    <row r="85" spans="1:43" x14ac:dyDescent="0.3">
      <c r="A85" t="s">
        <v>66</v>
      </c>
      <c r="B85" t="s">
        <v>47</v>
      </c>
      <c r="C85" t="s">
        <v>61</v>
      </c>
      <c r="D85" t="s">
        <v>49</v>
      </c>
      <c r="E85" t="s">
        <v>63</v>
      </c>
      <c r="F85">
        <v>82</v>
      </c>
      <c r="G85">
        <v>2</v>
      </c>
      <c r="H85">
        <v>4</v>
      </c>
      <c r="I85" t="s">
        <v>63</v>
      </c>
      <c r="J85">
        <v>1</v>
      </c>
      <c r="K85">
        <v>0.50864880002336499</v>
      </c>
      <c r="L85" t="s">
        <v>51</v>
      </c>
      <c r="M85">
        <v>4</v>
      </c>
      <c r="N85">
        <v>2</v>
      </c>
      <c r="O85">
        <v>82</v>
      </c>
      <c r="P85">
        <v>12</v>
      </c>
      <c r="Q85">
        <v>118.656369900039</v>
      </c>
      <c r="V85">
        <v>118.648218600021</v>
      </c>
      <c r="W85">
        <v>118.656369900039</v>
      </c>
      <c r="X85">
        <v>119.15624590002599</v>
      </c>
      <c r="Y85">
        <v>119.15624590002599</v>
      </c>
      <c r="Z85">
        <v>119.15624590002599</v>
      </c>
      <c r="AA85">
        <v>119.67650710005501</v>
      </c>
      <c r="AB85" t="s">
        <v>63</v>
      </c>
      <c r="AC85">
        <v>1</v>
      </c>
      <c r="AD85">
        <v>0.50864880002336499</v>
      </c>
      <c r="AE85" t="s">
        <v>51</v>
      </c>
      <c r="AJ85">
        <v>2</v>
      </c>
      <c r="AK85">
        <v>1</v>
      </c>
      <c r="AL85" t="s">
        <v>80</v>
      </c>
      <c r="AM85" t="s">
        <v>43</v>
      </c>
      <c r="AO85" t="s">
        <v>44</v>
      </c>
      <c r="AP85">
        <v>59.456390224006398</v>
      </c>
      <c r="AQ85" t="s">
        <v>81</v>
      </c>
    </row>
    <row r="86" spans="1:43" x14ac:dyDescent="0.3">
      <c r="A86" t="s">
        <v>69</v>
      </c>
      <c r="B86" t="s">
        <v>59</v>
      </c>
      <c r="C86" t="s">
        <v>56</v>
      </c>
      <c r="D86" t="s">
        <v>49</v>
      </c>
      <c r="E86" t="s">
        <v>57</v>
      </c>
      <c r="F86">
        <v>83</v>
      </c>
      <c r="G86">
        <v>3</v>
      </c>
      <c r="H86">
        <v>4</v>
      </c>
      <c r="I86" t="s">
        <v>57</v>
      </c>
      <c r="J86">
        <v>1</v>
      </c>
      <c r="K86">
        <v>0.90305409999564201</v>
      </c>
      <c r="L86" t="s">
        <v>51</v>
      </c>
      <c r="M86">
        <v>4</v>
      </c>
      <c r="N86">
        <v>3</v>
      </c>
      <c r="O86">
        <v>83</v>
      </c>
      <c r="P86">
        <v>5</v>
      </c>
      <c r="Q86">
        <v>119.68972090003</v>
      </c>
      <c r="V86">
        <v>119.679263200028</v>
      </c>
      <c r="W86">
        <v>119.68972090003</v>
      </c>
      <c r="X86">
        <v>120.189894600014</v>
      </c>
      <c r="Y86">
        <v>120.189894600014</v>
      </c>
      <c r="Z86">
        <v>120.189894600014</v>
      </c>
      <c r="AA86">
        <v>121.11086160002699</v>
      </c>
      <c r="AB86" t="s">
        <v>57</v>
      </c>
      <c r="AC86">
        <v>1</v>
      </c>
      <c r="AD86">
        <v>0.90305409999564201</v>
      </c>
      <c r="AE86" t="s">
        <v>51</v>
      </c>
      <c r="AJ86">
        <v>2</v>
      </c>
      <c r="AK86">
        <v>1</v>
      </c>
      <c r="AL86" t="s">
        <v>80</v>
      </c>
      <c r="AM86" t="s">
        <v>43</v>
      </c>
      <c r="AO86" t="s">
        <v>44</v>
      </c>
      <c r="AP86">
        <v>59.456390224006398</v>
      </c>
      <c r="AQ86" t="s">
        <v>81</v>
      </c>
    </row>
    <row r="87" spans="1:43" x14ac:dyDescent="0.3">
      <c r="A87" t="s">
        <v>58</v>
      </c>
      <c r="B87" t="s">
        <v>59</v>
      </c>
      <c r="C87" t="s">
        <v>48</v>
      </c>
      <c r="D87" t="s">
        <v>49</v>
      </c>
      <c r="E87" t="s">
        <v>50</v>
      </c>
      <c r="F87">
        <v>84</v>
      </c>
      <c r="G87">
        <v>4</v>
      </c>
      <c r="H87">
        <v>4</v>
      </c>
      <c r="I87" t="s">
        <v>50</v>
      </c>
      <c r="J87">
        <v>1</v>
      </c>
      <c r="K87">
        <v>0.81091459997696802</v>
      </c>
      <c r="L87" t="s">
        <v>51</v>
      </c>
      <c r="M87">
        <v>4</v>
      </c>
      <c r="N87">
        <v>4</v>
      </c>
      <c r="O87">
        <v>84</v>
      </c>
      <c r="P87">
        <v>7</v>
      </c>
      <c r="Q87">
        <v>121.12266060005599</v>
      </c>
      <c r="V87">
        <v>121.114720200013</v>
      </c>
      <c r="W87">
        <v>121.12266060005599</v>
      </c>
      <c r="X87">
        <v>121.623113300011</v>
      </c>
      <c r="Y87">
        <v>121.623113300011</v>
      </c>
      <c r="Z87">
        <v>121.623113300011</v>
      </c>
      <c r="AA87">
        <v>122.443285400047</v>
      </c>
      <c r="AB87" t="s">
        <v>50</v>
      </c>
      <c r="AC87">
        <v>1</v>
      </c>
      <c r="AD87">
        <v>0.81091459997696802</v>
      </c>
      <c r="AE87" t="s">
        <v>51</v>
      </c>
      <c r="AJ87">
        <v>2</v>
      </c>
      <c r="AK87">
        <v>1</v>
      </c>
      <c r="AL87" t="s">
        <v>80</v>
      </c>
      <c r="AM87" t="s">
        <v>43</v>
      </c>
      <c r="AO87" t="s">
        <v>44</v>
      </c>
      <c r="AP87">
        <v>59.456390224006398</v>
      </c>
      <c r="AQ87" t="s">
        <v>81</v>
      </c>
    </row>
    <row r="88" spans="1:43" x14ac:dyDescent="0.3">
      <c r="A88" t="s">
        <v>67</v>
      </c>
      <c r="B88" t="s">
        <v>47</v>
      </c>
      <c r="C88" t="s">
        <v>53</v>
      </c>
      <c r="D88" t="s">
        <v>49</v>
      </c>
      <c r="E88" t="s">
        <v>54</v>
      </c>
      <c r="F88">
        <v>85</v>
      </c>
      <c r="G88">
        <v>5</v>
      </c>
      <c r="H88">
        <v>4</v>
      </c>
      <c r="I88" t="s">
        <v>54</v>
      </c>
      <c r="J88">
        <v>1</v>
      </c>
      <c r="K88">
        <v>1.21671840001363</v>
      </c>
      <c r="L88" t="s">
        <v>51</v>
      </c>
      <c r="M88">
        <v>4</v>
      </c>
      <c r="N88">
        <v>5</v>
      </c>
      <c r="O88">
        <v>85</v>
      </c>
      <c r="P88">
        <v>10</v>
      </c>
      <c r="Q88">
        <v>122.456576200027</v>
      </c>
      <c r="V88">
        <v>122.44619300001</v>
      </c>
      <c r="W88">
        <v>122.456576200027</v>
      </c>
      <c r="X88">
        <v>122.956308200024</v>
      </c>
      <c r="Y88">
        <v>122.956308200024</v>
      </c>
      <c r="Z88">
        <v>122.956308200024</v>
      </c>
      <c r="AA88">
        <v>124.17651460005401</v>
      </c>
      <c r="AB88" t="s">
        <v>54</v>
      </c>
      <c r="AC88">
        <v>1</v>
      </c>
      <c r="AD88">
        <v>1.21671840001363</v>
      </c>
      <c r="AE88" t="s">
        <v>51</v>
      </c>
      <c r="AJ88">
        <v>2</v>
      </c>
      <c r="AK88">
        <v>1</v>
      </c>
      <c r="AL88" t="s">
        <v>80</v>
      </c>
      <c r="AM88" t="s">
        <v>43</v>
      </c>
      <c r="AO88" t="s">
        <v>44</v>
      </c>
      <c r="AP88">
        <v>59.456390224006398</v>
      </c>
      <c r="AQ88" t="s">
        <v>81</v>
      </c>
    </row>
    <row r="89" spans="1:43" x14ac:dyDescent="0.3">
      <c r="A89" t="s">
        <v>77</v>
      </c>
      <c r="B89" t="s">
        <v>59</v>
      </c>
      <c r="C89" t="s">
        <v>61</v>
      </c>
      <c r="D89" t="s">
        <v>62</v>
      </c>
      <c r="E89" t="s">
        <v>63</v>
      </c>
      <c r="F89">
        <v>86</v>
      </c>
      <c r="G89">
        <v>6</v>
      </c>
      <c r="H89">
        <v>4</v>
      </c>
      <c r="I89" t="s">
        <v>63</v>
      </c>
      <c r="J89">
        <v>1</v>
      </c>
      <c r="K89">
        <v>0.58055340003920697</v>
      </c>
      <c r="L89" t="s">
        <v>51</v>
      </c>
      <c r="M89">
        <v>4</v>
      </c>
      <c r="N89">
        <v>6</v>
      </c>
      <c r="O89">
        <v>86</v>
      </c>
      <c r="P89">
        <v>4</v>
      </c>
      <c r="Q89">
        <v>124.18981260003</v>
      </c>
      <c r="V89">
        <v>124.179380500048</v>
      </c>
      <c r="W89">
        <v>124.18981260003</v>
      </c>
      <c r="X89">
        <v>124.68973840004701</v>
      </c>
      <c r="Y89">
        <v>124.68973840004701</v>
      </c>
      <c r="Z89">
        <v>124.68973840004701</v>
      </c>
      <c r="AA89">
        <v>125.276417700049</v>
      </c>
      <c r="AB89" t="s">
        <v>63</v>
      </c>
      <c r="AC89">
        <v>1</v>
      </c>
      <c r="AD89">
        <v>0.58055340003920697</v>
      </c>
      <c r="AE89" t="s">
        <v>51</v>
      </c>
      <c r="AJ89">
        <v>2</v>
      </c>
      <c r="AK89">
        <v>1</v>
      </c>
      <c r="AL89" t="s">
        <v>80</v>
      </c>
      <c r="AM89" t="s">
        <v>43</v>
      </c>
      <c r="AO89" t="s">
        <v>44</v>
      </c>
      <c r="AP89">
        <v>59.456390224006398</v>
      </c>
      <c r="AQ89" t="s">
        <v>81</v>
      </c>
    </row>
    <row r="90" spans="1:43" x14ac:dyDescent="0.3">
      <c r="A90" t="s">
        <v>64</v>
      </c>
      <c r="B90" t="s">
        <v>47</v>
      </c>
      <c r="C90" t="s">
        <v>53</v>
      </c>
      <c r="D90" t="s">
        <v>49</v>
      </c>
      <c r="E90" t="s">
        <v>54</v>
      </c>
      <c r="F90">
        <v>87</v>
      </c>
      <c r="G90">
        <v>7</v>
      </c>
      <c r="H90">
        <v>4</v>
      </c>
      <c r="I90" t="s">
        <v>54</v>
      </c>
      <c r="J90">
        <v>1</v>
      </c>
      <c r="K90">
        <v>0.76223300001583905</v>
      </c>
      <c r="L90" t="s">
        <v>51</v>
      </c>
      <c r="M90">
        <v>4</v>
      </c>
      <c r="N90">
        <v>7</v>
      </c>
      <c r="O90">
        <v>87</v>
      </c>
      <c r="P90">
        <v>18</v>
      </c>
      <c r="Q90">
        <v>125.289239000005</v>
      </c>
      <c r="V90">
        <v>125.279030600038</v>
      </c>
      <c r="W90">
        <v>125.289239000005</v>
      </c>
      <c r="X90">
        <v>125.790055400051</v>
      </c>
      <c r="Y90">
        <v>125.790055400051</v>
      </c>
      <c r="Z90">
        <v>125.790055400051</v>
      </c>
      <c r="AA90">
        <v>126.55973950005099</v>
      </c>
      <c r="AB90" t="s">
        <v>54</v>
      </c>
      <c r="AC90">
        <v>1</v>
      </c>
      <c r="AD90">
        <v>0.76223300001583905</v>
      </c>
      <c r="AE90" t="s">
        <v>51</v>
      </c>
      <c r="AJ90">
        <v>2</v>
      </c>
      <c r="AK90">
        <v>1</v>
      </c>
      <c r="AL90" t="s">
        <v>80</v>
      </c>
      <c r="AM90" t="s">
        <v>43</v>
      </c>
      <c r="AO90" t="s">
        <v>44</v>
      </c>
      <c r="AP90">
        <v>59.456390224006398</v>
      </c>
      <c r="AQ90" t="s">
        <v>81</v>
      </c>
    </row>
    <row r="91" spans="1:43" x14ac:dyDescent="0.3">
      <c r="A91" t="s">
        <v>78</v>
      </c>
      <c r="B91" t="s">
        <v>47</v>
      </c>
      <c r="C91" t="s">
        <v>56</v>
      </c>
      <c r="D91" t="s">
        <v>49</v>
      </c>
      <c r="E91" t="s">
        <v>57</v>
      </c>
      <c r="F91">
        <v>88</v>
      </c>
      <c r="G91">
        <v>8</v>
      </c>
      <c r="H91">
        <v>4</v>
      </c>
      <c r="I91" t="s">
        <v>57</v>
      </c>
      <c r="J91">
        <v>1</v>
      </c>
      <c r="K91">
        <v>0.65434110001660795</v>
      </c>
      <c r="L91" t="s">
        <v>51</v>
      </c>
      <c r="M91">
        <v>4</v>
      </c>
      <c r="N91">
        <v>8</v>
      </c>
      <c r="O91">
        <v>88</v>
      </c>
      <c r="P91">
        <v>17</v>
      </c>
      <c r="Q91">
        <v>126.572864400048</v>
      </c>
      <c r="V91">
        <v>126.562631000007</v>
      </c>
      <c r="W91">
        <v>126.572864400048</v>
      </c>
      <c r="X91">
        <v>127.072403100028</v>
      </c>
      <c r="Y91">
        <v>127.072403100028</v>
      </c>
      <c r="Z91">
        <v>127.072403100028</v>
      </c>
      <c r="AA91">
        <v>127.74456620001</v>
      </c>
      <c r="AB91" t="s">
        <v>57</v>
      </c>
      <c r="AC91">
        <v>1</v>
      </c>
      <c r="AD91">
        <v>0.65434110001660795</v>
      </c>
      <c r="AE91" t="s">
        <v>51</v>
      </c>
      <c r="AJ91">
        <v>2</v>
      </c>
      <c r="AK91">
        <v>1</v>
      </c>
      <c r="AL91" t="s">
        <v>80</v>
      </c>
      <c r="AM91" t="s">
        <v>43</v>
      </c>
      <c r="AO91" t="s">
        <v>44</v>
      </c>
      <c r="AP91">
        <v>59.456390224006398</v>
      </c>
      <c r="AQ91" t="s">
        <v>81</v>
      </c>
    </row>
    <row r="92" spans="1:43" x14ac:dyDescent="0.3">
      <c r="A92" t="s">
        <v>73</v>
      </c>
      <c r="B92" t="s">
        <v>59</v>
      </c>
      <c r="C92" t="s">
        <v>56</v>
      </c>
      <c r="D92" t="s">
        <v>49</v>
      </c>
      <c r="E92" t="s">
        <v>57</v>
      </c>
      <c r="F92">
        <v>89</v>
      </c>
      <c r="G92">
        <v>9</v>
      </c>
      <c r="H92">
        <v>4</v>
      </c>
      <c r="I92" t="s">
        <v>57</v>
      </c>
      <c r="J92">
        <v>1</v>
      </c>
      <c r="K92">
        <v>0.48499070003162997</v>
      </c>
      <c r="L92" t="s">
        <v>51</v>
      </c>
      <c r="M92">
        <v>4</v>
      </c>
      <c r="N92">
        <v>9</v>
      </c>
      <c r="O92">
        <v>89</v>
      </c>
      <c r="P92">
        <v>1</v>
      </c>
      <c r="Q92">
        <v>127.756018400017</v>
      </c>
      <c r="V92">
        <v>127.74882830004201</v>
      </c>
      <c r="W92">
        <v>127.756018400017</v>
      </c>
      <c r="X92">
        <v>128.25560120004201</v>
      </c>
      <c r="Y92">
        <v>128.25560120004201</v>
      </c>
      <c r="Z92">
        <v>128.25560120004201</v>
      </c>
      <c r="AA92">
        <v>128.74393320002099</v>
      </c>
      <c r="AB92" t="s">
        <v>57</v>
      </c>
      <c r="AC92">
        <v>1</v>
      </c>
      <c r="AD92">
        <v>0.48499070003162997</v>
      </c>
      <c r="AE92" t="s">
        <v>51</v>
      </c>
      <c r="AJ92">
        <v>2</v>
      </c>
      <c r="AK92">
        <v>1</v>
      </c>
      <c r="AL92" t="s">
        <v>80</v>
      </c>
      <c r="AM92" t="s">
        <v>43</v>
      </c>
      <c r="AO92" t="s">
        <v>44</v>
      </c>
      <c r="AP92">
        <v>59.456390224006398</v>
      </c>
      <c r="AQ92" t="s">
        <v>81</v>
      </c>
    </row>
    <row r="93" spans="1:43" x14ac:dyDescent="0.3">
      <c r="A93" t="s">
        <v>68</v>
      </c>
      <c r="B93" t="s">
        <v>59</v>
      </c>
      <c r="C93" t="s">
        <v>53</v>
      </c>
      <c r="D93" t="s">
        <v>49</v>
      </c>
      <c r="E93" t="s">
        <v>54</v>
      </c>
      <c r="F93">
        <v>90</v>
      </c>
      <c r="G93">
        <v>10</v>
      </c>
      <c r="H93">
        <v>4</v>
      </c>
      <c r="I93" t="s">
        <v>54</v>
      </c>
      <c r="J93">
        <v>1</v>
      </c>
      <c r="K93">
        <v>0.75169119995553002</v>
      </c>
      <c r="L93" t="s">
        <v>51</v>
      </c>
      <c r="M93">
        <v>4</v>
      </c>
      <c r="N93">
        <v>10</v>
      </c>
      <c r="O93">
        <v>90</v>
      </c>
      <c r="P93">
        <v>6</v>
      </c>
      <c r="Q93">
        <v>128.75620880001199</v>
      </c>
      <c r="V93">
        <v>128.74704560002999</v>
      </c>
      <c r="W93">
        <v>128.75620880001199</v>
      </c>
      <c r="X93">
        <v>129.25634270004201</v>
      </c>
      <c r="Y93">
        <v>129.25634270004201</v>
      </c>
      <c r="Z93">
        <v>129.25634270004201</v>
      </c>
      <c r="AA93">
        <v>130.009922900004</v>
      </c>
      <c r="AB93" t="s">
        <v>54</v>
      </c>
      <c r="AC93">
        <v>1</v>
      </c>
      <c r="AD93">
        <v>0.75169119995553002</v>
      </c>
      <c r="AE93" t="s">
        <v>51</v>
      </c>
      <c r="AJ93">
        <v>2</v>
      </c>
      <c r="AK93">
        <v>1</v>
      </c>
      <c r="AL93" t="s">
        <v>80</v>
      </c>
      <c r="AM93" t="s">
        <v>43</v>
      </c>
      <c r="AO93" t="s">
        <v>44</v>
      </c>
      <c r="AP93">
        <v>59.456390224006398</v>
      </c>
      <c r="AQ93" t="s">
        <v>81</v>
      </c>
    </row>
    <row r="94" spans="1:43" x14ac:dyDescent="0.3">
      <c r="A94" t="s">
        <v>65</v>
      </c>
      <c r="B94" t="s">
        <v>59</v>
      </c>
      <c r="C94" t="s">
        <v>56</v>
      </c>
      <c r="D94" t="s">
        <v>49</v>
      </c>
      <c r="E94" t="s">
        <v>57</v>
      </c>
      <c r="F94">
        <v>91</v>
      </c>
      <c r="G94">
        <v>11</v>
      </c>
      <c r="H94">
        <v>4</v>
      </c>
      <c r="I94" t="s">
        <v>57</v>
      </c>
      <c r="J94">
        <v>1</v>
      </c>
      <c r="K94">
        <v>0.78777059999993004</v>
      </c>
      <c r="L94" t="s">
        <v>51</v>
      </c>
      <c r="M94">
        <v>4</v>
      </c>
      <c r="N94">
        <v>11</v>
      </c>
      <c r="O94">
        <v>91</v>
      </c>
      <c r="P94">
        <v>9</v>
      </c>
      <c r="Q94">
        <v>130.02297790005099</v>
      </c>
      <c r="V94">
        <v>130.01278660003999</v>
      </c>
      <c r="W94">
        <v>130.02297790005099</v>
      </c>
      <c r="X94">
        <v>130.522669100028</v>
      </c>
      <c r="Y94">
        <v>130.522669100028</v>
      </c>
      <c r="Z94">
        <v>130.522669100028</v>
      </c>
      <c r="AA94">
        <v>131.32723850000099</v>
      </c>
      <c r="AB94" t="s">
        <v>57</v>
      </c>
      <c r="AC94">
        <v>1</v>
      </c>
      <c r="AD94">
        <v>0.78777059999993004</v>
      </c>
      <c r="AE94" t="s">
        <v>51</v>
      </c>
      <c r="AJ94">
        <v>2</v>
      </c>
      <c r="AK94">
        <v>1</v>
      </c>
      <c r="AL94" t="s">
        <v>80</v>
      </c>
      <c r="AM94" t="s">
        <v>43</v>
      </c>
      <c r="AO94" t="s">
        <v>44</v>
      </c>
      <c r="AP94">
        <v>59.456390224006398</v>
      </c>
      <c r="AQ94" t="s">
        <v>81</v>
      </c>
    </row>
    <row r="95" spans="1:43" x14ac:dyDescent="0.3">
      <c r="A95" t="s">
        <v>74</v>
      </c>
      <c r="B95" t="s">
        <v>47</v>
      </c>
      <c r="C95" t="s">
        <v>48</v>
      </c>
      <c r="D95" t="s">
        <v>49</v>
      </c>
      <c r="E95" t="s">
        <v>50</v>
      </c>
      <c r="F95">
        <v>92</v>
      </c>
      <c r="G95">
        <v>12</v>
      </c>
      <c r="H95">
        <v>4</v>
      </c>
      <c r="I95" t="s">
        <v>50</v>
      </c>
      <c r="J95">
        <v>1</v>
      </c>
      <c r="K95">
        <v>0.87392350001027796</v>
      </c>
      <c r="L95" t="s">
        <v>51</v>
      </c>
      <c r="M95">
        <v>4</v>
      </c>
      <c r="N95">
        <v>12</v>
      </c>
      <c r="O95">
        <v>92</v>
      </c>
      <c r="P95">
        <v>11</v>
      </c>
      <c r="Q95">
        <v>131.33947760000501</v>
      </c>
      <c r="V95">
        <v>131.33053190005</v>
      </c>
      <c r="W95">
        <v>131.33947760000501</v>
      </c>
      <c r="X95">
        <v>131.83862560003701</v>
      </c>
      <c r="Y95">
        <v>131.83862560003701</v>
      </c>
      <c r="Z95">
        <v>131.83862560003701</v>
      </c>
      <c r="AA95">
        <v>132.72655580000699</v>
      </c>
      <c r="AB95" t="s">
        <v>50</v>
      </c>
      <c r="AC95">
        <v>1</v>
      </c>
      <c r="AD95">
        <v>0.87392350001027796</v>
      </c>
      <c r="AE95" t="s">
        <v>51</v>
      </c>
      <c r="AJ95">
        <v>2</v>
      </c>
      <c r="AK95">
        <v>1</v>
      </c>
      <c r="AL95" t="s">
        <v>80</v>
      </c>
      <c r="AM95" t="s">
        <v>43</v>
      </c>
      <c r="AO95" t="s">
        <v>44</v>
      </c>
      <c r="AP95">
        <v>59.456390224006398</v>
      </c>
      <c r="AQ95" t="s">
        <v>81</v>
      </c>
    </row>
    <row r="96" spans="1:43" x14ac:dyDescent="0.3">
      <c r="A96" t="s">
        <v>75</v>
      </c>
      <c r="B96" t="s">
        <v>47</v>
      </c>
      <c r="C96" t="s">
        <v>61</v>
      </c>
      <c r="D96" t="s">
        <v>49</v>
      </c>
      <c r="E96" t="s">
        <v>63</v>
      </c>
      <c r="F96">
        <v>93</v>
      </c>
      <c r="G96">
        <v>13</v>
      </c>
      <c r="H96">
        <v>4</v>
      </c>
      <c r="I96" t="s">
        <v>63</v>
      </c>
      <c r="J96">
        <v>1</v>
      </c>
      <c r="K96">
        <v>0.66903950000414603</v>
      </c>
      <c r="L96" t="s">
        <v>51</v>
      </c>
      <c r="M96">
        <v>4</v>
      </c>
      <c r="N96">
        <v>13</v>
      </c>
      <c r="O96">
        <v>93</v>
      </c>
      <c r="P96">
        <v>16</v>
      </c>
      <c r="Q96">
        <v>132.73900100000901</v>
      </c>
      <c r="V96">
        <v>132.729339000012</v>
      </c>
      <c r="W96">
        <v>132.73900100000901</v>
      </c>
      <c r="X96">
        <v>133.23881480004599</v>
      </c>
      <c r="Y96">
        <v>133.23881480004599</v>
      </c>
      <c r="Z96">
        <v>133.23881480004599</v>
      </c>
      <c r="AA96">
        <v>133.91084630001501</v>
      </c>
      <c r="AB96" t="s">
        <v>63</v>
      </c>
      <c r="AC96">
        <v>1</v>
      </c>
      <c r="AD96">
        <v>0.66903950000414603</v>
      </c>
      <c r="AE96" t="s">
        <v>51</v>
      </c>
      <c r="AJ96">
        <v>2</v>
      </c>
      <c r="AK96">
        <v>1</v>
      </c>
      <c r="AL96" t="s">
        <v>80</v>
      </c>
      <c r="AM96" t="s">
        <v>43</v>
      </c>
      <c r="AO96" t="s">
        <v>44</v>
      </c>
      <c r="AP96">
        <v>59.456390224006398</v>
      </c>
      <c r="AQ96" t="s">
        <v>81</v>
      </c>
    </row>
    <row r="97" spans="1:43" x14ac:dyDescent="0.3">
      <c r="A97" t="s">
        <v>72</v>
      </c>
      <c r="B97" t="s">
        <v>59</v>
      </c>
      <c r="C97" t="s">
        <v>61</v>
      </c>
      <c r="D97" t="s">
        <v>62</v>
      </c>
      <c r="E97" t="s">
        <v>63</v>
      </c>
      <c r="F97">
        <v>94</v>
      </c>
      <c r="G97">
        <v>14</v>
      </c>
      <c r="H97">
        <v>4</v>
      </c>
      <c r="I97" t="s">
        <v>63</v>
      </c>
      <c r="J97">
        <v>1</v>
      </c>
      <c r="K97">
        <v>0.89887959999032296</v>
      </c>
      <c r="L97" t="s">
        <v>51</v>
      </c>
      <c r="M97">
        <v>4</v>
      </c>
      <c r="N97">
        <v>14</v>
      </c>
      <c r="O97">
        <v>94</v>
      </c>
      <c r="P97">
        <v>8</v>
      </c>
      <c r="Q97">
        <v>133.92305760004001</v>
      </c>
      <c r="V97">
        <v>133.914361900009</v>
      </c>
      <c r="W97">
        <v>133.92305760004001</v>
      </c>
      <c r="X97">
        <v>134.42294860002499</v>
      </c>
      <c r="Y97">
        <v>134.42294860002499</v>
      </c>
      <c r="Z97">
        <v>134.42294860002499</v>
      </c>
      <c r="AA97">
        <v>135.32728690002099</v>
      </c>
      <c r="AB97" t="s">
        <v>63</v>
      </c>
      <c r="AC97">
        <v>1</v>
      </c>
      <c r="AD97">
        <v>0.89887959999032296</v>
      </c>
      <c r="AE97" t="s">
        <v>51</v>
      </c>
      <c r="AJ97">
        <v>2</v>
      </c>
      <c r="AK97">
        <v>1</v>
      </c>
      <c r="AL97" t="s">
        <v>80</v>
      </c>
      <c r="AM97" t="s">
        <v>43</v>
      </c>
      <c r="AO97" t="s">
        <v>44</v>
      </c>
      <c r="AP97">
        <v>59.456390224006398</v>
      </c>
      <c r="AQ97" t="s">
        <v>81</v>
      </c>
    </row>
    <row r="98" spans="1:43" x14ac:dyDescent="0.3">
      <c r="A98" t="s">
        <v>76</v>
      </c>
      <c r="B98" t="s">
        <v>59</v>
      </c>
      <c r="C98" t="s">
        <v>48</v>
      </c>
      <c r="D98" t="s">
        <v>49</v>
      </c>
      <c r="E98" t="s">
        <v>50</v>
      </c>
      <c r="F98">
        <v>95</v>
      </c>
      <c r="G98">
        <v>15</v>
      </c>
      <c r="H98">
        <v>4</v>
      </c>
      <c r="I98" t="s">
        <v>50</v>
      </c>
      <c r="J98">
        <v>1</v>
      </c>
      <c r="K98">
        <v>1.2281358999898599</v>
      </c>
      <c r="L98" t="s">
        <v>51</v>
      </c>
      <c r="M98">
        <v>4</v>
      </c>
      <c r="N98">
        <v>15</v>
      </c>
      <c r="O98">
        <v>95</v>
      </c>
      <c r="P98">
        <v>3</v>
      </c>
      <c r="Q98">
        <v>135.33882370003201</v>
      </c>
      <c r="V98">
        <v>135.33038180001299</v>
      </c>
      <c r="W98">
        <v>135.33882370003201</v>
      </c>
      <c r="X98">
        <v>135.83905880001799</v>
      </c>
      <c r="Y98">
        <v>135.83905880001799</v>
      </c>
      <c r="Z98">
        <v>135.83905880001799</v>
      </c>
      <c r="AA98">
        <v>137.075802100007</v>
      </c>
      <c r="AB98" t="s">
        <v>50</v>
      </c>
      <c r="AC98">
        <v>1</v>
      </c>
      <c r="AD98">
        <v>1.2281358999898599</v>
      </c>
      <c r="AE98" t="s">
        <v>51</v>
      </c>
      <c r="AJ98">
        <v>2</v>
      </c>
      <c r="AK98">
        <v>1</v>
      </c>
      <c r="AL98" t="s">
        <v>80</v>
      </c>
      <c r="AM98" t="s">
        <v>43</v>
      </c>
      <c r="AO98" t="s">
        <v>44</v>
      </c>
      <c r="AP98">
        <v>59.456390224006398</v>
      </c>
      <c r="AQ98" t="s">
        <v>81</v>
      </c>
    </row>
    <row r="99" spans="1:43" x14ac:dyDescent="0.3">
      <c r="A99" t="s">
        <v>71</v>
      </c>
      <c r="B99" t="s">
        <v>47</v>
      </c>
      <c r="C99" t="s">
        <v>48</v>
      </c>
      <c r="D99" t="s">
        <v>49</v>
      </c>
      <c r="E99" t="s">
        <v>50</v>
      </c>
      <c r="F99">
        <v>96</v>
      </c>
      <c r="G99">
        <v>16</v>
      </c>
      <c r="H99">
        <v>4</v>
      </c>
      <c r="I99" t="s">
        <v>50</v>
      </c>
      <c r="J99">
        <v>1</v>
      </c>
      <c r="K99">
        <v>0.48114250000799003</v>
      </c>
      <c r="L99" t="s">
        <v>51</v>
      </c>
      <c r="M99">
        <v>4</v>
      </c>
      <c r="N99">
        <v>16</v>
      </c>
      <c r="O99">
        <v>96</v>
      </c>
      <c r="P99">
        <v>15</v>
      </c>
      <c r="Q99">
        <v>137.088552200002</v>
      </c>
      <c r="V99">
        <v>137.07883900002301</v>
      </c>
      <c r="W99">
        <v>137.088552200002</v>
      </c>
      <c r="X99">
        <v>137.58941490005199</v>
      </c>
      <c r="Y99">
        <v>137.58941490005199</v>
      </c>
      <c r="Z99">
        <v>137.58941490005199</v>
      </c>
      <c r="AA99">
        <v>138.07636690000001</v>
      </c>
      <c r="AB99" t="s">
        <v>50</v>
      </c>
      <c r="AC99">
        <v>1</v>
      </c>
      <c r="AD99">
        <v>0.48114250000799003</v>
      </c>
      <c r="AE99" t="s">
        <v>51</v>
      </c>
      <c r="AJ99">
        <v>2</v>
      </c>
      <c r="AK99">
        <v>1</v>
      </c>
      <c r="AL99" t="s">
        <v>80</v>
      </c>
      <c r="AM99" t="s">
        <v>43</v>
      </c>
      <c r="AO99" t="s">
        <v>44</v>
      </c>
      <c r="AP99">
        <v>59.456390224006398</v>
      </c>
      <c r="AQ99" t="s">
        <v>81</v>
      </c>
    </row>
    <row r="100" spans="1:43" x14ac:dyDescent="0.3">
      <c r="A100" t="s">
        <v>55</v>
      </c>
      <c r="B100" t="s">
        <v>47</v>
      </c>
      <c r="C100" t="s">
        <v>56</v>
      </c>
      <c r="D100" t="s">
        <v>49</v>
      </c>
      <c r="E100" t="s">
        <v>57</v>
      </c>
      <c r="F100">
        <v>97</v>
      </c>
      <c r="G100">
        <v>17</v>
      </c>
      <c r="H100">
        <v>4</v>
      </c>
      <c r="I100" t="s">
        <v>57</v>
      </c>
      <c r="J100">
        <v>1</v>
      </c>
      <c r="K100">
        <v>0.78444579994538799</v>
      </c>
      <c r="L100" t="s">
        <v>51</v>
      </c>
      <c r="M100">
        <v>4</v>
      </c>
      <c r="N100">
        <v>17</v>
      </c>
      <c r="O100">
        <v>97</v>
      </c>
      <c r="P100">
        <v>13</v>
      </c>
      <c r="Q100">
        <v>138.08886900002801</v>
      </c>
      <c r="V100">
        <v>138.079455099999</v>
      </c>
      <c r="W100">
        <v>138.08886900002801</v>
      </c>
      <c r="X100">
        <v>138.58864390000201</v>
      </c>
      <c r="Y100">
        <v>138.58864390000201</v>
      </c>
      <c r="Z100">
        <v>138.58864390000201</v>
      </c>
      <c r="AA100">
        <v>139.37578590004699</v>
      </c>
      <c r="AB100" t="s">
        <v>57</v>
      </c>
      <c r="AC100">
        <v>1</v>
      </c>
      <c r="AD100">
        <v>0.78444579994538799</v>
      </c>
      <c r="AE100" t="s">
        <v>51</v>
      </c>
      <c r="AJ100">
        <v>2</v>
      </c>
      <c r="AK100">
        <v>1</v>
      </c>
      <c r="AL100" t="s">
        <v>80</v>
      </c>
      <c r="AM100" t="s">
        <v>43</v>
      </c>
      <c r="AO100" t="s">
        <v>44</v>
      </c>
      <c r="AP100">
        <v>59.456390224006398</v>
      </c>
      <c r="AQ100" t="s">
        <v>81</v>
      </c>
    </row>
    <row r="101" spans="1:43" x14ac:dyDescent="0.3">
      <c r="A101" t="s">
        <v>52</v>
      </c>
      <c r="B101" t="s">
        <v>47</v>
      </c>
      <c r="C101" t="s">
        <v>53</v>
      </c>
      <c r="D101" t="s">
        <v>49</v>
      </c>
      <c r="E101" t="s">
        <v>54</v>
      </c>
      <c r="F101">
        <v>98</v>
      </c>
      <c r="G101">
        <v>18</v>
      </c>
      <c r="H101">
        <v>4</v>
      </c>
      <c r="I101" t="s">
        <v>54</v>
      </c>
      <c r="J101">
        <v>1</v>
      </c>
      <c r="K101">
        <v>0.79380789998685897</v>
      </c>
      <c r="L101" t="s">
        <v>51</v>
      </c>
      <c r="M101">
        <v>4</v>
      </c>
      <c r="N101">
        <v>18</v>
      </c>
      <c r="O101">
        <v>98</v>
      </c>
      <c r="P101">
        <v>14</v>
      </c>
      <c r="Q101">
        <v>139.388921400008</v>
      </c>
      <c r="V101">
        <v>139.379070000024</v>
      </c>
      <c r="W101">
        <v>139.388921400008</v>
      </c>
      <c r="X101">
        <v>139.89167660003201</v>
      </c>
      <c r="Y101">
        <v>139.89167660003201</v>
      </c>
      <c r="Z101">
        <v>139.89167660003201</v>
      </c>
      <c r="AA101">
        <v>140.69231050001599</v>
      </c>
      <c r="AB101" t="s">
        <v>54</v>
      </c>
      <c r="AC101">
        <v>1</v>
      </c>
      <c r="AD101">
        <v>0.79380789998685897</v>
      </c>
      <c r="AE101" t="s">
        <v>51</v>
      </c>
      <c r="AJ101">
        <v>2</v>
      </c>
      <c r="AK101">
        <v>1</v>
      </c>
      <c r="AL101" t="s">
        <v>80</v>
      </c>
      <c r="AM101" t="s">
        <v>43</v>
      </c>
      <c r="AO101" t="s">
        <v>44</v>
      </c>
      <c r="AP101">
        <v>59.456390224006398</v>
      </c>
      <c r="AQ101" t="s">
        <v>81</v>
      </c>
    </row>
    <row r="102" spans="1:43" x14ac:dyDescent="0.3">
      <c r="A102" t="s">
        <v>46</v>
      </c>
      <c r="B102" t="s">
        <v>47</v>
      </c>
      <c r="C102" t="s">
        <v>48</v>
      </c>
      <c r="D102" t="s">
        <v>49</v>
      </c>
      <c r="E102" t="s">
        <v>50</v>
      </c>
      <c r="F102">
        <v>99</v>
      </c>
      <c r="G102">
        <v>19</v>
      </c>
      <c r="H102">
        <v>4</v>
      </c>
      <c r="I102" t="s">
        <v>50</v>
      </c>
      <c r="J102">
        <v>1</v>
      </c>
      <c r="K102">
        <v>0.94320430001243905</v>
      </c>
      <c r="L102" t="s">
        <v>51</v>
      </c>
      <c r="M102">
        <v>4</v>
      </c>
      <c r="N102">
        <v>19</v>
      </c>
      <c r="O102">
        <v>99</v>
      </c>
      <c r="P102">
        <v>19</v>
      </c>
      <c r="Q102">
        <v>140.705200900032</v>
      </c>
      <c r="V102">
        <v>140.695047200017</v>
      </c>
      <c r="W102">
        <v>140.705200900032</v>
      </c>
      <c r="X102">
        <v>141.205282500013</v>
      </c>
      <c r="Y102">
        <v>141.205282500013</v>
      </c>
      <c r="Z102">
        <v>141.205282500013</v>
      </c>
      <c r="AA102">
        <v>142.15899830002999</v>
      </c>
      <c r="AB102" t="s">
        <v>50</v>
      </c>
      <c r="AC102">
        <v>1</v>
      </c>
      <c r="AD102">
        <v>0.94320430001243905</v>
      </c>
      <c r="AE102" t="s">
        <v>51</v>
      </c>
      <c r="AJ102">
        <v>2</v>
      </c>
      <c r="AK102">
        <v>1</v>
      </c>
      <c r="AL102" t="s">
        <v>80</v>
      </c>
      <c r="AM102" t="s">
        <v>43</v>
      </c>
      <c r="AO102" t="s">
        <v>44</v>
      </c>
      <c r="AP102">
        <v>59.456390224006398</v>
      </c>
      <c r="AQ102" t="s">
        <v>81</v>
      </c>
    </row>
    <row r="103" spans="1:43" x14ac:dyDescent="0.3">
      <c r="A103" t="s">
        <v>52</v>
      </c>
      <c r="B103" t="s">
        <v>47</v>
      </c>
      <c r="C103" t="s">
        <v>53</v>
      </c>
      <c r="D103" t="s">
        <v>49</v>
      </c>
      <c r="E103" t="s">
        <v>54</v>
      </c>
      <c r="F103">
        <v>100</v>
      </c>
      <c r="G103">
        <v>0</v>
      </c>
      <c r="H103">
        <v>5</v>
      </c>
      <c r="I103" t="s">
        <v>54</v>
      </c>
      <c r="J103">
        <v>1</v>
      </c>
      <c r="K103">
        <v>0.88969849998829797</v>
      </c>
      <c r="L103" t="s">
        <v>51</v>
      </c>
      <c r="M103">
        <v>5</v>
      </c>
      <c r="N103">
        <v>0</v>
      </c>
      <c r="O103">
        <v>100</v>
      </c>
      <c r="P103">
        <v>14</v>
      </c>
      <c r="Q103">
        <v>142.17197080003001</v>
      </c>
      <c r="V103">
        <v>142.16296070005001</v>
      </c>
      <c r="W103">
        <v>142.17197080003001</v>
      </c>
      <c r="X103">
        <v>142.67221680004101</v>
      </c>
      <c r="Y103">
        <v>142.67221680004101</v>
      </c>
      <c r="Z103">
        <v>142.67221680004101</v>
      </c>
      <c r="AA103">
        <v>143.57560540002299</v>
      </c>
      <c r="AB103" t="s">
        <v>54</v>
      </c>
      <c r="AC103">
        <v>1</v>
      </c>
      <c r="AD103">
        <v>0.88969849998829797</v>
      </c>
      <c r="AE103" t="s">
        <v>51</v>
      </c>
      <c r="AJ103">
        <v>2</v>
      </c>
      <c r="AK103">
        <v>1</v>
      </c>
      <c r="AL103" t="s">
        <v>80</v>
      </c>
      <c r="AM103" t="s">
        <v>43</v>
      </c>
      <c r="AO103" t="s">
        <v>44</v>
      </c>
      <c r="AP103">
        <v>59.456390224006398</v>
      </c>
      <c r="AQ103" t="s">
        <v>81</v>
      </c>
    </row>
    <row r="104" spans="1:43" x14ac:dyDescent="0.3">
      <c r="A104" t="s">
        <v>64</v>
      </c>
      <c r="B104" t="s">
        <v>47</v>
      </c>
      <c r="C104" t="s">
        <v>53</v>
      </c>
      <c r="D104" t="s">
        <v>49</v>
      </c>
      <c r="E104" t="s">
        <v>54</v>
      </c>
      <c r="F104">
        <v>101</v>
      </c>
      <c r="G104">
        <v>1</v>
      </c>
      <c r="H104">
        <v>5</v>
      </c>
      <c r="I104" t="s">
        <v>54</v>
      </c>
      <c r="J104">
        <v>1</v>
      </c>
      <c r="K104">
        <v>0.50705780001589995</v>
      </c>
      <c r="L104" t="s">
        <v>51</v>
      </c>
      <c r="M104">
        <v>5</v>
      </c>
      <c r="N104">
        <v>1</v>
      </c>
      <c r="O104">
        <v>101</v>
      </c>
      <c r="P104">
        <v>18</v>
      </c>
      <c r="Q104">
        <v>143.58880670001901</v>
      </c>
      <c r="V104">
        <v>143.57865080004501</v>
      </c>
      <c r="W104">
        <v>143.58880670001901</v>
      </c>
      <c r="X104">
        <v>144.08876640000301</v>
      </c>
      <c r="Y104">
        <v>144.08876640000301</v>
      </c>
      <c r="Z104">
        <v>144.08876640000301</v>
      </c>
      <c r="AA104">
        <v>144.60998740000599</v>
      </c>
      <c r="AB104" t="s">
        <v>54</v>
      </c>
      <c r="AC104">
        <v>1</v>
      </c>
      <c r="AD104">
        <v>0.50705780001589995</v>
      </c>
      <c r="AE104" t="s">
        <v>51</v>
      </c>
      <c r="AJ104">
        <v>2</v>
      </c>
      <c r="AK104">
        <v>1</v>
      </c>
      <c r="AL104" t="s">
        <v>80</v>
      </c>
      <c r="AM104" t="s">
        <v>43</v>
      </c>
      <c r="AO104" t="s">
        <v>44</v>
      </c>
      <c r="AP104">
        <v>59.456390224006398</v>
      </c>
      <c r="AQ104" t="s">
        <v>81</v>
      </c>
    </row>
    <row r="105" spans="1:43" x14ac:dyDescent="0.3">
      <c r="A105" t="s">
        <v>69</v>
      </c>
      <c r="B105" t="s">
        <v>59</v>
      </c>
      <c r="C105" t="s">
        <v>56</v>
      </c>
      <c r="D105" t="s">
        <v>49</v>
      </c>
      <c r="E105" t="s">
        <v>57</v>
      </c>
      <c r="F105">
        <v>102</v>
      </c>
      <c r="G105">
        <v>2</v>
      </c>
      <c r="H105">
        <v>5</v>
      </c>
      <c r="I105" t="s">
        <v>57</v>
      </c>
      <c r="J105">
        <v>1</v>
      </c>
      <c r="K105">
        <v>0.67520800000056602</v>
      </c>
      <c r="L105" t="s">
        <v>51</v>
      </c>
      <c r="M105">
        <v>5</v>
      </c>
      <c r="N105">
        <v>2</v>
      </c>
      <c r="O105">
        <v>102</v>
      </c>
      <c r="P105">
        <v>5</v>
      </c>
      <c r="Q105">
        <v>144.62199180002699</v>
      </c>
      <c r="V105">
        <v>144.61363790003799</v>
      </c>
      <c r="W105">
        <v>144.62199180002699</v>
      </c>
      <c r="X105">
        <v>145.12230540002901</v>
      </c>
      <c r="Y105">
        <v>145.12230540002901</v>
      </c>
      <c r="Z105">
        <v>145.12230540002901</v>
      </c>
      <c r="AA105">
        <v>145.80960460001299</v>
      </c>
      <c r="AB105" t="s">
        <v>57</v>
      </c>
      <c r="AC105">
        <v>1</v>
      </c>
      <c r="AD105">
        <v>0.67520800000056602</v>
      </c>
      <c r="AE105" t="s">
        <v>51</v>
      </c>
      <c r="AJ105">
        <v>2</v>
      </c>
      <c r="AK105">
        <v>1</v>
      </c>
      <c r="AL105" t="s">
        <v>80</v>
      </c>
      <c r="AM105" t="s">
        <v>43</v>
      </c>
      <c r="AO105" t="s">
        <v>44</v>
      </c>
      <c r="AP105">
        <v>59.456390224006398</v>
      </c>
      <c r="AQ105" t="s">
        <v>81</v>
      </c>
    </row>
    <row r="106" spans="1:43" x14ac:dyDescent="0.3">
      <c r="A106" t="s">
        <v>75</v>
      </c>
      <c r="B106" t="s">
        <v>47</v>
      </c>
      <c r="C106" t="s">
        <v>61</v>
      </c>
      <c r="D106" t="s">
        <v>49</v>
      </c>
      <c r="E106" t="s">
        <v>63</v>
      </c>
      <c r="F106">
        <v>103</v>
      </c>
      <c r="G106">
        <v>3</v>
      </c>
      <c r="H106">
        <v>5</v>
      </c>
      <c r="I106" t="s">
        <v>63</v>
      </c>
      <c r="J106">
        <v>1</v>
      </c>
      <c r="K106">
        <v>0.71770509995985698</v>
      </c>
      <c r="L106" t="s">
        <v>51</v>
      </c>
      <c r="M106">
        <v>5</v>
      </c>
      <c r="N106">
        <v>3</v>
      </c>
      <c r="O106">
        <v>103</v>
      </c>
      <c r="P106">
        <v>16</v>
      </c>
      <c r="Q106">
        <v>145.82197980000601</v>
      </c>
      <c r="V106">
        <v>145.81267370004201</v>
      </c>
      <c r="W106">
        <v>145.82197980000601</v>
      </c>
      <c r="X106">
        <v>146.322674400056</v>
      </c>
      <c r="Y106">
        <v>146.322674400056</v>
      </c>
      <c r="Z106">
        <v>146.322674400056</v>
      </c>
      <c r="AA106">
        <v>147.04325540002901</v>
      </c>
      <c r="AB106" t="s">
        <v>63</v>
      </c>
      <c r="AC106">
        <v>1</v>
      </c>
      <c r="AD106">
        <v>0.71770509995985698</v>
      </c>
      <c r="AE106" t="s">
        <v>51</v>
      </c>
      <c r="AJ106">
        <v>2</v>
      </c>
      <c r="AK106">
        <v>1</v>
      </c>
      <c r="AL106" t="s">
        <v>80</v>
      </c>
      <c r="AM106" t="s">
        <v>43</v>
      </c>
      <c r="AO106" t="s">
        <v>44</v>
      </c>
      <c r="AP106">
        <v>59.456390224006398</v>
      </c>
      <c r="AQ106" t="s">
        <v>81</v>
      </c>
    </row>
    <row r="107" spans="1:43" x14ac:dyDescent="0.3">
      <c r="A107" t="s">
        <v>74</v>
      </c>
      <c r="B107" t="s">
        <v>47</v>
      </c>
      <c r="C107" t="s">
        <v>48</v>
      </c>
      <c r="D107" t="s">
        <v>49</v>
      </c>
      <c r="E107" t="s">
        <v>50</v>
      </c>
      <c r="F107">
        <v>104</v>
      </c>
      <c r="G107">
        <v>4</v>
      </c>
      <c r="H107">
        <v>5</v>
      </c>
      <c r="I107" t="s">
        <v>50</v>
      </c>
      <c r="J107">
        <v>1</v>
      </c>
      <c r="K107">
        <v>0.92051480000372898</v>
      </c>
      <c r="L107" t="s">
        <v>51</v>
      </c>
      <c r="M107">
        <v>5</v>
      </c>
      <c r="N107">
        <v>4</v>
      </c>
      <c r="O107">
        <v>104</v>
      </c>
      <c r="P107">
        <v>11</v>
      </c>
      <c r="Q107">
        <v>147.05539810005499</v>
      </c>
      <c r="V107">
        <v>147.04602450004299</v>
      </c>
      <c r="W107">
        <v>147.05539810005499</v>
      </c>
      <c r="X107">
        <v>147.55497120000601</v>
      </c>
      <c r="Y107">
        <v>147.55497120000601</v>
      </c>
      <c r="Z107">
        <v>147.55497120000601</v>
      </c>
      <c r="AA107">
        <v>148.47652650001601</v>
      </c>
      <c r="AB107" t="s">
        <v>50</v>
      </c>
      <c r="AC107">
        <v>1</v>
      </c>
      <c r="AD107">
        <v>0.92051480000372898</v>
      </c>
      <c r="AE107" t="s">
        <v>51</v>
      </c>
      <c r="AJ107">
        <v>2</v>
      </c>
      <c r="AK107">
        <v>1</v>
      </c>
      <c r="AL107" t="s">
        <v>80</v>
      </c>
      <c r="AM107" t="s">
        <v>43</v>
      </c>
      <c r="AO107" t="s">
        <v>44</v>
      </c>
      <c r="AP107">
        <v>59.456390224006398</v>
      </c>
      <c r="AQ107" t="s">
        <v>81</v>
      </c>
    </row>
    <row r="108" spans="1:43" x14ac:dyDescent="0.3">
      <c r="A108" t="s">
        <v>73</v>
      </c>
      <c r="B108" t="s">
        <v>59</v>
      </c>
      <c r="C108" t="s">
        <v>56</v>
      </c>
      <c r="D108" t="s">
        <v>49</v>
      </c>
      <c r="E108" t="s">
        <v>57</v>
      </c>
      <c r="F108">
        <v>105</v>
      </c>
      <c r="G108">
        <v>5</v>
      </c>
      <c r="H108">
        <v>5</v>
      </c>
      <c r="I108" t="s">
        <v>57</v>
      </c>
      <c r="J108">
        <v>1</v>
      </c>
      <c r="K108">
        <v>1.1085071999695999</v>
      </c>
      <c r="L108" t="s">
        <v>51</v>
      </c>
      <c r="M108">
        <v>5</v>
      </c>
      <c r="N108">
        <v>5</v>
      </c>
      <c r="O108">
        <v>105</v>
      </c>
      <c r="P108">
        <v>1</v>
      </c>
      <c r="Q108">
        <v>148.488755400001</v>
      </c>
      <c r="V108">
        <v>148.47911730001201</v>
      </c>
      <c r="W108">
        <v>148.488755400001</v>
      </c>
      <c r="X108">
        <v>148.98837590002199</v>
      </c>
      <c r="Y108">
        <v>148.98837590002199</v>
      </c>
      <c r="Z108">
        <v>148.98837590002199</v>
      </c>
      <c r="AA108">
        <v>150.108746400044</v>
      </c>
      <c r="AB108" t="s">
        <v>57</v>
      </c>
      <c r="AC108">
        <v>1</v>
      </c>
      <c r="AD108">
        <v>1.1085071999695999</v>
      </c>
      <c r="AE108" t="s">
        <v>51</v>
      </c>
      <c r="AJ108">
        <v>2</v>
      </c>
      <c r="AK108">
        <v>1</v>
      </c>
      <c r="AL108" t="s">
        <v>80</v>
      </c>
      <c r="AM108" t="s">
        <v>43</v>
      </c>
      <c r="AO108" t="s">
        <v>44</v>
      </c>
      <c r="AP108">
        <v>59.456390224006398</v>
      </c>
      <c r="AQ108" t="s">
        <v>81</v>
      </c>
    </row>
    <row r="109" spans="1:43" x14ac:dyDescent="0.3">
      <c r="A109" t="s">
        <v>71</v>
      </c>
      <c r="B109" t="s">
        <v>47</v>
      </c>
      <c r="C109" t="s">
        <v>48</v>
      </c>
      <c r="D109" t="s">
        <v>49</v>
      </c>
      <c r="E109" t="s">
        <v>50</v>
      </c>
      <c r="F109">
        <v>106</v>
      </c>
      <c r="G109">
        <v>6</v>
      </c>
      <c r="H109">
        <v>5</v>
      </c>
      <c r="I109" t="s">
        <v>50</v>
      </c>
      <c r="J109">
        <v>1</v>
      </c>
      <c r="K109">
        <v>1.08399229997303</v>
      </c>
      <c r="L109" t="s">
        <v>51</v>
      </c>
      <c r="M109">
        <v>5</v>
      </c>
      <c r="N109">
        <v>6</v>
      </c>
      <c r="O109">
        <v>106</v>
      </c>
      <c r="P109">
        <v>15</v>
      </c>
      <c r="Q109">
        <v>150.121896399999</v>
      </c>
      <c r="V109">
        <v>150.111442300025</v>
      </c>
      <c r="W109">
        <v>150.121896399999</v>
      </c>
      <c r="X109">
        <v>150.62190850003299</v>
      </c>
      <c r="Y109">
        <v>150.62190850003299</v>
      </c>
      <c r="Z109">
        <v>150.62190850003299</v>
      </c>
      <c r="AA109">
        <v>151.70971510000501</v>
      </c>
      <c r="AB109" t="s">
        <v>50</v>
      </c>
      <c r="AC109">
        <v>1</v>
      </c>
      <c r="AD109">
        <v>1.08399229997303</v>
      </c>
      <c r="AE109" t="s">
        <v>51</v>
      </c>
      <c r="AJ109">
        <v>2</v>
      </c>
      <c r="AK109">
        <v>1</v>
      </c>
      <c r="AL109" t="s">
        <v>80</v>
      </c>
      <c r="AM109" t="s">
        <v>43</v>
      </c>
      <c r="AO109" t="s">
        <v>44</v>
      </c>
      <c r="AP109">
        <v>59.456390224006398</v>
      </c>
      <c r="AQ109" t="s">
        <v>81</v>
      </c>
    </row>
    <row r="110" spans="1:43" x14ac:dyDescent="0.3">
      <c r="A110" t="s">
        <v>77</v>
      </c>
      <c r="B110" t="s">
        <v>59</v>
      </c>
      <c r="C110" t="s">
        <v>61</v>
      </c>
      <c r="D110" t="s">
        <v>62</v>
      </c>
      <c r="E110" t="s">
        <v>63</v>
      </c>
      <c r="F110">
        <v>107</v>
      </c>
      <c r="G110">
        <v>7</v>
      </c>
      <c r="H110">
        <v>5</v>
      </c>
      <c r="I110" t="s">
        <v>63</v>
      </c>
      <c r="J110">
        <v>1</v>
      </c>
      <c r="K110">
        <v>0.70006210001883995</v>
      </c>
      <c r="L110" t="s">
        <v>51</v>
      </c>
      <c r="M110">
        <v>5</v>
      </c>
      <c r="N110">
        <v>7</v>
      </c>
      <c r="O110">
        <v>107</v>
      </c>
      <c r="P110">
        <v>4</v>
      </c>
      <c r="Q110">
        <v>151.72146600001699</v>
      </c>
      <c r="V110">
        <v>151.713228800043</v>
      </c>
      <c r="W110">
        <v>151.72146600001699</v>
      </c>
      <c r="X110">
        <v>152.22216370003201</v>
      </c>
      <c r="Y110">
        <v>152.22216370003201</v>
      </c>
      <c r="Z110">
        <v>152.22216370003201</v>
      </c>
      <c r="AA110">
        <v>152.92547760001599</v>
      </c>
      <c r="AB110" t="s">
        <v>63</v>
      </c>
      <c r="AC110">
        <v>1</v>
      </c>
      <c r="AD110">
        <v>0.70006210001883995</v>
      </c>
      <c r="AE110" t="s">
        <v>51</v>
      </c>
      <c r="AJ110">
        <v>2</v>
      </c>
      <c r="AK110">
        <v>1</v>
      </c>
      <c r="AL110" t="s">
        <v>80</v>
      </c>
      <c r="AM110" t="s">
        <v>43</v>
      </c>
      <c r="AO110" t="s">
        <v>44</v>
      </c>
      <c r="AP110">
        <v>59.456390224006398</v>
      </c>
      <c r="AQ110" t="s">
        <v>81</v>
      </c>
    </row>
    <row r="111" spans="1:43" x14ac:dyDescent="0.3">
      <c r="A111" t="s">
        <v>76</v>
      </c>
      <c r="B111" t="s">
        <v>59</v>
      </c>
      <c r="C111" t="s">
        <v>48</v>
      </c>
      <c r="D111" t="s">
        <v>49</v>
      </c>
      <c r="E111" t="s">
        <v>50</v>
      </c>
      <c r="F111">
        <v>108</v>
      </c>
      <c r="G111">
        <v>8</v>
      </c>
      <c r="H111">
        <v>5</v>
      </c>
      <c r="I111" t="s">
        <v>50</v>
      </c>
      <c r="J111">
        <v>1</v>
      </c>
      <c r="K111">
        <v>0.87709189997985904</v>
      </c>
      <c r="L111" t="s">
        <v>51</v>
      </c>
      <c r="M111">
        <v>5</v>
      </c>
      <c r="N111">
        <v>8</v>
      </c>
      <c r="O111">
        <v>108</v>
      </c>
      <c r="P111">
        <v>3</v>
      </c>
      <c r="Q111">
        <v>152.938180600001</v>
      </c>
      <c r="V111">
        <v>152.92814320005701</v>
      </c>
      <c r="W111">
        <v>152.938180600001</v>
      </c>
      <c r="X111">
        <v>153.43859300005701</v>
      </c>
      <c r="Y111">
        <v>153.43859300005701</v>
      </c>
      <c r="Z111">
        <v>153.43859300005701</v>
      </c>
      <c r="AA111">
        <v>154.325360200018</v>
      </c>
      <c r="AB111" t="s">
        <v>50</v>
      </c>
      <c r="AC111">
        <v>1</v>
      </c>
      <c r="AD111">
        <v>0.87709189997985904</v>
      </c>
      <c r="AE111" t="s">
        <v>51</v>
      </c>
      <c r="AJ111">
        <v>2</v>
      </c>
      <c r="AK111">
        <v>1</v>
      </c>
      <c r="AL111" t="s">
        <v>80</v>
      </c>
      <c r="AM111" t="s">
        <v>43</v>
      </c>
      <c r="AO111" t="s">
        <v>44</v>
      </c>
      <c r="AP111">
        <v>59.456390224006398</v>
      </c>
      <c r="AQ111" t="s">
        <v>81</v>
      </c>
    </row>
    <row r="112" spans="1:43" x14ac:dyDescent="0.3">
      <c r="A112" t="s">
        <v>65</v>
      </c>
      <c r="B112" t="s">
        <v>59</v>
      </c>
      <c r="C112" t="s">
        <v>56</v>
      </c>
      <c r="D112" t="s">
        <v>49</v>
      </c>
      <c r="E112" t="s">
        <v>57</v>
      </c>
      <c r="F112">
        <v>109</v>
      </c>
      <c r="G112">
        <v>9</v>
      </c>
      <c r="H112">
        <v>5</v>
      </c>
      <c r="I112" t="s">
        <v>57</v>
      </c>
      <c r="J112">
        <v>1</v>
      </c>
      <c r="K112">
        <v>0.84245870000449896</v>
      </c>
      <c r="L112" t="s">
        <v>51</v>
      </c>
      <c r="M112">
        <v>5</v>
      </c>
      <c r="N112">
        <v>9</v>
      </c>
      <c r="O112">
        <v>109</v>
      </c>
      <c r="P112">
        <v>9</v>
      </c>
      <c r="Q112">
        <v>154.33817290002401</v>
      </c>
      <c r="V112">
        <v>154.32909260003299</v>
      </c>
      <c r="W112">
        <v>154.33817290002401</v>
      </c>
      <c r="X112">
        <v>154.8383455</v>
      </c>
      <c r="Y112">
        <v>154.8383455</v>
      </c>
      <c r="Z112">
        <v>154.8383455</v>
      </c>
      <c r="AA112">
        <v>155.691526400041</v>
      </c>
      <c r="AB112" t="s">
        <v>57</v>
      </c>
      <c r="AC112">
        <v>1</v>
      </c>
      <c r="AD112">
        <v>0.84245870000449896</v>
      </c>
      <c r="AE112" t="s">
        <v>51</v>
      </c>
      <c r="AJ112">
        <v>2</v>
      </c>
      <c r="AK112">
        <v>1</v>
      </c>
      <c r="AL112" t="s">
        <v>80</v>
      </c>
      <c r="AM112" t="s">
        <v>43</v>
      </c>
      <c r="AO112" t="s">
        <v>44</v>
      </c>
      <c r="AP112">
        <v>59.456390224006398</v>
      </c>
      <c r="AQ112" t="s">
        <v>81</v>
      </c>
    </row>
    <row r="113" spans="1:43" x14ac:dyDescent="0.3">
      <c r="A113" t="s">
        <v>67</v>
      </c>
      <c r="B113" t="s">
        <v>47</v>
      </c>
      <c r="C113" t="s">
        <v>53</v>
      </c>
      <c r="D113" t="s">
        <v>49</v>
      </c>
      <c r="E113" t="s">
        <v>54</v>
      </c>
      <c r="F113">
        <v>110</v>
      </c>
      <c r="G113">
        <v>10</v>
      </c>
      <c r="H113">
        <v>5</v>
      </c>
      <c r="I113" t="s">
        <v>54</v>
      </c>
      <c r="J113">
        <v>1</v>
      </c>
      <c r="K113">
        <v>0.72768060001544599</v>
      </c>
      <c r="L113" t="s">
        <v>51</v>
      </c>
      <c r="M113">
        <v>5</v>
      </c>
      <c r="N113">
        <v>10</v>
      </c>
      <c r="O113">
        <v>110</v>
      </c>
      <c r="P113">
        <v>10</v>
      </c>
      <c r="Q113">
        <v>155.704882900055</v>
      </c>
      <c r="V113">
        <v>155.694339700043</v>
      </c>
      <c r="W113">
        <v>155.704882900055</v>
      </c>
      <c r="X113">
        <v>156.20490190002599</v>
      </c>
      <c r="Y113">
        <v>156.20490190002599</v>
      </c>
      <c r="Z113">
        <v>156.20490190002599</v>
      </c>
      <c r="AA113">
        <v>156.94148670003</v>
      </c>
      <c r="AB113" t="s">
        <v>54</v>
      </c>
      <c r="AC113">
        <v>1</v>
      </c>
      <c r="AD113">
        <v>0.72768060001544599</v>
      </c>
      <c r="AE113" t="s">
        <v>51</v>
      </c>
      <c r="AJ113">
        <v>2</v>
      </c>
      <c r="AK113">
        <v>1</v>
      </c>
      <c r="AL113" t="s">
        <v>80</v>
      </c>
      <c r="AM113" t="s">
        <v>43</v>
      </c>
      <c r="AO113" t="s">
        <v>44</v>
      </c>
      <c r="AP113">
        <v>59.456390224006398</v>
      </c>
      <c r="AQ113" t="s">
        <v>81</v>
      </c>
    </row>
    <row r="114" spans="1:43" x14ac:dyDescent="0.3">
      <c r="A114" t="s">
        <v>78</v>
      </c>
      <c r="B114" t="s">
        <v>47</v>
      </c>
      <c r="C114" t="s">
        <v>56</v>
      </c>
      <c r="D114" t="s">
        <v>49</v>
      </c>
      <c r="E114" t="s">
        <v>57</v>
      </c>
      <c r="F114">
        <v>111</v>
      </c>
      <c r="G114">
        <v>11</v>
      </c>
      <c r="H114">
        <v>5</v>
      </c>
      <c r="I114" t="s">
        <v>57</v>
      </c>
      <c r="J114">
        <v>1</v>
      </c>
      <c r="K114">
        <v>0.76039930002298195</v>
      </c>
      <c r="L114" t="s">
        <v>51</v>
      </c>
      <c r="M114">
        <v>5</v>
      </c>
      <c r="N114">
        <v>11</v>
      </c>
      <c r="O114">
        <v>111</v>
      </c>
      <c r="P114">
        <v>17</v>
      </c>
      <c r="Q114">
        <v>156.95473330002201</v>
      </c>
      <c r="V114">
        <v>156.945009000017</v>
      </c>
      <c r="W114">
        <v>156.95473330002201</v>
      </c>
      <c r="X114">
        <v>157.45489400002401</v>
      </c>
      <c r="Y114">
        <v>157.45489400002401</v>
      </c>
      <c r="Z114">
        <v>157.45489400002401</v>
      </c>
      <c r="AA114">
        <v>158.225017700053</v>
      </c>
      <c r="AB114" t="s">
        <v>57</v>
      </c>
      <c r="AC114">
        <v>1</v>
      </c>
      <c r="AD114">
        <v>0.76039930002298195</v>
      </c>
      <c r="AE114" t="s">
        <v>51</v>
      </c>
      <c r="AJ114">
        <v>2</v>
      </c>
      <c r="AK114">
        <v>1</v>
      </c>
      <c r="AL114" t="s">
        <v>80</v>
      </c>
      <c r="AM114" t="s">
        <v>43</v>
      </c>
      <c r="AO114" t="s">
        <v>44</v>
      </c>
      <c r="AP114">
        <v>59.456390224006398</v>
      </c>
      <c r="AQ114" t="s">
        <v>81</v>
      </c>
    </row>
    <row r="115" spans="1:43" x14ac:dyDescent="0.3">
      <c r="A115" t="s">
        <v>58</v>
      </c>
      <c r="B115" t="s">
        <v>59</v>
      </c>
      <c r="C115" t="s">
        <v>48</v>
      </c>
      <c r="D115" t="s">
        <v>49</v>
      </c>
      <c r="E115" t="s">
        <v>50</v>
      </c>
      <c r="F115">
        <v>112</v>
      </c>
      <c r="G115">
        <v>12</v>
      </c>
      <c r="H115">
        <v>5</v>
      </c>
      <c r="I115" t="s">
        <v>50</v>
      </c>
      <c r="J115">
        <v>1</v>
      </c>
      <c r="K115">
        <v>0.75049600005149797</v>
      </c>
      <c r="L115" t="s">
        <v>51</v>
      </c>
      <c r="M115">
        <v>5</v>
      </c>
      <c r="N115">
        <v>12</v>
      </c>
      <c r="O115">
        <v>112</v>
      </c>
      <c r="P115">
        <v>7</v>
      </c>
      <c r="Q115">
        <v>158.238417000044</v>
      </c>
      <c r="V115">
        <v>158.22785140003501</v>
      </c>
      <c r="W115">
        <v>158.238417000044</v>
      </c>
      <c r="X115">
        <v>158.73814660002199</v>
      </c>
      <c r="Y115">
        <v>158.73814660002199</v>
      </c>
      <c r="Z115">
        <v>158.73814660002199</v>
      </c>
      <c r="AA115">
        <v>159.49285780003899</v>
      </c>
      <c r="AB115" t="s">
        <v>50</v>
      </c>
      <c r="AC115">
        <v>1</v>
      </c>
      <c r="AD115">
        <v>0.75049600005149797</v>
      </c>
      <c r="AE115" t="s">
        <v>51</v>
      </c>
      <c r="AJ115">
        <v>2</v>
      </c>
      <c r="AK115">
        <v>1</v>
      </c>
      <c r="AL115" t="s">
        <v>80</v>
      </c>
      <c r="AM115" t="s">
        <v>43</v>
      </c>
      <c r="AO115" t="s">
        <v>44</v>
      </c>
      <c r="AP115">
        <v>59.456390224006398</v>
      </c>
      <c r="AQ115" t="s">
        <v>81</v>
      </c>
    </row>
    <row r="116" spans="1:43" x14ac:dyDescent="0.3">
      <c r="A116" t="s">
        <v>46</v>
      </c>
      <c r="B116" t="s">
        <v>47</v>
      </c>
      <c r="C116" t="s">
        <v>48</v>
      </c>
      <c r="D116" t="s">
        <v>49</v>
      </c>
      <c r="E116" t="s">
        <v>50</v>
      </c>
      <c r="F116">
        <v>113</v>
      </c>
      <c r="G116">
        <v>13</v>
      </c>
      <c r="H116">
        <v>5</v>
      </c>
      <c r="I116" t="s">
        <v>50</v>
      </c>
      <c r="J116">
        <v>1</v>
      </c>
      <c r="K116">
        <v>0.64106980001088198</v>
      </c>
      <c r="L116" t="s">
        <v>51</v>
      </c>
      <c r="M116">
        <v>5</v>
      </c>
      <c r="N116">
        <v>13</v>
      </c>
      <c r="O116">
        <v>113</v>
      </c>
      <c r="P116">
        <v>19</v>
      </c>
      <c r="Q116">
        <v>159.5047472</v>
      </c>
      <c r="V116">
        <v>159.495972600008</v>
      </c>
      <c r="W116">
        <v>159.5047472</v>
      </c>
      <c r="X116">
        <v>160.004677500051</v>
      </c>
      <c r="Y116">
        <v>160.004677500051</v>
      </c>
      <c r="Z116">
        <v>160.004677500051</v>
      </c>
      <c r="AA116">
        <v>160.65867460000999</v>
      </c>
      <c r="AB116" t="s">
        <v>50</v>
      </c>
      <c r="AC116">
        <v>1</v>
      </c>
      <c r="AD116">
        <v>0.64106980001088198</v>
      </c>
      <c r="AE116" t="s">
        <v>51</v>
      </c>
      <c r="AJ116">
        <v>2</v>
      </c>
      <c r="AK116">
        <v>1</v>
      </c>
      <c r="AL116" t="s">
        <v>80</v>
      </c>
      <c r="AM116" t="s">
        <v>43</v>
      </c>
      <c r="AO116" t="s">
        <v>44</v>
      </c>
      <c r="AP116">
        <v>59.456390224006398</v>
      </c>
      <c r="AQ116" t="s">
        <v>81</v>
      </c>
    </row>
    <row r="117" spans="1:43" x14ac:dyDescent="0.3">
      <c r="A117" t="s">
        <v>68</v>
      </c>
      <c r="B117" t="s">
        <v>59</v>
      </c>
      <c r="C117" t="s">
        <v>53</v>
      </c>
      <c r="D117" t="s">
        <v>49</v>
      </c>
      <c r="E117" t="s">
        <v>54</v>
      </c>
      <c r="F117">
        <v>114</v>
      </c>
      <c r="G117">
        <v>14</v>
      </c>
      <c r="H117">
        <v>5</v>
      </c>
      <c r="I117" t="s">
        <v>54</v>
      </c>
      <c r="J117">
        <v>1</v>
      </c>
      <c r="K117">
        <v>0.78075699997134496</v>
      </c>
      <c r="L117" t="s">
        <v>51</v>
      </c>
      <c r="M117">
        <v>5</v>
      </c>
      <c r="N117">
        <v>14</v>
      </c>
      <c r="O117">
        <v>114</v>
      </c>
      <c r="P117">
        <v>6</v>
      </c>
      <c r="Q117">
        <v>160.67120120004901</v>
      </c>
      <c r="V117">
        <v>160.66231070004801</v>
      </c>
      <c r="W117">
        <v>160.67120120004901</v>
      </c>
      <c r="X117">
        <v>161.171216300048</v>
      </c>
      <c r="Y117">
        <v>161.171216300048</v>
      </c>
      <c r="Z117">
        <v>161.171216300048</v>
      </c>
      <c r="AA117">
        <v>161.95898960001</v>
      </c>
      <c r="AB117" t="s">
        <v>54</v>
      </c>
      <c r="AC117">
        <v>1</v>
      </c>
      <c r="AD117">
        <v>0.78075699997134496</v>
      </c>
      <c r="AE117" t="s">
        <v>51</v>
      </c>
      <c r="AJ117">
        <v>2</v>
      </c>
      <c r="AK117">
        <v>1</v>
      </c>
      <c r="AL117" t="s">
        <v>80</v>
      </c>
      <c r="AM117" t="s">
        <v>43</v>
      </c>
      <c r="AO117" t="s">
        <v>44</v>
      </c>
      <c r="AP117">
        <v>59.456390224006398</v>
      </c>
      <c r="AQ117" t="s">
        <v>81</v>
      </c>
    </row>
    <row r="118" spans="1:43" x14ac:dyDescent="0.3">
      <c r="A118" t="s">
        <v>55</v>
      </c>
      <c r="B118" t="s">
        <v>47</v>
      </c>
      <c r="C118" t="s">
        <v>56</v>
      </c>
      <c r="D118" t="s">
        <v>49</v>
      </c>
      <c r="E118" t="s">
        <v>57</v>
      </c>
      <c r="F118">
        <v>115</v>
      </c>
      <c r="G118">
        <v>15</v>
      </c>
      <c r="H118">
        <v>5</v>
      </c>
      <c r="I118" t="s">
        <v>57</v>
      </c>
      <c r="J118">
        <v>1</v>
      </c>
      <c r="K118">
        <v>0.61075839999830295</v>
      </c>
      <c r="L118" t="s">
        <v>51</v>
      </c>
      <c r="M118">
        <v>5</v>
      </c>
      <c r="N118">
        <v>15</v>
      </c>
      <c r="O118">
        <v>115</v>
      </c>
      <c r="P118">
        <v>13</v>
      </c>
      <c r="Q118">
        <v>161.971753400051</v>
      </c>
      <c r="V118">
        <v>161.96254070004201</v>
      </c>
      <c r="W118">
        <v>161.971753400051</v>
      </c>
      <c r="X118">
        <v>162.47133860003601</v>
      </c>
      <c r="Y118">
        <v>162.47133860003601</v>
      </c>
      <c r="Z118">
        <v>162.47133860003601</v>
      </c>
      <c r="AA118">
        <v>163.09117580001401</v>
      </c>
      <c r="AB118" t="s">
        <v>57</v>
      </c>
      <c r="AC118">
        <v>1</v>
      </c>
      <c r="AD118">
        <v>0.61075839999830295</v>
      </c>
      <c r="AE118" t="s">
        <v>51</v>
      </c>
      <c r="AJ118">
        <v>2</v>
      </c>
      <c r="AK118">
        <v>1</v>
      </c>
      <c r="AL118" t="s">
        <v>80</v>
      </c>
      <c r="AM118" t="s">
        <v>43</v>
      </c>
      <c r="AO118" t="s">
        <v>44</v>
      </c>
      <c r="AP118">
        <v>59.456390224006398</v>
      </c>
      <c r="AQ118" t="s">
        <v>81</v>
      </c>
    </row>
    <row r="119" spans="1:43" x14ac:dyDescent="0.3">
      <c r="A119" t="s">
        <v>72</v>
      </c>
      <c r="B119" t="s">
        <v>59</v>
      </c>
      <c r="C119" t="s">
        <v>61</v>
      </c>
      <c r="D119" t="s">
        <v>62</v>
      </c>
      <c r="E119" t="s">
        <v>63</v>
      </c>
      <c r="F119">
        <v>116</v>
      </c>
      <c r="G119">
        <v>16</v>
      </c>
      <c r="H119">
        <v>5</v>
      </c>
      <c r="I119" t="s">
        <v>63</v>
      </c>
      <c r="J119">
        <v>1</v>
      </c>
      <c r="K119">
        <v>0.66439470002660495</v>
      </c>
      <c r="L119" t="s">
        <v>51</v>
      </c>
      <c r="M119">
        <v>5</v>
      </c>
      <c r="N119">
        <v>16</v>
      </c>
      <c r="O119">
        <v>116</v>
      </c>
      <c r="P119">
        <v>8</v>
      </c>
      <c r="Q119">
        <v>163.10441780003001</v>
      </c>
      <c r="V119">
        <v>163.094386400014</v>
      </c>
      <c r="W119">
        <v>163.10441780003001</v>
      </c>
      <c r="X119">
        <v>163.60450960003001</v>
      </c>
      <c r="Y119">
        <v>163.60450960003001</v>
      </c>
      <c r="Z119">
        <v>163.60450960003001</v>
      </c>
      <c r="AA119">
        <v>164.27467390004301</v>
      </c>
      <c r="AB119" t="s">
        <v>63</v>
      </c>
      <c r="AC119">
        <v>1</v>
      </c>
      <c r="AD119">
        <v>0.66439470002660495</v>
      </c>
      <c r="AE119" t="s">
        <v>51</v>
      </c>
      <c r="AJ119">
        <v>2</v>
      </c>
      <c r="AK119">
        <v>1</v>
      </c>
      <c r="AL119" t="s">
        <v>80</v>
      </c>
      <c r="AM119" t="s">
        <v>43</v>
      </c>
      <c r="AO119" t="s">
        <v>44</v>
      </c>
      <c r="AP119">
        <v>59.456390224006398</v>
      </c>
      <c r="AQ119" t="s">
        <v>81</v>
      </c>
    </row>
    <row r="120" spans="1:43" x14ac:dyDescent="0.3">
      <c r="A120" t="s">
        <v>60</v>
      </c>
      <c r="B120" t="s">
        <v>59</v>
      </c>
      <c r="C120" t="s">
        <v>61</v>
      </c>
      <c r="D120" t="s">
        <v>62</v>
      </c>
      <c r="E120" t="s">
        <v>63</v>
      </c>
      <c r="F120">
        <v>117</v>
      </c>
      <c r="G120">
        <v>17</v>
      </c>
      <c r="H120">
        <v>5</v>
      </c>
      <c r="I120" t="s">
        <v>63</v>
      </c>
      <c r="J120">
        <v>1</v>
      </c>
      <c r="K120">
        <v>0.50935070001287297</v>
      </c>
      <c r="L120" t="s">
        <v>51</v>
      </c>
      <c r="M120">
        <v>5</v>
      </c>
      <c r="N120">
        <v>17</v>
      </c>
      <c r="O120">
        <v>117</v>
      </c>
      <c r="P120">
        <v>0</v>
      </c>
      <c r="Q120">
        <v>164.28775310004099</v>
      </c>
      <c r="V120">
        <v>164.27719780005199</v>
      </c>
      <c r="W120">
        <v>164.28775310004099</v>
      </c>
      <c r="X120">
        <v>164.78829510003499</v>
      </c>
      <c r="Y120">
        <v>164.78829510003499</v>
      </c>
      <c r="Z120">
        <v>164.78829510003499</v>
      </c>
      <c r="AA120">
        <v>165.30830020003401</v>
      </c>
      <c r="AB120" t="s">
        <v>63</v>
      </c>
      <c r="AC120">
        <v>1</v>
      </c>
      <c r="AD120">
        <v>0.50935070001287297</v>
      </c>
      <c r="AE120" t="s">
        <v>51</v>
      </c>
      <c r="AJ120">
        <v>2</v>
      </c>
      <c r="AK120">
        <v>1</v>
      </c>
      <c r="AL120" t="s">
        <v>80</v>
      </c>
      <c r="AM120" t="s">
        <v>43</v>
      </c>
      <c r="AO120" t="s">
        <v>44</v>
      </c>
      <c r="AP120">
        <v>59.456390224006398</v>
      </c>
      <c r="AQ120" t="s">
        <v>81</v>
      </c>
    </row>
    <row r="121" spans="1:43" x14ac:dyDescent="0.3">
      <c r="A121" t="s">
        <v>70</v>
      </c>
      <c r="B121" t="s">
        <v>59</v>
      </c>
      <c r="C121" t="s">
        <v>53</v>
      </c>
      <c r="D121" t="s">
        <v>49</v>
      </c>
      <c r="E121" t="s">
        <v>54</v>
      </c>
      <c r="F121">
        <v>118</v>
      </c>
      <c r="G121">
        <v>18</v>
      </c>
      <c r="H121">
        <v>5</v>
      </c>
      <c r="I121" t="s">
        <v>54</v>
      </c>
      <c r="J121">
        <v>1</v>
      </c>
      <c r="K121">
        <v>0.69650630000978697</v>
      </c>
      <c r="L121" t="s">
        <v>51</v>
      </c>
      <c r="M121">
        <v>5</v>
      </c>
      <c r="N121">
        <v>18</v>
      </c>
      <c r="O121">
        <v>118</v>
      </c>
      <c r="P121">
        <v>2</v>
      </c>
      <c r="Q121">
        <v>165.32170170004201</v>
      </c>
      <c r="V121">
        <v>165.31116450001699</v>
      </c>
      <c r="W121">
        <v>165.32170170004201</v>
      </c>
      <c r="X121">
        <v>165.822688600048</v>
      </c>
      <c r="Y121">
        <v>165.822688600048</v>
      </c>
      <c r="Z121">
        <v>165.822688600048</v>
      </c>
      <c r="AA121">
        <v>166.52584970003201</v>
      </c>
      <c r="AB121" t="s">
        <v>54</v>
      </c>
      <c r="AC121">
        <v>1</v>
      </c>
      <c r="AD121">
        <v>0.69650630000978697</v>
      </c>
      <c r="AE121" t="s">
        <v>51</v>
      </c>
      <c r="AJ121">
        <v>2</v>
      </c>
      <c r="AK121">
        <v>1</v>
      </c>
      <c r="AL121" t="s">
        <v>80</v>
      </c>
      <c r="AM121" t="s">
        <v>43</v>
      </c>
      <c r="AO121" t="s">
        <v>44</v>
      </c>
      <c r="AP121">
        <v>59.456390224006398</v>
      </c>
      <c r="AQ121" t="s">
        <v>81</v>
      </c>
    </row>
    <row r="122" spans="1:43" x14ac:dyDescent="0.3">
      <c r="A122" t="s">
        <v>66</v>
      </c>
      <c r="B122" t="s">
        <v>47</v>
      </c>
      <c r="C122" t="s">
        <v>61</v>
      </c>
      <c r="D122" t="s">
        <v>49</v>
      </c>
      <c r="E122" t="s">
        <v>63</v>
      </c>
      <c r="F122">
        <v>119</v>
      </c>
      <c r="G122">
        <v>19</v>
      </c>
      <c r="H122">
        <v>5</v>
      </c>
      <c r="I122" t="s">
        <v>63</v>
      </c>
      <c r="J122">
        <v>1</v>
      </c>
      <c r="K122">
        <v>0.76956739998422496</v>
      </c>
      <c r="L122" t="s">
        <v>51</v>
      </c>
      <c r="M122">
        <v>5</v>
      </c>
      <c r="N122">
        <v>19</v>
      </c>
      <c r="O122">
        <v>119</v>
      </c>
      <c r="P122">
        <v>12</v>
      </c>
      <c r="Q122">
        <v>166.537917400011</v>
      </c>
      <c r="V122">
        <v>166.52873950003399</v>
      </c>
      <c r="W122">
        <v>166.537917400011</v>
      </c>
      <c r="X122">
        <v>167.038161100004</v>
      </c>
      <c r="Y122">
        <v>167.038161100004</v>
      </c>
      <c r="Z122">
        <v>167.038161100004</v>
      </c>
      <c r="AA122">
        <v>167.808416200045</v>
      </c>
      <c r="AB122" t="s">
        <v>63</v>
      </c>
      <c r="AC122">
        <v>1</v>
      </c>
      <c r="AD122">
        <v>0.76956739998422496</v>
      </c>
      <c r="AE122" t="s">
        <v>51</v>
      </c>
      <c r="AJ122">
        <v>2</v>
      </c>
      <c r="AK122">
        <v>1</v>
      </c>
      <c r="AL122" t="s">
        <v>80</v>
      </c>
      <c r="AM122" t="s">
        <v>43</v>
      </c>
      <c r="AO122" t="s">
        <v>44</v>
      </c>
      <c r="AP122">
        <v>59.456390224006398</v>
      </c>
      <c r="AQ122" t="s">
        <v>81</v>
      </c>
    </row>
    <row r="123" spans="1:43" x14ac:dyDescent="0.3">
      <c r="A123" t="s">
        <v>75</v>
      </c>
      <c r="B123" t="s">
        <v>47</v>
      </c>
      <c r="C123" t="s">
        <v>61</v>
      </c>
      <c r="D123" t="s">
        <v>49</v>
      </c>
      <c r="E123" t="s">
        <v>63</v>
      </c>
      <c r="F123">
        <v>120</v>
      </c>
      <c r="G123">
        <v>0</v>
      </c>
      <c r="H123">
        <v>6</v>
      </c>
      <c r="I123" t="s">
        <v>63</v>
      </c>
      <c r="J123">
        <v>1</v>
      </c>
      <c r="K123">
        <v>0.46329659997718398</v>
      </c>
      <c r="L123" t="s">
        <v>51</v>
      </c>
      <c r="M123">
        <v>6</v>
      </c>
      <c r="N123">
        <v>0</v>
      </c>
      <c r="O123">
        <v>120</v>
      </c>
      <c r="P123">
        <v>16</v>
      </c>
      <c r="Q123">
        <v>167.82132940000099</v>
      </c>
      <c r="V123">
        <v>167.811090100032</v>
      </c>
      <c r="W123">
        <v>167.82132940000099</v>
      </c>
      <c r="X123">
        <v>168.32126290001901</v>
      </c>
      <c r="Y123">
        <v>168.32126290001901</v>
      </c>
      <c r="Z123">
        <v>168.32126290001901</v>
      </c>
      <c r="AA123">
        <v>168.79106300004</v>
      </c>
      <c r="AB123" t="s">
        <v>63</v>
      </c>
      <c r="AC123">
        <v>1</v>
      </c>
      <c r="AD123">
        <v>0.46329659997718398</v>
      </c>
      <c r="AE123" t="s">
        <v>51</v>
      </c>
      <c r="AJ123">
        <v>2</v>
      </c>
      <c r="AK123">
        <v>1</v>
      </c>
      <c r="AL123" t="s">
        <v>80</v>
      </c>
      <c r="AM123" t="s">
        <v>43</v>
      </c>
      <c r="AO123" t="s">
        <v>44</v>
      </c>
      <c r="AP123">
        <v>59.456390224006398</v>
      </c>
      <c r="AQ123" t="s">
        <v>81</v>
      </c>
    </row>
    <row r="124" spans="1:43" x14ac:dyDescent="0.3">
      <c r="A124" t="s">
        <v>68</v>
      </c>
      <c r="B124" t="s">
        <v>59</v>
      </c>
      <c r="C124" t="s">
        <v>53</v>
      </c>
      <c r="D124" t="s">
        <v>49</v>
      </c>
      <c r="E124" t="s">
        <v>54</v>
      </c>
      <c r="F124">
        <v>121</v>
      </c>
      <c r="G124">
        <v>1</v>
      </c>
      <c r="H124">
        <v>6</v>
      </c>
      <c r="I124" t="s">
        <v>50</v>
      </c>
      <c r="J124">
        <v>0</v>
      </c>
      <c r="K124">
        <v>0.60239409998757698</v>
      </c>
      <c r="L124" t="s">
        <v>51</v>
      </c>
      <c r="M124">
        <v>6</v>
      </c>
      <c r="N124">
        <v>1</v>
      </c>
      <c r="O124">
        <v>121</v>
      </c>
      <c r="P124">
        <v>6</v>
      </c>
      <c r="Q124">
        <v>168.80455740005701</v>
      </c>
      <c r="V124">
        <v>168.793713600025</v>
      </c>
      <c r="W124">
        <v>168.80455740005701</v>
      </c>
      <c r="X124">
        <v>169.30411910003701</v>
      </c>
      <c r="Y124">
        <v>169.30411910003701</v>
      </c>
      <c r="Z124">
        <v>169.30411910003701</v>
      </c>
      <c r="AA124">
        <v>169.90789170004399</v>
      </c>
      <c r="AB124" t="s">
        <v>50</v>
      </c>
      <c r="AC124">
        <v>0</v>
      </c>
      <c r="AD124">
        <v>0.60239409998757698</v>
      </c>
      <c r="AE124" t="s">
        <v>51</v>
      </c>
      <c r="AJ124">
        <v>2</v>
      </c>
      <c r="AK124">
        <v>1</v>
      </c>
      <c r="AL124" t="s">
        <v>80</v>
      </c>
      <c r="AM124" t="s">
        <v>43</v>
      </c>
      <c r="AO124" t="s">
        <v>44</v>
      </c>
      <c r="AP124">
        <v>59.456390224006398</v>
      </c>
      <c r="AQ124" t="s">
        <v>81</v>
      </c>
    </row>
    <row r="125" spans="1:43" x14ac:dyDescent="0.3">
      <c r="A125" t="s">
        <v>70</v>
      </c>
      <c r="B125" t="s">
        <v>59</v>
      </c>
      <c r="C125" t="s">
        <v>53</v>
      </c>
      <c r="D125" t="s">
        <v>49</v>
      </c>
      <c r="E125" t="s">
        <v>54</v>
      </c>
      <c r="F125">
        <v>122</v>
      </c>
      <c r="G125">
        <v>2</v>
      </c>
      <c r="H125">
        <v>6</v>
      </c>
      <c r="I125" t="s">
        <v>50</v>
      </c>
      <c r="J125">
        <v>0</v>
      </c>
      <c r="K125">
        <v>0.50514439999824301</v>
      </c>
      <c r="L125" t="s">
        <v>51</v>
      </c>
      <c r="M125">
        <v>6</v>
      </c>
      <c r="N125">
        <v>2</v>
      </c>
      <c r="O125">
        <v>122</v>
      </c>
      <c r="P125">
        <v>2</v>
      </c>
      <c r="Q125">
        <v>169.92130860005199</v>
      </c>
      <c r="V125">
        <v>169.91049269999999</v>
      </c>
      <c r="W125">
        <v>169.92130860005199</v>
      </c>
      <c r="X125">
        <v>170.42089440004199</v>
      </c>
      <c r="Y125">
        <v>170.42089440004199</v>
      </c>
      <c r="Z125">
        <v>170.42089440004199</v>
      </c>
      <c r="AA125">
        <v>170.94243829999999</v>
      </c>
      <c r="AB125" t="s">
        <v>50</v>
      </c>
      <c r="AC125">
        <v>0</v>
      </c>
      <c r="AD125">
        <v>0.50514439999824301</v>
      </c>
      <c r="AE125" t="s">
        <v>51</v>
      </c>
      <c r="AJ125">
        <v>2</v>
      </c>
      <c r="AK125">
        <v>1</v>
      </c>
      <c r="AL125" t="s">
        <v>80</v>
      </c>
      <c r="AM125" t="s">
        <v>43</v>
      </c>
      <c r="AO125" t="s">
        <v>44</v>
      </c>
      <c r="AP125">
        <v>59.456390224006398</v>
      </c>
      <c r="AQ125" t="s">
        <v>81</v>
      </c>
    </row>
    <row r="126" spans="1:43" x14ac:dyDescent="0.3">
      <c r="A126" t="s">
        <v>58</v>
      </c>
      <c r="B126" t="s">
        <v>59</v>
      </c>
      <c r="C126" t="s">
        <v>48</v>
      </c>
      <c r="D126" t="s">
        <v>49</v>
      </c>
      <c r="E126" t="s">
        <v>50</v>
      </c>
      <c r="F126">
        <v>123</v>
      </c>
      <c r="G126">
        <v>3</v>
      </c>
      <c r="H126">
        <v>6</v>
      </c>
      <c r="I126" t="s">
        <v>50</v>
      </c>
      <c r="J126">
        <v>1</v>
      </c>
      <c r="K126">
        <v>1.0788416999857799</v>
      </c>
      <c r="L126" t="s">
        <v>51</v>
      </c>
      <c r="M126">
        <v>6</v>
      </c>
      <c r="N126">
        <v>3</v>
      </c>
      <c r="O126">
        <v>123</v>
      </c>
      <c r="P126">
        <v>7</v>
      </c>
      <c r="Q126">
        <v>170.95418900000999</v>
      </c>
      <c r="V126">
        <v>170.946355400024</v>
      </c>
      <c r="W126">
        <v>170.95418900000999</v>
      </c>
      <c r="X126">
        <v>171.45473890000699</v>
      </c>
      <c r="Y126">
        <v>171.45473890000699</v>
      </c>
      <c r="Z126">
        <v>171.45473890000699</v>
      </c>
      <c r="AA126">
        <v>172.54106640000799</v>
      </c>
      <c r="AB126" t="s">
        <v>50</v>
      </c>
      <c r="AC126">
        <v>1</v>
      </c>
      <c r="AD126">
        <v>1.0788416999857799</v>
      </c>
      <c r="AE126" t="s">
        <v>51</v>
      </c>
      <c r="AJ126">
        <v>2</v>
      </c>
      <c r="AK126">
        <v>1</v>
      </c>
      <c r="AL126" t="s">
        <v>80</v>
      </c>
      <c r="AM126" t="s">
        <v>43</v>
      </c>
      <c r="AO126" t="s">
        <v>44</v>
      </c>
      <c r="AP126">
        <v>59.456390224006398</v>
      </c>
      <c r="AQ126" t="s">
        <v>81</v>
      </c>
    </row>
    <row r="127" spans="1:43" x14ac:dyDescent="0.3">
      <c r="A127" t="s">
        <v>77</v>
      </c>
      <c r="B127" t="s">
        <v>59</v>
      </c>
      <c r="C127" t="s">
        <v>61</v>
      </c>
      <c r="D127" t="s">
        <v>62</v>
      </c>
      <c r="E127" t="s">
        <v>63</v>
      </c>
      <c r="F127">
        <v>124</v>
      </c>
      <c r="G127">
        <v>4</v>
      </c>
      <c r="H127">
        <v>6</v>
      </c>
      <c r="I127" t="s">
        <v>63</v>
      </c>
      <c r="J127">
        <v>1</v>
      </c>
      <c r="K127">
        <v>0.68130360002396595</v>
      </c>
      <c r="L127" t="s">
        <v>51</v>
      </c>
      <c r="M127">
        <v>6</v>
      </c>
      <c r="N127">
        <v>4</v>
      </c>
      <c r="O127">
        <v>124</v>
      </c>
      <c r="P127">
        <v>4</v>
      </c>
      <c r="Q127">
        <v>172.553980000026</v>
      </c>
      <c r="V127">
        <v>172.543705100019</v>
      </c>
      <c r="W127">
        <v>172.553980000026</v>
      </c>
      <c r="X127">
        <v>173.05412560002799</v>
      </c>
      <c r="Y127">
        <v>173.05412560002799</v>
      </c>
      <c r="Z127">
        <v>173.05412560002799</v>
      </c>
      <c r="AA127">
        <v>173.74084290000599</v>
      </c>
      <c r="AB127" t="s">
        <v>63</v>
      </c>
      <c r="AC127">
        <v>1</v>
      </c>
      <c r="AD127">
        <v>0.68130360002396595</v>
      </c>
      <c r="AE127" t="s">
        <v>51</v>
      </c>
      <c r="AJ127">
        <v>2</v>
      </c>
      <c r="AK127">
        <v>1</v>
      </c>
      <c r="AL127" t="s">
        <v>80</v>
      </c>
      <c r="AM127" t="s">
        <v>43</v>
      </c>
      <c r="AO127" t="s">
        <v>44</v>
      </c>
      <c r="AP127">
        <v>59.456390224006398</v>
      </c>
      <c r="AQ127" t="s">
        <v>81</v>
      </c>
    </row>
    <row r="128" spans="1:43" x14ac:dyDescent="0.3">
      <c r="A128" t="s">
        <v>60</v>
      </c>
      <c r="B128" t="s">
        <v>59</v>
      </c>
      <c r="C128" t="s">
        <v>61</v>
      </c>
      <c r="D128" t="s">
        <v>62</v>
      </c>
      <c r="E128" t="s">
        <v>63</v>
      </c>
      <c r="F128">
        <v>125</v>
      </c>
      <c r="G128">
        <v>5</v>
      </c>
      <c r="H128">
        <v>6</v>
      </c>
      <c r="I128" t="s">
        <v>63</v>
      </c>
      <c r="J128">
        <v>1</v>
      </c>
      <c r="K128">
        <v>0.82972819998394698</v>
      </c>
      <c r="L128" t="s">
        <v>51</v>
      </c>
      <c r="M128">
        <v>6</v>
      </c>
      <c r="N128">
        <v>5</v>
      </c>
      <c r="O128">
        <v>125</v>
      </c>
      <c r="P128">
        <v>0</v>
      </c>
      <c r="Q128">
        <v>173.754229600017</v>
      </c>
      <c r="V128">
        <v>173.74324440001499</v>
      </c>
      <c r="W128">
        <v>173.754229600017</v>
      </c>
      <c r="X128">
        <v>174.254403600003</v>
      </c>
      <c r="Y128">
        <v>174.254403600003</v>
      </c>
      <c r="Z128">
        <v>174.254403600003</v>
      </c>
      <c r="AA128">
        <v>175.091267500014</v>
      </c>
      <c r="AB128" t="s">
        <v>63</v>
      </c>
      <c r="AC128">
        <v>1</v>
      </c>
      <c r="AD128">
        <v>0.82972819998394698</v>
      </c>
      <c r="AE128" t="s">
        <v>51</v>
      </c>
      <c r="AJ128">
        <v>2</v>
      </c>
      <c r="AK128">
        <v>1</v>
      </c>
      <c r="AL128" t="s">
        <v>80</v>
      </c>
      <c r="AM128" t="s">
        <v>43</v>
      </c>
      <c r="AO128" t="s">
        <v>44</v>
      </c>
      <c r="AP128">
        <v>59.456390224006398</v>
      </c>
      <c r="AQ128" t="s">
        <v>81</v>
      </c>
    </row>
    <row r="129" spans="1:43" x14ac:dyDescent="0.3">
      <c r="A129" t="s">
        <v>46</v>
      </c>
      <c r="B129" t="s">
        <v>47</v>
      </c>
      <c r="C129" t="s">
        <v>48</v>
      </c>
      <c r="D129" t="s">
        <v>49</v>
      </c>
      <c r="E129" t="s">
        <v>50</v>
      </c>
      <c r="F129">
        <v>126</v>
      </c>
      <c r="G129">
        <v>6</v>
      </c>
      <c r="H129">
        <v>6</v>
      </c>
      <c r="I129" t="s">
        <v>50</v>
      </c>
      <c r="J129">
        <v>1</v>
      </c>
      <c r="K129">
        <v>0.54726089996984195</v>
      </c>
      <c r="L129" t="s">
        <v>51</v>
      </c>
      <c r="M129">
        <v>6</v>
      </c>
      <c r="N129">
        <v>6</v>
      </c>
      <c r="O129">
        <v>126</v>
      </c>
      <c r="P129">
        <v>19</v>
      </c>
      <c r="Q129">
        <v>175.10402670002</v>
      </c>
      <c r="V129">
        <v>175.09391310001899</v>
      </c>
      <c r="W129">
        <v>175.10402670002</v>
      </c>
      <c r="X129">
        <v>175.603946800052</v>
      </c>
      <c r="Y129">
        <v>175.603946800052</v>
      </c>
      <c r="Z129">
        <v>175.603946800052</v>
      </c>
      <c r="AA129">
        <v>176.15877580002399</v>
      </c>
      <c r="AB129" t="s">
        <v>50</v>
      </c>
      <c r="AC129">
        <v>1</v>
      </c>
      <c r="AD129">
        <v>0.54726089996984195</v>
      </c>
      <c r="AE129" t="s">
        <v>51</v>
      </c>
      <c r="AJ129">
        <v>2</v>
      </c>
      <c r="AK129">
        <v>1</v>
      </c>
      <c r="AL129" t="s">
        <v>80</v>
      </c>
      <c r="AM129" t="s">
        <v>43</v>
      </c>
      <c r="AO129" t="s">
        <v>44</v>
      </c>
      <c r="AP129">
        <v>59.456390224006398</v>
      </c>
      <c r="AQ129" t="s">
        <v>81</v>
      </c>
    </row>
    <row r="130" spans="1:43" x14ac:dyDescent="0.3">
      <c r="A130" t="s">
        <v>64</v>
      </c>
      <c r="B130" t="s">
        <v>47</v>
      </c>
      <c r="C130" t="s">
        <v>53</v>
      </c>
      <c r="D130" t="s">
        <v>49</v>
      </c>
      <c r="E130" t="s">
        <v>54</v>
      </c>
      <c r="F130">
        <v>127</v>
      </c>
      <c r="G130">
        <v>7</v>
      </c>
      <c r="H130">
        <v>6</v>
      </c>
      <c r="I130" t="s">
        <v>54</v>
      </c>
      <c r="J130">
        <v>1</v>
      </c>
      <c r="K130">
        <v>0.49251139996340498</v>
      </c>
      <c r="L130" t="s">
        <v>51</v>
      </c>
      <c r="M130">
        <v>6</v>
      </c>
      <c r="N130">
        <v>7</v>
      </c>
      <c r="O130">
        <v>127</v>
      </c>
      <c r="P130">
        <v>18</v>
      </c>
      <c r="Q130">
        <v>176.17045510001401</v>
      </c>
      <c r="V130">
        <v>176.16177150001701</v>
      </c>
      <c r="W130">
        <v>176.17045510001401</v>
      </c>
      <c r="X130">
        <v>176.67062690004201</v>
      </c>
      <c r="Y130">
        <v>176.67062690004201</v>
      </c>
      <c r="Z130">
        <v>176.67062690004201</v>
      </c>
      <c r="AA130">
        <v>177.17429750005201</v>
      </c>
      <c r="AB130" t="s">
        <v>54</v>
      </c>
      <c r="AC130">
        <v>1</v>
      </c>
      <c r="AD130">
        <v>0.49251139996340498</v>
      </c>
      <c r="AE130" t="s">
        <v>51</v>
      </c>
      <c r="AJ130">
        <v>2</v>
      </c>
      <c r="AK130">
        <v>1</v>
      </c>
      <c r="AL130" t="s">
        <v>80</v>
      </c>
      <c r="AM130" t="s">
        <v>43</v>
      </c>
      <c r="AO130" t="s">
        <v>44</v>
      </c>
      <c r="AP130">
        <v>59.456390224006398</v>
      </c>
      <c r="AQ130" t="s">
        <v>81</v>
      </c>
    </row>
    <row r="131" spans="1:43" x14ac:dyDescent="0.3">
      <c r="A131" t="s">
        <v>73</v>
      </c>
      <c r="B131" t="s">
        <v>59</v>
      </c>
      <c r="C131" t="s">
        <v>56</v>
      </c>
      <c r="D131" t="s">
        <v>49</v>
      </c>
      <c r="E131" t="s">
        <v>57</v>
      </c>
      <c r="F131">
        <v>128</v>
      </c>
      <c r="G131">
        <v>8</v>
      </c>
      <c r="H131">
        <v>6</v>
      </c>
      <c r="I131" t="s">
        <v>57</v>
      </c>
      <c r="J131">
        <v>1</v>
      </c>
      <c r="K131">
        <v>0.54339750000508502</v>
      </c>
      <c r="L131" t="s">
        <v>51</v>
      </c>
      <c r="M131">
        <v>6</v>
      </c>
      <c r="N131">
        <v>8</v>
      </c>
      <c r="O131">
        <v>128</v>
      </c>
      <c r="P131">
        <v>1</v>
      </c>
      <c r="Q131">
        <v>177.187221700034</v>
      </c>
      <c r="V131">
        <v>177.176731600018</v>
      </c>
      <c r="W131">
        <v>177.187221700034</v>
      </c>
      <c r="X131">
        <v>177.687007700034</v>
      </c>
      <c r="Y131">
        <v>177.687007700034</v>
      </c>
      <c r="Z131">
        <v>177.687007700034</v>
      </c>
      <c r="AA131">
        <v>178.240613800007</v>
      </c>
      <c r="AB131" t="s">
        <v>57</v>
      </c>
      <c r="AC131">
        <v>1</v>
      </c>
      <c r="AD131">
        <v>0.54339750000508502</v>
      </c>
      <c r="AE131" t="s">
        <v>51</v>
      </c>
      <c r="AJ131">
        <v>2</v>
      </c>
      <c r="AK131">
        <v>1</v>
      </c>
      <c r="AL131" t="s">
        <v>80</v>
      </c>
      <c r="AM131" t="s">
        <v>43</v>
      </c>
      <c r="AO131" t="s">
        <v>44</v>
      </c>
      <c r="AP131">
        <v>59.456390224006398</v>
      </c>
      <c r="AQ131" t="s">
        <v>81</v>
      </c>
    </row>
    <row r="132" spans="1:43" x14ac:dyDescent="0.3">
      <c r="A132" t="s">
        <v>72</v>
      </c>
      <c r="B132" t="s">
        <v>59</v>
      </c>
      <c r="C132" t="s">
        <v>61</v>
      </c>
      <c r="D132" t="s">
        <v>62</v>
      </c>
      <c r="E132" t="s">
        <v>63</v>
      </c>
      <c r="F132">
        <v>129</v>
      </c>
      <c r="G132">
        <v>9</v>
      </c>
      <c r="H132">
        <v>6</v>
      </c>
      <c r="I132" t="s">
        <v>63</v>
      </c>
      <c r="J132">
        <v>1</v>
      </c>
      <c r="K132">
        <v>0.67262590001337197</v>
      </c>
      <c r="L132" t="s">
        <v>51</v>
      </c>
      <c r="M132">
        <v>6</v>
      </c>
      <c r="N132">
        <v>9</v>
      </c>
      <c r="O132">
        <v>129</v>
      </c>
      <c r="P132">
        <v>8</v>
      </c>
      <c r="Q132">
        <v>178.254276900028</v>
      </c>
      <c r="V132">
        <v>178.243689600029</v>
      </c>
      <c r="W132">
        <v>178.254276900028</v>
      </c>
      <c r="X132">
        <v>178.75358160003</v>
      </c>
      <c r="Y132">
        <v>178.75358160003</v>
      </c>
      <c r="Z132">
        <v>178.75358160003</v>
      </c>
      <c r="AA132">
        <v>179.442752600007</v>
      </c>
      <c r="AB132" t="s">
        <v>63</v>
      </c>
      <c r="AC132">
        <v>1</v>
      </c>
      <c r="AD132">
        <v>0.67262590001337197</v>
      </c>
      <c r="AE132" t="s">
        <v>51</v>
      </c>
      <c r="AJ132">
        <v>2</v>
      </c>
      <c r="AK132">
        <v>1</v>
      </c>
      <c r="AL132" t="s">
        <v>80</v>
      </c>
      <c r="AM132" t="s">
        <v>43</v>
      </c>
      <c r="AO132" t="s">
        <v>44</v>
      </c>
      <c r="AP132">
        <v>59.456390224006398</v>
      </c>
      <c r="AQ132" t="s">
        <v>81</v>
      </c>
    </row>
    <row r="133" spans="1:43" x14ac:dyDescent="0.3">
      <c r="A133" t="s">
        <v>76</v>
      </c>
      <c r="B133" t="s">
        <v>59</v>
      </c>
      <c r="C133" t="s">
        <v>48</v>
      </c>
      <c r="D133" t="s">
        <v>49</v>
      </c>
      <c r="E133" t="s">
        <v>50</v>
      </c>
      <c r="F133">
        <v>130</v>
      </c>
      <c r="G133">
        <v>10</v>
      </c>
      <c r="H133">
        <v>6</v>
      </c>
      <c r="I133" t="s">
        <v>50</v>
      </c>
      <c r="J133">
        <v>1</v>
      </c>
      <c r="K133">
        <v>0.86609859997406602</v>
      </c>
      <c r="L133" t="s">
        <v>51</v>
      </c>
      <c r="M133">
        <v>6</v>
      </c>
      <c r="N133">
        <v>10</v>
      </c>
      <c r="O133">
        <v>130</v>
      </c>
      <c r="P133">
        <v>3</v>
      </c>
      <c r="Q133">
        <v>179.45405930001201</v>
      </c>
      <c r="V133">
        <v>179.44588280003501</v>
      </c>
      <c r="W133">
        <v>179.45405930001201</v>
      </c>
      <c r="X133">
        <v>179.95383660000499</v>
      </c>
      <c r="Y133">
        <v>179.95383660000499</v>
      </c>
      <c r="Z133">
        <v>179.95383660000499</v>
      </c>
      <c r="AA133">
        <v>180.82419670000601</v>
      </c>
      <c r="AB133" t="s">
        <v>50</v>
      </c>
      <c r="AC133">
        <v>1</v>
      </c>
      <c r="AD133">
        <v>0.86609859997406602</v>
      </c>
      <c r="AE133" t="s">
        <v>51</v>
      </c>
      <c r="AJ133">
        <v>2</v>
      </c>
      <c r="AK133">
        <v>1</v>
      </c>
      <c r="AL133" t="s">
        <v>80</v>
      </c>
      <c r="AM133" t="s">
        <v>43</v>
      </c>
      <c r="AO133" t="s">
        <v>44</v>
      </c>
      <c r="AP133">
        <v>59.456390224006398</v>
      </c>
      <c r="AQ133" t="s">
        <v>81</v>
      </c>
    </row>
    <row r="134" spans="1:43" x14ac:dyDescent="0.3">
      <c r="A134" t="s">
        <v>74</v>
      </c>
      <c r="B134" t="s">
        <v>47</v>
      </c>
      <c r="C134" t="s">
        <v>48</v>
      </c>
      <c r="D134" t="s">
        <v>49</v>
      </c>
      <c r="E134" t="s">
        <v>50</v>
      </c>
      <c r="F134">
        <v>131</v>
      </c>
      <c r="G134">
        <v>11</v>
      </c>
      <c r="H134">
        <v>6</v>
      </c>
      <c r="I134" t="s">
        <v>50</v>
      </c>
      <c r="J134">
        <v>1</v>
      </c>
      <c r="K134">
        <v>0.50555480003822595</v>
      </c>
      <c r="L134" t="s">
        <v>51</v>
      </c>
      <c r="M134">
        <v>6</v>
      </c>
      <c r="N134">
        <v>11</v>
      </c>
      <c r="O134">
        <v>131</v>
      </c>
      <c r="P134">
        <v>11</v>
      </c>
      <c r="Q134">
        <v>180.83706000004801</v>
      </c>
      <c r="V134">
        <v>180.827089300029</v>
      </c>
      <c r="W134">
        <v>180.83706000004801</v>
      </c>
      <c r="X134">
        <v>181.33715550001901</v>
      </c>
      <c r="Y134">
        <v>181.33715550001901</v>
      </c>
      <c r="Z134">
        <v>181.33715550001901</v>
      </c>
      <c r="AA134">
        <v>181.85789330000901</v>
      </c>
      <c r="AB134" t="s">
        <v>50</v>
      </c>
      <c r="AC134">
        <v>1</v>
      </c>
      <c r="AD134">
        <v>0.50555480003822595</v>
      </c>
      <c r="AE134" t="s">
        <v>51</v>
      </c>
      <c r="AJ134">
        <v>2</v>
      </c>
      <c r="AK134">
        <v>1</v>
      </c>
      <c r="AL134" t="s">
        <v>80</v>
      </c>
      <c r="AM134" t="s">
        <v>43</v>
      </c>
      <c r="AO134" t="s">
        <v>44</v>
      </c>
      <c r="AP134">
        <v>59.456390224006398</v>
      </c>
      <c r="AQ134" t="s">
        <v>81</v>
      </c>
    </row>
    <row r="135" spans="1:43" x14ac:dyDescent="0.3">
      <c r="A135" t="s">
        <v>65</v>
      </c>
      <c r="B135" t="s">
        <v>59</v>
      </c>
      <c r="C135" t="s">
        <v>56</v>
      </c>
      <c r="D135" t="s">
        <v>49</v>
      </c>
      <c r="E135" t="s">
        <v>57</v>
      </c>
      <c r="F135">
        <v>132</v>
      </c>
      <c r="G135">
        <v>12</v>
      </c>
      <c r="H135">
        <v>6</v>
      </c>
      <c r="I135" t="s">
        <v>57</v>
      </c>
      <c r="J135">
        <v>1</v>
      </c>
      <c r="K135">
        <v>0.58312680001836203</v>
      </c>
      <c r="L135" t="s">
        <v>51</v>
      </c>
      <c r="M135">
        <v>6</v>
      </c>
      <c r="N135">
        <v>12</v>
      </c>
      <c r="O135">
        <v>132</v>
      </c>
      <c r="P135">
        <v>9</v>
      </c>
      <c r="Q135">
        <v>181.87041350000001</v>
      </c>
      <c r="V135">
        <v>181.860652900009</v>
      </c>
      <c r="W135">
        <v>181.87041350000001</v>
      </c>
      <c r="X135">
        <v>182.370549200044</v>
      </c>
      <c r="Y135">
        <v>182.370549200044</v>
      </c>
      <c r="Z135">
        <v>182.370549200044</v>
      </c>
      <c r="AA135">
        <v>182.957246900012</v>
      </c>
      <c r="AB135" t="s">
        <v>57</v>
      </c>
      <c r="AC135">
        <v>1</v>
      </c>
      <c r="AD135">
        <v>0.58312680001836203</v>
      </c>
      <c r="AE135" t="s">
        <v>51</v>
      </c>
      <c r="AJ135">
        <v>2</v>
      </c>
      <c r="AK135">
        <v>1</v>
      </c>
      <c r="AL135" t="s">
        <v>80</v>
      </c>
      <c r="AM135" t="s">
        <v>43</v>
      </c>
      <c r="AO135" t="s">
        <v>44</v>
      </c>
      <c r="AP135">
        <v>59.456390224006398</v>
      </c>
      <c r="AQ135" t="s">
        <v>81</v>
      </c>
    </row>
    <row r="136" spans="1:43" x14ac:dyDescent="0.3">
      <c r="A136" t="s">
        <v>69</v>
      </c>
      <c r="B136" t="s">
        <v>59</v>
      </c>
      <c r="C136" t="s">
        <v>56</v>
      </c>
      <c r="D136" t="s">
        <v>49</v>
      </c>
      <c r="E136" t="s">
        <v>57</v>
      </c>
      <c r="F136">
        <v>133</v>
      </c>
      <c r="G136">
        <v>13</v>
      </c>
      <c r="H136">
        <v>6</v>
      </c>
      <c r="I136" t="s">
        <v>57</v>
      </c>
      <c r="J136">
        <v>1</v>
      </c>
      <c r="K136">
        <v>0.55244759999914095</v>
      </c>
      <c r="L136" t="s">
        <v>51</v>
      </c>
      <c r="M136">
        <v>6</v>
      </c>
      <c r="N136">
        <v>13</v>
      </c>
      <c r="O136">
        <v>133</v>
      </c>
      <c r="P136">
        <v>5</v>
      </c>
      <c r="Q136">
        <v>182.97031830000901</v>
      </c>
      <c r="V136">
        <v>182.96001880004701</v>
      </c>
      <c r="W136">
        <v>182.97031830000901</v>
      </c>
      <c r="X136">
        <v>183.47012540005301</v>
      </c>
      <c r="Y136">
        <v>183.47012540005301</v>
      </c>
      <c r="Z136">
        <v>183.47012540005301</v>
      </c>
      <c r="AA136">
        <v>184.024327600025</v>
      </c>
      <c r="AB136" t="s">
        <v>57</v>
      </c>
      <c r="AC136">
        <v>1</v>
      </c>
      <c r="AD136">
        <v>0.55244759999914095</v>
      </c>
      <c r="AE136" t="s">
        <v>51</v>
      </c>
      <c r="AJ136">
        <v>2</v>
      </c>
      <c r="AK136">
        <v>1</v>
      </c>
      <c r="AL136" t="s">
        <v>80</v>
      </c>
      <c r="AM136" t="s">
        <v>43</v>
      </c>
      <c r="AO136" t="s">
        <v>44</v>
      </c>
      <c r="AP136">
        <v>59.456390224006398</v>
      </c>
      <c r="AQ136" t="s">
        <v>81</v>
      </c>
    </row>
    <row r="137" spans="1:43" x14ac:dyDescent="0.3">
      <c r="A137" t="s">
        <v>67</v>
      </c>
      <c r="B137" t="s">
        <v>47</v>
      </c>
      <c r="C137" t="s">
        <v>53</v>
      </c>
      <c r="D137" t="s">
        <v>49</v>
      </c>
      <c r="E137" t="s">
        <v>54</v>
      </c>
      <c r="F137">
        <v>134</v>
      </c>
      <c r="G137">
        <v>14</v>
      </c>
      <c r="H137">
        <v>6</v>
      </c>
      <c r="I137" t="s">
        <v>54</v>
      </c>
      <c r="J137">
        <v>1</v>
      </c>
      <c r="K137">
        <v>0.454715200001373</v>
      </c>
      <c r="L137" t="s">
        <v>51</v>
      </c>
      <c r="M137">
        <v>6</v>
      </c>
      <c r="N137">
        <v>14</v>
      </c>
      <c r="O137">
        <v>134</v>
      </c>
      <c r="P137">
        <v>10</v>
      </c>
      <c r="Q137">
        <v>184.037433000048</v>
      </c>
      <c r="V137">
        <v>184.027223500015</v>
      </c>
      <c r="W137">
        <v>184.037433000048</v>
      </c>
      <c r="X137">
        <v>184.53686220000901</v>
      </c>
      <c r="Y137">
        <v>184.53686220000901</v>
      </c>
      <c r="Z137">
        <v>184.53686220000901</v>
      </c>
      <c r="AA137">
        <v>185.008075600024</v>
      </c>
      <c r="AB137" t="s">
        <v>54</v>
      </c>
      <c r="AC137">
        <v>1</v>
      </c>
      <c r="AD137">
        <v>0.454715200001373</v>
      </c>
      <c r="AE137" t="s">
        <v>51</v>
      </c>
      <c r="AJ137">
        <v>2</v>
      </c>
      <c r="AK137">
        <v>1</v>
      </c>
      <c r="AL137" t="s">
        <v>80</v>
      </c>
      <c r="AM137" t="s">
        <v>43</v>
      </c>
      <c r="AO137" t="s">
        <v>44</v>
      </c>
      <c r="AP137">
        <v>59.456390224006398</v>
      </c>
      <c r="AQ137" t="s">
        <v>81</v>
      </c>
    </row>
    <row r="138" spans="1:43" x14ac:dyDescent="0.3">
      <c r="A138" t="s">
        <v>55</v>
      </c>
      <c r="B138" t="s">
        <v>47</v>
      </c>
      <c r="C138" t="s">
        <v>56</v>
      </c>
      <c r="D138" t="s">
        <v>49</v>
      </c>
      <c r="E138" t="s">
        <v>57</v>
      </c>
      <c r="F138">
        <v>135</v>
      </c>
      <c r="G138">
        <v>15</v>
      </c>
      <c r="H138">
        <v>6</v>
      </c>
      <c r="I138" t="s">
        <v>57</v>
      </c>
      <c r="J138">
        <v>1</v>
      </c>
      <c r="K138">
        <v>0.52072259999113102</v>
      </c>
      <c r="L138" t="s">
        <v>51</v>
      </c>
      <c r="M138">
        <v>6</v>
      </c>
      <c r="N138">
        <v>15</v>
      </c>
      <c r="O138">
        <v>135</v>
      </c>
      <c r="P138">
        <v>13</v>
      </c>
      <c r="Q138">
        <v>185.02036750002199</v>
      </c>
      <c r="V138">
        <v>185.01209930004501</v>
      </c>
      <c r="W138">
        <v>185.02036750002199</v>
      </c>
      <c r="X138">
        <v>185.52085310005299</v>
      </c>
      <c r="Y138">
        <v>185.52085310005299</v>
      </c>
      <c r="Z138">
        <v>185.52085310005299</v>
      </c>
      <c r="AA138">
        <v>186.057818400033</v>
      </c>
      <c r="AB138" t="s">
        <v>57</v>
      </c>
      <c r="AC138">
        <v>1</v>
      </c>
      <c r="AD138">
        <v>0.52072259999113102</v>
      </c>
      <c r="AE138" t="s">
        <v>51</v>
      </c>
      <c r="AJ138">
        <v>2</v>
      </c>
      <c r="AK138">
        <v>1</v>
      </c>
      <c r="AL138" t="s">
        <v>80</v>
      </c>
      <c r="AM138" t="s">
        <v>43</v>
      </c>
      <c r="AO138" t="s">
        <v>44</v>
      </c>
      <c r="AP138">
        <v>59.456390224006398</v>
      </c>
      <c r="AQ138" t="s">
        <v>81</v>
      </c>
    </row>
    <row r="139" spans="1:43" x14ac:dyDescent="0.3">
      <c r="A139" t="s">
        <v>78</v>
      </c>
      <c r="B139" t="s">
        <v>47</v>
      </c>
      <c r="C139" t="s">
        <v>56</v>
      </c>
      <c r="D139" t="s">
        <v>49</v>
      </c>
      <c r="E139" t="s">
        <v>57</v>
      </c>
      <c r="F139">
        <v>136</v>
      </c>
      <c r="G139">
        <v>16</v>
      </c>
      <c r="H139">
        <v>6</v>
      </c>
      <c r="I139" t="s">
        <v>57</v>
      </c>
      <c r="J139">
        <v>1</v>
      </c>
      <c r="K139">
        <v>0.64283880003495097</v>
      </c>
      <c r="L139" t="s">
        <v>51</v>
      </c>
      <c r="M139">
        <v>6</v>
      </c>
      <c r="N139">
        <v>16</v>
      </c>
      <c r="O139">
        <v>136</v>
      </c>
      <c r="P139">
        <v>17</v>
      </c>
      <c r="Q139">
        <v>186.070177300018</v>
      </c>
      <c r="V139">
        <v>186.060688700003</v>
      </c>
      <c r="W139">
        <v>186.070177300018</v>
      </c>
      <c r="X139">
        <v>186.56998379999999</v>
      </c>
      <c r="Y139">
        <v>186.56998379999999</v>
      </c>
      <c r="Z139">
        <v>186.56998379999999</v>
      </c>
      <c r="AA139">
        <v>187.223395700042</v>
      </c>
      <c r="AB139" t="s">
        <v>57</v>
      </c>
      <c r="AC139">
        <v>1</v>
      </c>
      <c r="AD139">
        <v>0.64283880003495097</v>
      </c>
      <c r="AE139" t="s">
        <v>51</v>
      </c>
      <c r="AJ139">
        <v>2</v>
      </c>
      <c r="AK139">
        <v>1</v>
      </c>
      <c r="AL139" t="s">
        <v>80</v>
      </c>
      <c r="AM139" t="s">
        <v>43</v>
      </c>
      <c r="AO139" t="s">
        <v>44</v>
      </c>
      <c r="AP139">
        <v>59.456390224006398</v>
      </c>
      <c r="AQ139" t="s">
        <v>81</v>
      </c>
    </row>
    <row r="140" spans="1:43" x14ac:dyDescent="0.3">
      <c r="A140" t="s">
        <v>52</v>
      </c>
      <c r="B140" t="s">
        <v>47</v>
      </c>
      <c r="C140" t="s">
        <v>53</v>
      </c>
      <c r="D140" t="s">
        <v>49</v>
      </c>
      <c r="E140" t="s">
        <v>54</v>
      </c>
      <c r="F140">
        <v>137</v>
      </c>
      <c r="G140">
        <v>17</v>
      </c>
      <c r="H140">
        <v>6</v>
      </c>
      <c r="I140" t="s">
        <v>54</v>
      </c>
      <c r="J140">
        <v>1</v>
      </c>
      <c r="K140">
        <v>0.507485900016035</v>
      </c>
      <c r="L140" t="s">
        <v>51</v>
      </c>
      <c r="M140">
        <v>6</v>
      </c>
      <c r="N140">
        <v>17</v>
      </c>
      <c r="O140">
        <v>137</v>
      </c>
      <c r="P140">
        <v>14</v>
      </c>
      <c r="Q140">
        <v>187.23685530002601</v>
      </c>
      <c r="V140">
        <v>187.226492000045</v>
      </c>
      <c r="W140">
        <v>187.23685530002601</v>
      </c>
      <c r="X140">
        <v>187.73657720000401</v>
      </c>
      <c r="Y140">
        <v>187.73657720000401</v>
      </c>
      <c r="Z140">
        <v>187.73657720000401</v>
      </c>
      <c r="AA140">
        <v>188.25719250005201</v>
      </c>
      <c r="AB140" t="s">
        <v>54</v>
      </c>
      <c r="AC140">
        <v>1</v>
      </c>
      <c r="AD140">
        <v>0.507485900016035</v>
      </c>
      <c r="AE140" t="s">
        <v>51</v>
      </c>
      <c r="AJ140">
        <v>2</v>
      </c>
      <c r="AK140">
        <v>1</v>
      </c>
      <c r="AL140" t="s">
        <v>80</v>
      </c>
      <c r="AM140" t="s">
        <v>43</v>
      </c>
      <c r="AO140" t="s">
        <v>44</v>
      </c>
      <c r="AP140">
        <v>59.456390224006398</v>
      </c>
      <c r="AQ140" t="s">
        <v>81</v>
      </c>
    </row>
    <row r="141" spans="1:43" x14ac:dyDescent="0.3">
      <c r="A141" t="s">
        <v>66</v>
      </c>
      <c r="B141" t="s">
        <v>47</v>
      </c>
      <c r="C141" t="s">
        <v>61</v>
      </c>
      <c r="D141" t="s">
        <v>49</v>
      </c>
      <c r="E141" t="s">
        <v>63</v>
      </c>
      <c r="F141">
        <v>138</v>
      </c>
      <c r="G141">
        <v>18</v>
      </c>
      <c r="H141">
        <v>6</v>
      </c>
      <c r="I141" t="s">
        <v>63</v>
      </c>
      <c r="J141">
        <v>1</v>
      </c>
      <c r="K141">
        <v>0.51432749995728899</v>
      </c>
      <c r="L141" t="s">
        <v>51</v>
      </c>
      <c r="M141">
        <v>6</v>
      </c>
      <c r="N141">
        <v>18</v>
      </c>
      <c r="O141">
        <v>138</v>
      </c>
      <c r="P141">
        <v>12</v>
      </c>
      <c r="Q141">
        <v>188.27002850000201</v>
      </c>
      <c r="V141">
        <v>188.26070010004301</v>
      </c>
      <c r="W141">
        <v>188.27002850000201</v>
      </c>
      <c r="X141">
        <v>188.77052030002201</v>
      </c>
      <c r="Y141">
        <v>188.77052030002201</v>
      </c>
      <c r="Z141">
        <v>188.77052030002201</v>
      </c>
      <c r="AA141">
        <v>189.291612600034</v>
      </c>
      <c r="AB141" t="s">
        <v>63</v>
      </c>
      <c r="AC141">
        <v>1</v>
      </c>
      <c r="AD141">
        <v>0.51432749995728899</v>
      </c>
      <c r="AE141" t="s">
        <v>51</v>
      </c>
      <c r="AJ141">
        <v>2</v>
      </c>
      <c r="AK141">
        <v>1</v>
      </c>
      <c r="AL141" t="s">
        <v>80</v>
      </c>
      <c r="AM141" t="s">
        <v>43</v>
      </c>
      <c r="AO141" t="s">
        <v>44</v>
      </c>
      <c r="AP141">
        <v>59.456390224006398</v>
      </c>
      <c r="AQ141" t="s">
        <v>81</v>
      </c>
    </row>
    <row r="142" spans="1:43" x14ac:dyDescent="0.3">
      <c r="A142" t="s">
        <v>71</v>
      </c>
      <c r="B142" t="s">
        <v>47</v>
      </c>
      <c r="C142" t="s">
        <v>48</v>
      </c>
      <c r="D142" t="s">
        <v>49</v>
      </c>
      <c r="E142" t="s">
        <v>50</v>
      </c>
      <c r="F142">
        <v>139</v>
      </c>
      <c r="G142">
        <v>19</v>
      </c>
      <c r="H142">
        <v>6</v>
      </c>
      <c r="I142" t="s">
        <v>50</v>
      </c>
      <c r="J142">
        <v>1</v>
      </c>
      <c r="K142">
        <v>0.73429559997748495</v>
      </c>
      <c r="L142" t="s">
        <v>51</v>
      </c>
      <c r="M142">
        <v>6</v>
      </c>
      <c r="N142">
        <v>19</v>
      </c>
      <c r="O142">
        <v>139</v>
      </c>
      <c r="P142">
        <v>15</v>
      </c>
      <c r="Q142">
        <v>189.30338610004401</v>
      </c>
      <c r="V142">
        <v>189.29547940002499</v>
      </c>
      <c r="W142">
        <v>189.30338610004401</v>
      </c>
      <c r="X142">
        <v>189.803281300002</v>
      </c>
      <c r="Y142">
        <v>189.803281300002</v>
      </c>
      <c r="Z142">
        <v>189.803281300002</v>
      </c>
      <c r="AA142">
        <v>190.54045340005499</v>
      </c>
      <c r="AB142" t="s">
        <v>50</v>
      </c>
      <c r="AC142">
        <v>1</v>
      </c>
      <c r="AD142">
        <v>0.73429559997748495</v>
      </c>
      <c r="AE142" t="s">
        <v>51</v>
      </c>
      <c r="AJ142">
        <v>2</v>
      </c>
      <c r="AK142">
        <v>1</v>
      </c>
      <c r="AL142" t="s">
        <v>80</v>
      </c>
      <c r="AM142" t="s">
        <v>43</v>
      </c>
      <c r="AO142" t="s">
        <v>44</v>
      </c>
      <c r="AP142">
        <v>59.456390224006398</v>
      </c>
      <c r="AQ142" t="s">
        <v>81</v>
      </c>
    </row>
    <row r="143" spans="1:43" x14ac:dyDescent="0.3">
      <c r="A143" t="s">
        <v>77</v>
      </c>
      <c r="B143" t="s">
        <v>59</v>
      </c>
      <c r="C143" t="s">
        <v>61</v>
      </c>
      <c r="D143" t="s">
        <v>62</v>
      </c>
      <c r="E143" t="s">
        <v>63</v>
      </c>
      <c r="F143">
        <v>140</v>
      </c>
      <c r="G143">
        <v>0</v>
      </c>
      <c r="H143">
        <v>7</v>
      </c>
      <c r="I143" t="s">
        <v>63</v>
      </c>
      <c r="J143">
        <v>1</v>
      </c>
      <c r="K143">
        <v>0.54356449999613599</v>
      </c>
      <c r="L143" t="s">
        <v>51</v>
      </c>
      <c r="M143">
        <v>7</v>
      </c>
      <c r="N143">
        <v>0</v>
      </c>
      <c r="O143">
        <v>140</v>
      </c>
      <c r="P143">
        <v>4</v>
      </c>
      <c r="Q143">
        <v>190.55361510004099</v>
      </c>
      <c r="V143">
        <v>190.54356610000801</v>
      </c>
      <c r="W143">
        <v>190.55361510004099</v>
      </c>
      <c r="X143">
        <v>191.05347100005</v>
      </c>
      <c r="Y143">
        <v>191.05347100005</v>
      </c>
      <c r="Z143">
        <v>191.05347100005</v>
      </c>
      <c r="AA143">
        <v>191.60703160002501</v>
      </c>
      <c r="AB143" t="s">
        <v>63</v>
      </c>
      <c r="AC143">
        <v>1</v>
      </c>
      <c r="AD143">
        <v>0.54356449999613599</v>
      </c>
      <c r="AE143" t="s">
        <v>51</v>
      </c>
      <c r="AJ143">
        <v>2</v>
      </c>
      <c r="AK143">
        <v>1</v>
      </c>
      <c r="AL143" t="s">
        <v>80</v>
      </c>
      <c r="AM143" t="s">
        <v>43</v>
      </c>
      <c r="AO143" t="s">
        <v>44</v>
      </c>
      <c r="AP143">
        <v>59.456390224006398</v>
      </c>
      <c r="AQ143" t="s">
        <v>81</v>
      </c>
    </row>
    <row r="144" spans="1:43" x14ac:dyDescent="0.3">
      <c r="A144" t="s">
        <v>64</v>
      </c>
      <c r="B144" t="s">
        <v>47</v>
      </c>
      <c r="C144" t="s">
        <v>53</v>
      </c>
      <c r="D144" t="s">
        <v>49</v>
      </c>
      <c r="E144" t="s">
        <v>54</v>
      </c>
      <c r="F144">
        <v>141</v>
      </c>
      <c r="G144">
        <v>1</v>
      </c>
      <c r="H144">
        <v>7</v>
      </c>
      <c r="I144" t="s">
        <v>54</v>
      </c>
      <c r="J144">
        <v>1</v>
      </c>
      <c r="K144">
        <v>0.74851320002926502</v>
      </c>
      <c r="L144" t="s">
        <v>51</v>
      </c>
      <c r="M144">
        <v>7</v>
      </c>
      <c r="N144">
        <v>1</v>
      </c>
      <c r="O144">
        <v>141</v>
      </c>
      <c r="P144">
        <v>18</v>
      </c>
      <c r="Q144">
        <v>191.62016290001301</v>
      </c>
      <c r="V144">
        <v>191.61003140004999</v>
      </c>
      <c r="W144">
        <v>191.62016290001301</v>
      </c>
      <c r="X144">
        <v>192.12030010001001</v>
      </c>
      <c r="Y144">
        <v>192.12030010001001</v>
      </c>
      <c r="Z144">
        <v>192.12030010001001</v>
      </c>
      <c r="AA144">
        <v>192.87413540005201</v>
      </c>
      <c r="AB144" t="s">
        <v>54</v>
      </c>
      <c r="AC144">
        <v>1</v>
      </c>
      <c r="AD144">
        <v>0.74851320002926502</v>
      </c>
      <c r="AE144" t="s">
        <v>51</v>
      </c>
      <c r="AJ144">
        <v>2</v>
      </c>
      <c r="AK144">
        <v>1</v>
      </c>
      <c r="AL144" t="s">
        <v>80</v>
      </c>
      <c r="AM144" t="s">
        <v>43</v>
      </c>
      <c r="AO144" t="s">
        <v>44</v>
      </c>
      <c r="AP144">
        <v>59.456390224006398</v>
      </c>
      <c r="AQ144" t="s">
        <v>81</v>
      </c>
    </row>
    <row r="145" spans="1:43" x14ac:dyDescent="0.3">
      <c r="A145" t="s">
        <v>69</v>
      </c>
      <c r="B145" t="s">
        <v>59</v>
      </c>
      <c r="C145" t="s">
        <v>56</v>
      </c>
      <c r="D145" t="s">
        <v>49</v>
      </c>
      <c r="E145" t="s">
        <v>57</v>
      </c>
      <c r="F145">
        <v>142</v>
      </c>
      <c r="G145">
        <v>2</v>
      </c>
      <c r="H145">
        <v>7</v>
      </c>
      <c r="I145" t="s">
        <v>57</v>
      </c>
      <c r="J145">
        <v>1</v>
      </c>
      <c r="K145">
        <v>0.71202279999852103</v>
      </c>
      <c r="L145" t="s">
        <v>51</v>
      </c>
      <c r="M145">
        <v>7</v>
      </c>
      <c r="N145">
        <v>2</v>
      </c>
      <c r="O145">
        <v>142</v>
      </c>
      <c r="P145">
        <v>5</v>
      </c>
      <c r="Q145">
        <v>192.886449400044</v>
      </c>
      <c r="V145">
        <v>192.87679560005199</v>
      </c>
      <c r="W145">
        <v>192.886449400044</v>
      </c>
      <c r="X145">
        <v>193.387057400017</v>
      </c>
      <c r="Y145">
        <v>193.387057400017</v>
      </c>
      <c r="Z145">
        <v>193.387057400017</v>
      </c>
      <c r="AA145">
        <v>194.10707720002301</v>
      </c>
      <c r="AB145" t="s">
        <v>57</v>
      </c>
      <c r="AC145">
        <v>1</v>
      </c>
      <c r="AD145">
        <v>0.71202279999852103</v>
      </c>
      <c r="AE145" t="s">
        <v>51</v>
      </c>
      <c r="AJ145">
        <v>2</v>
      </c>
      <c r="AK145">
        <v>1</v>
      </c>
      <c r="AL145" t="s">
        <v>80</v>
      </c>
      <c r="AM145" t="s">
        <v>43</v>
      </c>
      <c r="AO145" t="s">
        <v>44</v>
      </c>
      <c r="AP145">
        <v>59.456390224006398</v>
      </c>
      <c r="AQ145" t="s">
        <v>81</v>
      </c>
    </row>
    <row r="146" spans="1:43" x14ac:dyDescent="0.3">
      <c r="A146" t="s">
        <v>75</v>
      </c>
      <c r="B146" t="s">
        <v>47</v>
      </c>
      <c r="C146" t="s">
        <v>61</v>
      </c>
      <c r="D146" t="s">
        <v>49</v>
      </c>
      <c r="E146" t="s">
        <v>63</v>
      </c>
      <c r="F146">
        <v>143</v>
      </c>
      <c r="G146">
        <v>3</v>
      </c>
      <c r="H146">
        <v>7</v>
      </c>
      <c r="I146" t="s">
        <v>63</v>
      </c>
      <c r="J146">
        <v>1</v>
      </c>
      <c r="K146">
        <v>0.56940849998500198</v>
      </c>
      <c r="L146" t="s">
        <v>51</v>
      </c>
      <c r="M146">
        <v>7</v>
      </c>
      <c r="N146">
        <v>3</v>
      </c>
      <c r="O146">
        <v>143</v>
      </c>
      <c r="P146">
        <v>16</v>
      </c>
      <c r="Q146">
        <v>194.12017730000599</v>
      </c>
      <c r="V146">
        <v>194.11026700004001</v>
      </c>
      <c r="W146">
        <v>194.12017730000599</v>
      </c>
      <c r="X146">
        <v>194.619965800025</v>
      </c>
      <c r="Y146">
        <v>194.619965800025</v>
      </c>
      <c r="Z146">
        <v>194.619965800025</v>
      </c>
      <c r="AA146">
        <v>195.191090400039</v>
      </c>
      <c r="AB146" t="s">
        <v>63</v>
      </c>
      <c r="AC146">
        <v>1</v>
      </c>
      <c r="AD146">
        <v>0.56940849998500198</v>
      </c>
      <c r="AE146" t="s">
        <v>51</v>
      </c>
      <c r="AJ146">
        <v>2</v>
      </c>
      <c r="AK146">
        <v>1</v>
      </c>
      <c r="AL146" t="s">
        <v>80</v>
      </c>
      <c r="AM146" t="s">
        <v>43</v>
      </c>
      <c r="AO146" t="s">
        <v>44</v>
      </c>
      <c r="AP146">
        <v>59.456390224006398</v>
      </c>
      <c r="AQ146" t="s">
        <v>81</v>
      </c>
    </row>
    <row r="147" spans="1:43" x14ac:dyDescent="0.3">
      <c r="A147" t="s">
        <v>74</v>
      </c>
      <c r="B147" t="s">
        <v>47</v>
      </c>
      <c r="C147" t="s">
        <v>48</v>
      </c>
      <c r="D147" t="s">
        <v>49</v>
      </c>
      <c r="E147" t="s">
        <v>50</v>
      </c>
      <c r="F147">
        <v>144</v>
      </c>
      <c r="G147">
        <v>4</v>
      </c>
      <c r="H147">
        <v>7</v>
      </c>
      <c r="I147" t="s">
        <v>50</v>
      </c>
      <c r="J147">
        <v>1</v>
      </c>
      <c r="K147">
        <v>0.80841920000966605</v>
      </c>
      <c r="L147" t="s">
        <v>51</v>
      </c>
      <c r="M147">
        <v>7</v>
      </c>
      <c r="N147">
        <v>4</v>
      </c>
      <c r="O147">
        <v>144</v>
      </c>
      <c r="P147">
        <v>11</v>
      </c>
      <c r="Q147">
        <v>195.205326700001</v>
      </c>
      <c r="V147">
        <v>195.19417570001599</v>
      </c>
      <c r="W147">
        <v>195.205326700001</v>
      </c>
      <c r="X147">
        <v>195.70297490002099</v>
      </c>
      <c r="Y147">
        <v>195.70297490002099</v>
      </c>
      <c r="Z147">
        <v>195.70297490002099</v>
      </c>
      <c r="AA147">
        <v>196.52480400004401</v>
      </c>
      <c r="AB147" t="s">
        <v>50</v>
      </c>
      <c r="AC147">
        <v>1</v>
      </c>
      <c r="AD147">
        <v>0.80841920000966605</v>
      </c>
      <c r="AE147" t="s">
        <v>51</v>
      </c>
      <c r="AJ147">
        <v>2</v>
      </c>
      <c r="AK147">
        <v>1</v>
      </c>
      <c r="AL147" t="s">
        <v>80</v>
      </c>
      <c r="AM147" t="s">
        <v>43</v>
      </c>
      <c r="AO147" t="s">
        <v>44</v>
      </c>
      <c r="AP147">
        <v>59.456390224006398</v>
      </c>
      <c r="AQ147" t="s">
        <v>81</v>
      </c>
    </row>
    <row r="148" spans="1:43" x14ac:dyDescent="0.3">
      <c r="A148" t="s">
        <v>73</v>
      </c>
      <c r="B148" t="s">
        <v>59</v>
      </c>
      <c r="C148" t="s">
        <v>56</v>
      </c>
      <c r="D148" t="s">
        <v>49</v>
      </c>
      <c r="E148" t="s">
        <v>57</v>
      </c>
      <c r="F148">
        <v>145</v>
      </c>
      <c r="G148">
        <v>5</v>
      </c>
      <c r="H148">
        <v>7</v>
      </c>
      <c r="I148" t="s">
        <v>57</v>
      </c>
      <c r="J148">
        <v>1</v>
      </c>
      <c r="K148">
        <v>0.96795240003848404</v>
      </c>
      <c r="L148" t="s">
        <v>51</v>
      </c>
      <c r="M148">
        <v>7</v>
      </c>
      <c r="N148">
        <v>5</v>
      </c>
      <c r="O148">
        <v>145</v>
      </c>
      <c r="P148">
        <v>1</v>
      </c>
      <c r="Q148">
        <v>196.53707590000701</v>
      </c>
      <c r="V148">
        <v>196.527511200052</v>
      </c>
      <c r="W148">
        <v>196.53707590000701</v>
      </c>
      <c r="X148">
        <v>197.03668070002399</v>
      </c>
      <c r="Y148">
        <v>197.03668070002399</v>
      </c>
      <c r="Z148">
        <v>197.03668070002399</v>
      </c>
      <c r="AA148">
        <v>198.00734250003001</v>
      </c>
      <c r="AB148" t="s">
        <v>57</v>
      </c>
      <c r="AC148">
        <v>1</v>
      </c>
      <c r="AD148">
        <v>0.96795240003848404</v>
      </c>
      <c r="AE148" t="s">
        <v>51</v>
      </c>
      <c r="AJ148">
        <v>2</v>
      </c>
      <c r="AK148">
        <v>1</v>
      </c>
      <c r="AL148" t="s">
        <v>80</v>
      </c>
      <c r="AM148" t="s">
        <v>43</v>
      </c>
      <c r="AO148" t="s">
        <v>44</v>
      </c>
      <c r="AP148">
        <v>59.456390224006398</v>
      </c>
      <c r="AQ148" t="s">
        <v>81</v>
      </c>
    </row>
    <row r="149" spans="1:43" x14ac:dyDescent="0.3">
      <c r="A149" t="s">
        <v>65</v>
      </c>
      <c r="B149" t="s">
        <v>59</v>
      </c>
      <c r="C149" t="s">
        <v>56</v>
      </c>
      <c r="D149" t="s">
        <v>49</v>
      </c>
      <c r="E149" t="s">
        <v>57</v>
      </c>
      <c r="F149">
        <v>146</v>
      </c>
      <c r="G149">
        <v>6</v>
      </c>
      <c r="H149">
        <v>7</v>
      </c>
      <c r="I149" t="s">
        <v>57</v>
      </c>
      <c r="J149">
        <v>1</v>
      </c>
      <c r="K149">
        <v>0.62559200002578996</v>
      </c>
      <c r="L149" t="s">
        <v>51</v>
      </c>
      <c r="M149">
        <v>7</v>
      </c>
      <c r="N149">
        <v>6</v>
      </c>
      <c r="O149">
        <v>146</v>
      </c>
      <c r="P149">
        <v>9</v>
      </c>
      <c r="Q149">
        <v>198.019633200019</v>
      </c>
      <c r="V149">
        <v>198.010696200013</v>
      </c>
      <c r="W149">
        <v>198.019633200019</v>
      </c>
      <c r="X149">
        <v>198.51997320004699</v>
      </c>
      <c r="Y149">
        <v>198.51997320004699</v>
      </c>
      <c r="Z149">
        <v>198.51997320004699</v>
      </c>
      <c r="AA149">
        <v>199.15683620003901</v>
      </c>
      <c r="AB149" t="s">
        <v>57</v>
      </c>
      <c r="AC149">
        <v>1</v>
      </c>
      <c r="AD149">
        <v>0.62559200002578996</v>
      </c>
      <c r="AE149" t="s">
        <v>51</v>
      </c>
      <c r="AJ149">
        <v>2</v>
      </c>
      <c r="AK149">
        <v>1</v>
      </c>
      <c r="AL149" t="s">
        <v>80</v>
      </c>
      <c r="AM149" t="s">
        <v>43</v>
      </c>
      <c r="AO149" t="s">
        <v>44</v>
      </c>
      <c r="AP149">
        <v>59.456390224006398</v>
      </c>
      <c r="AQ149" t="s">
        <v>81</v>
      </c>
    </row>
    <row r="150" spans="1:43" x14ac:dyDescent="0.3">
      <c r="A150" t="s">
        <v>46</v>
      </c>
      <c r="B150" t="s">
        <v>47</v>
      </c>
      <c r="C150" t="s">
        <v>48</v>
      </c>
      <c r="D150" t="s">
        <v>49</v>
      </c>
      <c r="E150" t="s">
        <v>50</v>
      </c>
      <c r="F150">
        <v>147</v>
      </c>
      <c r="G150">
        <v>7</v>
      </c>
      <c r="H150">
        <v>7</v>
      </c>
      <c r="I150" t="s">
        <v>50</v>
      </c>
      <c r="J150">
        <v>1</v>
      </c>
      <c r="K150">
        <v>1.0002228000084801</v>
      </c>
      <c r="L150" t="s">
        <v>51</v>
      </c>
      <c r="M150">
        <v>7</v>
      </c>
      <c r="N150">
        <v>7</v>
      </c>
      <c r="O150">
        <v>147</v>
      </c>
      <c r="P150">
        <v>19</v>
      </c>
      <c r="Q150">
        <v>199.16938070004099</v>
      </c>
      <c r="V150">
        <v>199.16020160005399</v>
      </c>
      <c r="W150">
        <v>199.16938070004099</v>
      </c>
      <c r="X150">
        <v>199.66889830003399</v>
      </c>
      <c r="Y150">
        <v>199.66889830003399</v>
      </c>
      <c r="Z150">
        <v>199.66889830003399</v>
      </c>
      <c r="AA150">
        <v>200.674260600004</v>
      </c>
      <c r="AB150" t="s">
        <v>50</v>
      </c>
      <c r="AC150">
        <v>1</v>
      </c>
      <c r="AD150">
        <v>1.0002228000084801</v>
      </c>
      <c r="AE150" t="s">
        <v>51</v>
      </c>
      <c r="AJ150">
        <v>2</v>
      </c>
      <c r="AK150">
        <v>1</v>
      </c>
      <c r="AL150" t="s">
        <v>80</v>
      </c>
      <c r="AM150" t="s">
        <v>43</v>
      </c>
      <c r="AO150" t="s">
        <v>44</v>
      </c>
      <c r="AP150">
        <v>59.456390224006398</v>
      </c>
      <c r="AQ150" t="s">
        <v>81</v>
      </c>
    </row>
    <row r="151" spans="1:43" x14ac:dyDescent="0.3">
      <c r="A151" t="s">
        <v>68</v>
      </c>
      <c r="B151" t="s">
        <v>59</v>
      </c>
      <c r="C151" t="s">
        <v>53</v>
      </c>
      <c r="D151" t="s">
        <v>49</v>
      </c>
      <c r="E151" t="s">
        <v>54</v>
      </c>
      <c r="F151">
        <v>148</v>
      </c>
      <c r="G151">
        <v>8</v>
      </c>
      <c r="H151">
        <v>7</v>
      </c>
      <c r="I151" t="s">
        <v>54</v>
      </c>
      <c r="J151">
        <v>1</v>
      </c>
      <c r="K151">
        <v>0.77209490002132897</v>
      </c>
      <c r="L151" t="s">
        <v>51</v>
      </c>
      <c r="M151">
        <v>7</v>
      </c>
      <c r="N151">
        <v>8</v>
      </c>
      <c r="O151">
        <v>148</v>
      </c>
      <c r="P151">
        <v>6</v>
      </c>
      <c r="Q151">
        <v>200.686044800037</v>
      </c>
      <c r="V151">
        <v>200.67760100000299</v>
      </c>
      <c r="W151">
        <v>200.686044800037</v>
      </c>
      <c r="X151">
        <v>201.18614890001399</v>
      </c>
      <c r="Y151">
        <v>201.18614890001399</v>
      </c>
      <c r="Z151">
        <v>201.18614890001399</v>
      </c>
      <c r="AA151">
        <v>201.959412000025</v>
      </c>
      <c r="AB151" t="s">
        <v>54</v>
      </c>
      <c r="AC151">
        <v>1</v>
      </c>
      <c r="AD151">
        <v>0.77209490002132897</v>
      </c>
      <c r="AE151" t="s">
        <v>51</v>
      </c>
      <c r="AJ151">
        <v>2</v>
      </c>
      <c r="AK151">
        <v>1</v>
      </c>
      <c r="AL151" t="s">
        <v>80</v>
      </c>
      <c r="AM151" t="s">
        <v>43</v>
      </c>
      <c r="AO151" t="s">
        <v>44</v>
      </c>
      <c r="AP151">
        <v>59.456390224006398</v>
      </c>
      <c r="AQ151" t="s">
        <v>81</v>
      </c>
    </row>
    <row r="152" spans="1:43" x14ac:dyDescent="0.3">
      <c r="A152" t="s">
        <v>67</v>
      </c>
      <c r="B152" t="s">
        <v>47</v>
      </c>
      <c r="C152" t="s">
        <v>53</v>
      </c>
      <c r="D152" t="s">
        <v>49</v>
      </c>
      <c r="E152" t="s">
        <v>54</v>
      </c>
      <c r="F152">
        <v>149</v>
      </c>
      <c r="G152">
        <v>9</v>
      </c>
      <c r="H152">
        <v>7</v>
      </c>
      <c r="I152" t="s">
        <v>54</v>
      </c>
      <c r="J152">
        <v>1</v>
      </c>
      <c r="K152">
        <v>0.47586870001396098</v>
      </c>
      <c r="L152" t="s">
        <v>51</v>
      </c>
      <c r="M152">
        <v>7</v>
      </c>
      <c r="N152">
        <v>9</v>
      </c>
      <c r="O152">
        <v>149</v>
      </c>
      <c r="P152">
        <v>10</v>
      </c>
      <c r="Q152">
        <v>201.97126270004</v>
      </c>
      <c r="V152">
        <v>201.96305370004799</v>
      </c>
      <c r="W152">
        <v>201.97126270004</v>
      </c>
      <c r="X152">
        <v>202.46987610001801</v>
      </c>
      <c r="Y152">
        <v>202.46987610001801</v>
      </c>
      <c r="Z152">
        <v>202.46987610001801</v>
      </c>
      <c r="AA152">
        <v>202.95750470005399</v>
      </c>
      <c r="AB152" t="s">
        <v>54</v>
      </c>
      <c r="AC152">
        <v>1</v>
      </c>
      <c r="AD152">
        <v>0.47586870001396098</v>
      </c>
      <c r="AE152" t="s">
        <v>51</v>
      </c>
      <c r="AJ152">
        <v>2</v>
      </c>
      <c r="AK152">
        <v>1</v>
      </c>
      <c r="AL152" t="s">
        <v>80</v>
      </c>
      <c r="AM152" t="s">
        <v>43</v>
      </c>
      <c r="AO152" t="s">
        <v>44</v>
      </c>
      <c r="AP152">
        <v>59.456390224006398</v>
      </c>
      <c r="AQ152" t="s">
        <v>81</v>
      </c>
    </row>
    <row r="153" spans="1:43" x14ac:dyDescent="0.3">
      <c r="A153" t="s">
        <v>72</v>
      </c>
      <c r="B153" t="s">
        <v>59</v>
      </c>
      <c r="C153" t="s">
        <v>61</v>
      </c>
      <c r="D153" t="s">
        <v>62</v>
      </c>
      <c r="E153" t="s">
        <v>63</v>
      </c>
      <c r="F153">
        <v>150</v>
      </c>
      <c r="G153">
        <v>10</v>
      </c>
      <c r="H153">
        <v>7</v>
      </c>
      <c r="I153" t="s">
        <v>63</v>
      </c>
      <c r="J153">
        <v>1</v>
      </c>
      <c r="K153">
        <v>0.53532889997586597</v>
      </c>
      <c r="L153" t="s">
        <v>51</v>
      </c>
      <c r="M153">
        <v>7</v>
      </c>
      <c r="N153">
        <v>10</v>
      </c>
      <c r="O153">
        <v>150</v>
      </c>
      <c r="P153">
        <v>8</v>
      </c>
      <c r="Q153">
        <v>202.969067500031</v>
      </c>
      <c r="V153">
        <v>202.961794400005</v>
      </c>
      <c r="W153">
        <v>202.969067500031</v>
      </c>
      <c r="X153">
        <v>203.46953570004499</v>
      </c>
      <c r="Y153">
        <v>203.46953570004499</v>
      </c>
      <c r="Z153">
        <v>203.46953570004499</v>
      </c>
      <c r="AA153">
        <v>204.006916900048</v>
      </c>
      <c r="AB153" t="s">
        <v>63</v>
      </c>
      <c r="AC153">
        <v>1</v>
      </c>
      <c r="AD153">
        <v>0.53532889997586597</v>
      </c>
      <c r="AE153" t="s">
        <v>51</v>
      </c>
      <c r="AJ153">
        <v>2</v>
      </c>
      <c r="AK153">
        <v>1</v>
      </c>
      <c r="AL153" t="s">
        <v>80</v>
      </c>
      <c r="AM153" t="s">
        <v>43</v>
      </c>
      <c r="AO153" t="s">
        <v>44</v>
      </c>
      <c r="AP153">
        <v>59.456390224006398</v>
      </c>
      <c r="AQ153" t="s">
        <v>81</v>
      </c>
    </row>
    <row r="154" spans="1:43" x14ac:dyDescent="0.3">
      <c r="A154" t="s">
        <v>78</v>
      </c>
      <c r="B154" t="s">
        <v>47</v>
      </c>
      <c r="C154" t="s">
        <v>56</v>
      </c>
      <c r="D154" t="s">
        <v>49</v>
      </c>
      <c r="E154" t="s">
        <v>57</v>
      </c>
      <c r="F154">
        <v>151</v>
      </c>
      <c r="G154">
        <v>11</v>
      </c>
      <c r="H154">
        <v>7</v>
      </c>
      <c r="I154" t="s">
        <v>57</v>
      </c>
      <c r="J154">
        <v>1</v>
      </c>
      <c r="K154">
        <v>0.55092220002552394</v>
      </c>
      <c r="L154" t="s">
        <v>51</v>
      </c>
      <c r="M154">
        <v>7</v>
      </c>
      <c r="N154">
        <v>11</v>
      </c>
      <c r="O154">
        <v>151</v>
      </c>
      <c r="P154">
        <v>17</v>
      </c>
      <c r="Q154">
        <v>204.01945610000899</v>
      </c>
      <c r="V154">
        <v>204.009748600015</v>
      </c>
      <c r="W154">
        <v>204.01945610000899</v>
      </c>
      <c r="X154">
        <v>204.51939760003</v>
      </c>
      <c r="Y154">
        <v>204.51939760003</v>
      </c>
      <c r="Z154">
        <v>204.51939760003</v>
      </c>
      <c r="AA154">
        <v>205.073800000012</v>
      </c>
      <c r="AB154" t="s">
        <v>57</v>
      </c>
      <c r="AC154">
        <v>1</v>
      </c>
      <c r="AD154">
        <v>0.55092220002552394</v>
      </c>
      <c r="AE154" t="s">
        <v>51</v>
      </c>
      <c r="AJ154">
        <v>2</v>
      </c>
      <c r="AK154">
        <v>1</v>
      </c>
      <c r="AL154" t="s">
        <v>80</v>
      </c>
      <c r="AM154" t="s">
        <v>43</v>
      </c>
      <c r="AO154" t="s">
        <v>44</v>
      </c>
      <c r="AP154">
        <v>59.456390224006398</v>
      </c>
      <c r="AQ154" t="s">
        <v>81</v>
      </c>
    </row>
    <row r="155" spans="1:43" x14ac:dyDescent="0.3">
      <c r="A155" t="s">
        <v>52</v>
      </c>
      <c r="B155" t="s">
        <v>47</v>
      </c>
      <c r="C155" t="s">
        <v>53</v>
      </c>
      <c r="D155" t="s">
        <v>49</v>
      </c>
      <c r="E155" t="s">
        <v>54</v>
      </c>
      <c r="F155">
        <v>152</v>
      </c>
      <c r="G155">
        <v>12</v>
      </c>
      <c r="H155">
        <v>7</v>
      </c>
      <c r="I155" t="s">
        <v>54</v>
      </c>
      <c r="J155">
        <v>1</v>
      </c>
      <c r="K155">
        <v>1.2138418999966201</v>
      </c>
      <c r="L155" t="s">
        <v>51</v>
      </c>
      <c r="M155">
        <v>7</v>
      </c>
      <c r="N155">
        <v>12</v>
      </c>
      <c r="O155">
        <v>152</v>
      </c>
      <c r="P155">
        <v>14</v>
      </c>
      <c r="Q155">
        <v>205.08621290000099</v>
      </c>
      <c r="V155">
        <v>205.07692930003299</v>
      </c>
      <c r="W155">
        <v>205.08621290000099</v>
      </c>
      <c r="X155">
        <v>205.586412000004</v>
      </c>
      <c r="Y155">
        <v>205.586412000004</v>
      </c>
      <c r="Z155">
        <v>205.586412000004</v>
      </c>
      <c r="AA155">
        <v>206.80655630002701</v>
      </c>
      <c r="AB155" t="s">
        <v>54</v>
      </c>
      <c r="AC155">
        <v>1</v>
      </c>
      <c r="AD155">
        <v>1.2138418999966201</v>
      </c>
      <c r="AE155" t="s">
        <v>51</v>
      </c>
      <c r="AJ155">
        <v>2</v>
      </c>
      <c r="AK155">
        <v>1</v>
      </c>
      <c r="AL155" t="s">
        <v>80</v>
      </c>
      <c r="AM155" t="s">
        <v>43</v>
      </c>
      <c r="AO155" t="s">
        <v>44</v>
      </c>
      <c r="AP155">
        <v>59.456390224006398</v>
      </c>
      <c r="AQ155" t="s">
        <v>81</v>
      </c>
    </row>
    <row r="156" spans="1:43" x14ac:dyDescent="0.3">
      <c r="A156" t="s">
        <v>76</v>
      </c>
      <c r="B156" t="s">
        <v>59</v>
      </c>
      <c r="C156" t="s">
        <v>48</v>
      </c>
      <c r="D156" t="s">
        <v>49</v>
      </c>
      <c r="E156" t="s">
        <v>50</v>
      </c>
      <c r="F156">
        <v>153</v>
      </c>
      <c r="G156">
        <v>13</v>
      </c>
      <c r="H156">
        <v>7</v>
      </c>
      <c r="I156" t="s">
        <v>50</v>
      </c>
      <c r="J156">
        <v>1</v>
      </c>
      <c r="K156">
        <v>0.75810340000316501</v>
      </c>
      <c r="L156" t="s">
        <v>51</v>
      </c>
      <c r="M156">
        <v>7</v>
      </c>
      <c r="N156">
        <v>13</v>
      </c>
      <c r="O156">
        <v>153</v>
      </c>
      <c r="P156">
        <v>3</v>
      </c>
      <c r="Q156">
        <v>206.81958390003999</v>
      </c>
      <c r="V156">
        <v>206.80935190001</v>
      </c>
      <c r="W156">
        <v>206.81958390003999</v>
      </c>
      <c r="X156">
        <v>207.31981100002301</v>
      </c>
      <c r="Y156">
        <v>207.31981100002301</v>
      </c>
      <c r="Z156">
        <v>207.31981100002301</v>
      </c>
      <c r="AA156">
        <v>208.08921230002301</v>
      </c>
      <c r="AB156" t="s">
        <v>50</v>
      </c>
      <c r="AC156">
        <v>1</v>
      </c>
      <c r="AD156">
        <v>0.75810340000316501</v>
      </c>
      <c r="AE156" t="s">
        <v>51</v>
      </c>
      <c r="AJ156">
        <v>2</v>
      </c>
      <c r="AK156">
        <v>1</v>
      </c>
      <c r="AL156" t="s">
        <v>80</v>
      </c>
      <c r="AM156" t="s">
        <v>43</v>
      </c>
      <c r="AO156" t="s">
        <v>44</v>
      </c>
      <c r="AP156">
        <v>59.456390224006398</v>
      </c>
      <c r="AQ156" t="s">
        <v>81</v>
      </c>
    </row>
    <row r="157" spans="1:43" x14ac:dyDescent="0.3">
      <c r="A157" t="s">
        <v>60</v>
      </c>
      <c r="B157" t="s">
        <v>59</v>
      </c>
      <c r="C157" t="s">
        <v>61</v>
      </c>
      <c r="D157" t="s">
        <v>62</v>
      </c>
      <c r="E157" t="s">
        <v>63</v>
      </c>
      <c r="F157">
        <v>154</v>
      </c>
      <c r="G157">
        <v>14</v>
      </c>
      <c r="H157">
        <v>7</v>
      </c>
      <c r="I157" t="s">
        <v>63</v>
      </c>
      <c r="J157">
        <v>1</v>
      </c>
      <c r="K157">
        <v>0.61488580005243398</v>
      </c>
      <c r="L157" t="s">
        <v>51</v>
      </c>
      <c r="M157">
        <v>7</v>
      </c>
      <c r="N157">
        <v>14</v>
      </c>
      <c r="O157">
        <v>154</v>
      </c>
      <c r="P157">
        <v>0</v>
      </c>
      <c r="Q157">
        <v>208.10262210003501</v>
      </c>
      <c r="V157">
        <v>208.09226000000399</v>
      </c>
      <c r="W157">
        <v>208.10262210003501</v>
      </c>
      <c r="X157">
        <v>208.602777800057</v>
      </c>
      <c r="Y157">
        <v>208.602777800057</v>
      </c>
      <c r="Z157">
        <v>208.602777800057</v>
      </c>
      <c r="AA157">
        <v>209.22346750000699</v>
      </c>
      <c r="AB157" t="s">
        <v>63</v>
      </c>
      <c r="AC157">
        <v>1</v>
      </c>
      <c r="AD157">
        <v>0.61488580005243398</v>
      </c>
      <c r="AE157" t="s">
        <v>51</v>
      </c>
      <c r="AJ157">
        <v>2</v>
      </c>
      <c r="AK157">
        <v>1</v>
      </c>
      <c r="AL157" t="s">
        <v>80</v>
      </c>
      <c r="AM157" t="s">
        <v>43</v>
      </c>
      <c r="AO157" t="s">
        <v>44</v>
      </c>
      <c r="AP157">
        <v>59.456390224006398</v>
      </c>
      <c r="AQ157" t="s">
        <v>81</v>
      </c>
    </row>
    <row r="158" spans="1:43" x14ac:dyDescent="0.3">
      <c r="A158" t="s">
        <v>58</v>
      </c>
      <c r="B158" t="s">
        <v>59</v>
      </c>
      <c r="C158" t="s">
        <v>48</v>
      </c>
      <c r="D158" t="s">
        <v>49</v>
      </c>
      <c r="E158" t="s">
        <v>50</v>
      </c>
      <c r="F158">
        <v>155</v>
      </c>
      <c r="G158">
        <v>15</v>
      </c>
      <c r="H158">
        <v>7</v>
      </c>
      <c r="I158" t="s">
        <v>50</v>
      </c>
      <c r="J158">
        <v>1</v>
      </c>
      <c r="K158">
        <v>0.93952060001902205</v>
      </c>
      <c r="L158" t="s">
        <v>51</v>
      </c>
      <c r="M158">
        <v>7</v>
      </c>
      <c r="N158">
        <v>15</v>
      </c>
      <c r="O158">
        <v>155</v>
      </c>
      <c r="P158">
        <v>7</v>
      </c>
      <c r="Q158">
        <v>209.23693040001601</v>
      </c>
      <c r="V158">
        <v>209.22612440003999</v>
      </c>
      <c r="W158">
        <v>209.23693040001601</v>
      </c>
      <c r="X158">
        <v>209.735900100029</v>
      </c>
      <c r="Y158">
        <v>209.735900100029</v>
      </c>
      <c r="Z158">
        <v>209.735900100029</v>
      </c>
      <c r="AA158">
        <v>210.689412900013</v>
      </c>
      <c r="AB158" t="s">
        <v>50</v>
      </c>
      <c r="AC158">
        <v>1</v>
      </c>
      <c r="AD158">
        <v>0.93952060001902205</v>
      </c>
      <c r="AE158" t="s">
        <v>51</v>
      </c>
      <c r="AJ158">
        <v>2</v>
      </c>
      <c r="AK158">
        <v>1</v>
      </c>
      <c r="AL158" t="s">
        <v>80</v>
      </c>
      <c r="AM158" t="s">
        <v>43</v>
      </c>
      <c r="AO158" t="s">
        <v>44</v>
      </c>
      <c r="AP158">
        <v>59.456390224006398</v>
      </c>
      <c r="AQ158" t="s">
        <v>81</v>
      </c>
    </row>
    <row r="159" spans="1:43" x14ac:dyDescent="0.3">
      <c r="A159" t="s">
        <v>70</v>
      </c>
      <c r="B159" t="s">
        <v>59</v>
      </c>
      <c r="C159" t="s">
        <v>53</v>
      </c>
      <c r="D159" t="s">
        <v>49</v>
      </c>
      <c r="E159" t="s">
        <v>54</v>
      </c>
      <c r="F159">
        <v>156</v>
      </c>
      <c r="G159">
        <v>16</v>
      </c>
      <c r="H159">
        <v>7</v>
      </c>
      <c r="I159" t="s">
        <v>54</v>
      </c>
      <c r="J159">
        <v>1</v>
      </c>
      <c r="K159">
        <v>1.53591929998947</v>
      </c>
      <c r="L159" t="s">
        <v>51</v>
      </c>
      <c r="M159">
        <v>7</v>
      </c>
      <c r="N159">
        <v>16</v>
      </c>
      <c r="O159">
        <v>156</v>
      </c>
      <c r="P159">
        <v>2</v>
      </c>
      <c r="Q159">
        <v>210.70248150004701</v>
      </c>
      <c r="V159">
        <v>210.692204400023</v>
      </c>
      <c r="W159">
        <v>210.70248150004701</v>
      </c>
      <c r="X159">
        <v>211.202515300014</v>
      </c>
      <c r="Y159">
        <v>211.202515300014</v>
      </c>
      <c r="Z159">
        <v>211.202515300014</v>
      </c>
      <c r="AA159">
        <v>212.73980160005101</v>
      </c>
      <c r="AB159" t="s">
        <v>54</v>
      </c>
      <c r="AC159">
        <v>1</v>
      </c>
      <c r="AD159">
        <v>1.53591929998947</v>
      </c>
      <c r="AE159" t="s">
        <v>51</v>
      </c>
      <c r="AJ159">
        <v>2</v>
      </c>
      <c r="AK159">
        <v>1</v>
      </c>
      <c r="AL159" t="s">
        <v>80</v>
      </c>
      <c r="AM159" t="s">
        <v>43</v>
      </c>
      <c r="AO159" t="s">
        <v>44</v>
      </c>
      <c r="AP159">
        <v>59.456390224006398</v>
      </c>
      <c r="AQ159" t="s">
        <v>81</v>
      </c>
    </row>
    <row r="160" spans="1:43" x14ac:dyDescent="0.3">
      <c r="A160" t="s">
        <v>66</v>
      </c>
      <c r="B160" t="s">
        <v>47</v>
      </c>
      <c r="C160" t="s">
        <v>61</v>
      </c>
      <c r="D160" t="s">
        <v>49</v>
      </c>
      <c r="E160" t="s">
        <v>63</v>
      </c>
      <c r="F160">
        <v>157</v>
      </c>
      <c r="G160">
        <v>17</v>
      </c>
      <c r="H160">
        <v>7</v>
      </c>
      <c r="I160" t="s">
        <v>63</v>
      </c>
      <c r="J160">
        <v>1</v>
      </c>
      <c r="K160">
        <v>0.59172339999349699</v>
      </c>
      <c r="L160" t="s">
        <v>51</v>
      </c>
      <c r="M160">
        <v>7</v>
      </c>
      <c r="N160">
        <v>17</v>
      </c>
      <c r="O160">
        <v>157</v>
      </c>
      <c r="P160">
        <v>12</v>
      </c>
      <c r="Q160">
        <v>212.752432700013</v>
      </c>
      <c r="V160">
        <v>212.74327150004601</v>
      </c>
      <c r="W160">
        <v>212.752432700013</v>
      </c>
      <c r="X160">
        <v>213.252490900049</v>
      </c>
      <c r="Y160">
        <v>213.252490900049</v>
      </c>
      <c r="Z160">
        <v>213.252490900049</v>
      </c>
      <c r="AA160">
        <v>213.85595780005599</v>
      </c>
      <c r="AB160" t="s">
        <v>63</v>
      </c>
      <c r="AC160">
        <v>1</v>
      </c>
      <c r="AD160">
        <v>0.59172339999349699</v>
      </c>
      <c r="AE160" t="s">
        <v>51</v>
      </c>
      <c r="AJ160">
        <v>2</v>
      </c>
      <c r="AK160">
        <v>1</v>
      </c>
      <c r="AL160" t="s">
        <v>80</v>
      </c>
      <c r="AM160" t="s">
        <v>43</v>
      </c>
      <c r="AO160" t="s">
        <v>44</v>
      </c>
      <c r="AP160">
        <v>59.456390224006398</v>
      </c>
      <c r="AQ160" t="s">
        <v>81</v>
      </c>
    </row>
    <row r="161" spans="1:43" x14ac:dyDescent="0.3">
      <c r="A161" t="s">
        <v>55</v>
      </c>
      <c r="B161" t="s">
        <v>47</v>
      </c>
      <c r="C161" t="s">
        <v>56</v>
      </c>
      <c r="D161" t="s">
        <v>49</v>
      </c>
      <c r="E161" t="s">
        <v>57</v>
      </c>
      <c r="F161">
        <v>158</v>
      </c>
      <c r="G161">
        <v>18</v>
      </c>
      <c r="H161">
        <v>7</v>
      </c>
      <c r="I161" t="s">
        <v>57</v>
      </c>
      <c r="J161">
        <v>1</v>
      </c>
      <c r="K161">
        <v>0.73651009995955896</v>
      </c>
      <c r="L161" t="s">
        <v>51</v>
      </c>
      <c r="M161">
        <v>7</v>
      </c>
      <c r="N161">
        <v>18</v>
      </c>
      <c r="O161">
        <v>158</v>
      </c>
      <c r="P161">
        <v>13</v>
      </c>
      <c r="Q161">
        <v>213.869790900032</v>
      </c>
      <c r="V161">
        <v>213.85859570000301</v>
      </c>
      <c r="W161">
        <v>213.869790900032</v>
      </c>
      <c r="X161">
        <v>214.36911960004301</v>
      </c>
      <c r="Y161">
        <v>214.36911960004301</v>
      </c>
      <c r="Z161">
        <v>214.36911960004301</v>
      </c>
      <c r="AA161">
        <v>215.10659580002499</v>
      </c>
      <c r="AB161" t="s">
        <v>57</v>
      </c>
      <c r="AC161">
        <v>1</v>
      </c>
      <c r="AD161">
        <v>0.73651009995955896</v>
      </c>
      <c r="AE161" t="s">
        <v>51</v>
      </c>
      <c r="AJ161">
        <v>2</v>
      </c>
      <c r="AK161">
        <v>1</v>
      </c>
      <c r="AL161" t="s">
        <v>80</v>
      </c>
      <c r="AM161" t="s">
        <v>43</v>
      </c>
      <c r="AO161" t="s">
        <v>44</v>
      </c>
      <c r="AP161">
        <v>59.456390224006398</v>
      </c>
      <c r="AQ161" t="s">
        <v>81</v>
      </c>
    </row>
    <row r="162" spans="1:43" x14ac:dyDescent="0.3">
      <c r="A162" t="s">
        <v>71</v>
      </c>
      <c r="B162" t="s">
        <v>47</v>
      </c>
      <c r="C162" t="s">
        <v>48</v>
      </c>
      <c r="D162" t="s">
        <v>49</v>
      </c>
      <c r="E162" t="s">
        <v>50</v>
      </c>
      <c r="F162">
        <v>159</v>
      </c>
      <c r="G162">
        <v>19</v>
      </c>
      <c r="H162">
        <v>7</v>
      </c>
      <c r="I162" t="s">
        <v>50</v>
      </c>
      <c r="J162">
        <v>1</v>
      </c>
      <c r="K162">
        <v>0.66750149999279496</v>
      </c>
      <c r="L162" t="s">
        <v>51</v>
      </c>
      <c r="M162">
        <v>7</v>
      </c>
      <c r="N162">
        <v>19</v>
      </c>
      <c r="O162">
        <v>159</v>
      </c>
      <c r="P162">
        <v>15</v>
      </c>
      <c r="Q162">
        <v>215.11950080003501</v>
      </c>
      <c r="V162">
        <v>215.10931630001801</v>
      </c>
      <c r="W162">
        <v>215.11950080003501</v>
      </c>
      <c r="X162">
        <v>215.61892700003199</v>
      </c>
      <c r="Y162">
        <v>215.61892700003199</v>
      </c>
      <c r="Z162">
        <v>215.61892700003199</v>
      </c>
      <c r="AA162">
        <v>216.29093210003299</v>
      </c>
      <c r="AB162" t="s">
        <v>50</v>
      </c>
      <c r="AC162">
        <v>1</v>
      </c>
      <c r="AD162">
        <v>0.66750149999279496</v>
      </c>
      <c r="AE162" t="s">
        <v>51</v>
      </c>
      <c r="AJ162">
        <v>2</v>
      </c>
      <c r="AK162">
        <v>1</v>
      </c>
      <c r="AL162" t="s">
        <v>80</v>
      </c>
      <c r="AM162" t="s">
        <v>43</v>
      </c>
      <c r="AO162" t="s">
        <v>44</v>
      </c>
      <c r="AP162">
        <v>59.456390224006398</v>
      </c>
      <c r="AQ162" t="s">
        <v>81</v>
      </c>
    </row>
    <row r="163" spans="1:43" x14ac:dyDescent="0.3">
      <c r="A163" t="s">
        <v>60</v>
      </c>
      <c r="B163" t="s">
        <v>59</v>
      </c>
      <c r="C163" t="s">
        <v>61</v>
      </c>
      <c r="D163" t="s">
        <v>62</v>
      </c>
      <c r="E163" t="s">
        <v>63</v>
      </c>
      <c r="F163">
        <v>160</v>
      </c>
      <c r="G163">
        <v>0</v>
      </c>
      <c r="H163">
        <v>8</v>
      </c>
      <c r="I163" t="s">
        <v>63</v>
      </c>
      <c r="J163">
        <v>1</v>
      </c>
      <c r="K163">
        <v>1.85576430003857</v>
      </c>
      <c r="L163" t="s">
        <v>51</v>
      </c>
      <c r="M163">
        <v>8</v>
      </c>
      <c r="N163">
        <v>0</v>
      </c>
      <c r="O163">
        <v>160</v>
      </c>
      <c r="P163">
        <v>0</v>
      </c>
      <c r="Q163">
        <v>216.302980900043</v>
      </c>
      <c r="V163">
        <v>216.29470250004599</v>
      </c>
      <c r="W163">
        <v>216.302980900043</v>
      </c>
      <c r="X163">
        <v>216.80221420002599</v>
      </c>
      <c r="Y163">
        <v>216.80221420002599</v>
      </c>
      <c r="Z163">
        <v>216.80221420002599</v>
      </c>
      <c r="AA163">
        <v>218.67254100000699</v>
      </c>
      <c r="AB163" t="s">
        <v>63</v>
      </c>
      <c r="AC163">
        <v>1</v>
      </c>
      <c r="AD163">
        <v>1.85576430003857</v>
      </c>
      <c r="AE163" t="s">
        <v>51</v>
      </c>
      <c r="AJ163">
        <v>2</v>
      </c>
      <c r="AK163">
        <v>1</v>
      </c>
      <c r="AL163" t="s">
        <v>80</v>
      </c>
      <c r="AM163" t="s">
        <v>43</v>
      </c>
      <c r="AO163" t="s">
        <v>44</v>
      </c>
      <c r="AP163">
        <v>59.456390224006398</v>
      </c>
      <c r="AQ163" t="s">
        <v>81</v>
      </c>
    </row>
    <row r="164" spans="1:43" x14ac:dyDescent="0.3">
      <c r="A164" t="s">
        <v>72</v>
      </c>
      <c r="B164" t="s">
        <v>59</v>
      </c>
      <c r="C164" t="s">
        <v>61</v>
      </c>
      <c r="D164" t="s">
        <v>62</v>
      </c>
      <c r="E164" t="s">
        <v>63</v>
      </c>
      <c r="F164">
        <v>161</v>
      </c>
      <c r="G164">
        <v>1</v>
      </c>
      <c r="H164">
        <v>8</v>
      </c>
      <c r="I164" t="s">
        <v>63</v>
      </c>
      <c r="J164">
        <v>1</v>
      </c>
      <c r="K164">
        <v>0.48277900001266899</v>
      </c>
      <c r="L164" t="s">
        <v>51</v>
      </c>
      <c r="M164">
        <v>8</v>
      </c>
      <c r="N164">
        <v>1</v>
      </c>
      <c r="O164">
        <v>161</v>
      </c>
      <c r="P164">
        <v>8</v>
      </c>
      <c r="Q164">
        <v>218.68566930002899</v>
      </c>
      <c r="V164">
        <v>218.67520540003801</v>
      </c>
      <c r="W164">
        <v>218.68566930002899</v>
      </c>
      <c r="X164">
        <v>219.185435900057</v>
      </c>
      <c r="Y164">
        <v>219.185435900057</v>
      </c>
      <c r="Z164">
        <v>219.185435900057</v>
      </c>
      <c r="AA164">
        <v>219.67235280002899</v>
      </c>
      <c r="AB164" t="s">
        <v>63</v>
      </c>
      <c r="AC164">
        <v>1</v>
      </c>
      <c r="AD164">
        <v>0.48277900001266899</v>
      </c>
      <c r="AE164" t="s">
        <v>51</v>
      </c>
      <c r="AJ164">
        <v>2</v>
      </c>
      <c r="AK164">
        <v>1</v>
      </c>
      <c r="AL164" t="s">
        <v>80</v>
      </c>
      <c r="AM164" t="s">
        <v>43</v>
      </c>
      <c r="AO164" t="s">
        <v>44</v>
      </c>
      <c r="AP164">
        <v>59.456390224006398</v>
      </c>
      <c r="AQ164" t="s">
        <v>81</v>
      </c>
    </row>
    <row r="165" spans="1:43" x14ac:dyDescent="0.3">
      <c r="A165" t="s">
        <v>46</v>
      </c>
      <c r="B165" t="s">
        <v>47</v>
      </c>
      <c r="C165" t="s">
        <v>48</v>
      </c>
      <c r="D165" t="s">
        <v>49</v>
      </c>
      <c r="E165" t="s">
        <v>50</v>
      </c>
      <c r="F165">
        <v>162</v>
      </c>
      <c r="G165">
        <v>2</v>
      </c>
      <c r="H165">
        <v>8</v>
      </c>
      <c r="I165" t="s">
        <v>50</v>
      </c>
      <c r="J165">
        <v>1</v>
      </c>
      <c r="K165">
        <v>0.71882810001261499</v>
      </c>
      <c r="L165" t="s">
        <v>51</v>
      </c>
      <c r="M165">
        <v>8</v>
      </c>
      <c r="N165">
        <v>2</v>
      </c>
      <c r="O165">
        <v>162</v>
      </c>
      <c r="P165">
        <v>19</v>
      </c>
      <c r="Q165">
        <v>219.68550740001899</v>
      </c>
      <c r="V165">
        <v>219.675613900006</v>
      </c>
      <c r="W165">
        <v>219.68550740001899</v>
      </c>
      <c r="X165">
        <v>220.18542410002499</v>
      </c>
      <c r="Y165">
        <v>220.18542410002499</v>
      </c>
      <c r="Z165">
        <v>220.18542410002499</v>
      </c>
      <c r="AA165">
        <v>220.90658270002999</v>
      </c>
      <c r="AB165" t="s">
        <v>50</v>
      </c>
      <c r="AC165">
        <v>1</v>
      </c>
      <c r="AD165">
        <v>0.71882810001261499</v>
      </c>
      <c r="AE165" t="s">
        <v>51</v>
      </c>
      <c r="AJ165">
        <v>2</v>
      </c>
      <c r="AK165">
        <v>1</v>
      </c>
      <c r="AL165" t="s">
        <v>80</v>
      </c>
      <c r="AM165" t="s">
        <v>43</v>
      </c>
      <c r="AO165" t="s">
        <v>44</v>
      </c>
      <c r="AP165">
        <v>59.456390224006398</v>
      </c>
      <c r="AQ165" t="s">
        <v>81</v>
      </c>
    </row>
    <row r="166" spans="1:43" x14ac:dyDescent="0.3">
      <c r="A166" t="s">
        <v>58</v>
      </c>
      <c r="B166" t="s">
        <v>59</v>
      </c>
      <c r="C166" t="s">
        <v>48</v>
      </c>
      <c r="D166" t="s">
        <v>49</v>
      </c>
      <c r="E166" t="s">
        <v>50</v>
      </c>
      <c r="F166">
        <v>163</v>
      </c>
      <c r="G166">
        <v>3</v>
      </c>
      <c r="H166">
        <v>8</v>
      </c>
      <c r="I166" t="s">
        <v>50</v>
      </c>
      <c r="J166">
        <v>1</v>
      </c>
      <c r="K166">
        <v>0.46994149999227303</v>
      </c>
      <c r="L166" t="s">
        <v>51</v>
      </c>
      <c r="M166">
        <v>8</v>
      </c>
      <c r="N166">
        <v>3</v>
      </c>
      <c r="O166">
        <v>163</v>
      </c>
      <c r="P166">
        <v>7</v>
      </c>
      <c r="Q166">
        <v>220.918467300012</v>
      </c>
      <c r="V166">
        <v>220.90991360001499</v>
      </c>
      <c r="W166">
        <v>220.918467300012</v>
      </c>
      <c r="X166">
        <v>221.41935860004699</v>
      </c>
      <c r="Y166">
        <v>221.41935860004699</v>
      </c>
      <c r="Z166">
        <v>221.41935860004699</v>
      </c>
      <c r="AA166">
        <v>221.88994480000099</v>
      </c>
      <c r="AB166" t="s">
        <v>50</v>
      </c>
      <c r="AC166">
        <v>1</v>
      </c>
      <c r="AD166">
        <v>0.46994149999227303</v>
      </c>
      <c r="AE166" t="s">
        <v>51</v>
      </c>
      <c r="AJ166">
        <v>2</v>
      </c>
      <c r="AK166">
        <v>1</v>
      </c>
      <c r="AL166" t="s">
        <v>80</v>
      </c>
      <c r="AM166" t="s">
        <v>43</v>
      </c>
      <c r="AO166" t="s">
        <v>44</v>
      </c>
      <c r="AP166">
        <v>59.456390224006398</v>
      </c>
      <c r="AQ166" t="s">
        <v>81</v>
      </c>
    </row>
    <row r="167" spans="1:43" x14ac:dyDescent="0.3">
      <c r="A167" t="s">
        <v>69</v>
      </c>
      <c r="B167" t="s">
        <v>59</v>
      </c>
      <c r="C167" t="s">
        <v>56</v>
      </c>
      <c r="D167" t="s">
        <v>49</v>
      </c>
      <c r="E167" t="s">
        <v>57</v>
      </c>
      <c r="F167">
        <v>164</v>
      </c>
      <c r="G167">
        <v>4</v>
      </c>
      <c r="H167">
        <v>8</v>
      </c>
      <c r="I167" t="s">
        <v>57</v>
      </c>
      <c r="J167">
        <v>1</v>
      </c>
      <c r="K167">
        <v>0.90960420004557796</v>
      </c>
      <c r="L167" t="s">
        <v>51</v>
      </c>
      <c r="M167">
        <v>8</v>
      </c>
      <c r="N167">
        <v>4</v>
      </c>
      <c r="O167">
        <v>164</v>
      </c>
      <c r="P167">
        <v>5</v>
      </c>
      <c r="Q167">
        <v>221.90229600004301</v>
      </c>
      <c r="V167">
        <v>221.892720700008</v>
      </c>
      <c r="W167">
        <v>221.90229600004301</v>
      </c>
      <c r="X167">
        <v>222.40236990002401</v>
      </c>
      <c r="Y167">
        <v>222.40236990002401</v>
      </c>
      <c r="Z167">
        <v>222.40236990002401</v>
      </c>
      <c r="AA167">
        <v>223.322904500004</v>
      </c>
      <c r="AB167" t="s">
        <v>57</v>
      </c>
      <c r="AC167">
        <v>1</v>
      </c>
      <c r="AD167">
        <v>0.90960420004557796</v>
      </c>
      <c r="AE167" t="s">
        <v>51</v>
      </c>
      <c r="AJ167">
        <v>2</v>
      </c>
      <c r="AK167">
        <v>1</v>
      </c>
      <c r="AL167" t="s">
        <v>80</v>
      </c>
      <c r="AM167" t="s">
        <v>43</v>
      </c>
      <c r="AO167" t="s">
        <v>44</v>
      </c>
      <c r="AP167">
        <v>59.456390224006398</v>
      </c>
      <c r="AQ167" t="s">
        <v>81</v>
      </c>
    </row>
    <row r="168" spans="1:43" x14ac:dyDescent="0.3">
      <c r="A168" t="s">
        <v>65</v>
      </c>
      <c r="B168" t="s">
        <v>59</v>
      </c>
      <c r="C168" t="s">
        <v>56</v>
      </c>
      <c r="D168" t="s">
        <v>49</v>
      </c>
      <c r="E168" t="s">
        <v>57</v>
      </c>
      <c r="F168">
        <v>165</v>
      </c>
      <c r="G168">
        <v>5</v>
      </c>
      <c r="H168">
        <v>8</v>
      </c>
      <c r="I168" t="s">
        <v>57</v>
      </c>
      <c r="J168">
        <v>1</v>
      </c>
      <c r="K168">
        <v>0.45013989997096299</v>
      </c>
      <c r="L168" t="s">
        <v>51</v>
      </c>
      <c r="M168">
        <v>8</v>
      </c>
      <c r="N168">
        <v>5</v>
      </c>
      <c r="O168">
        <v>165</v>
      </c>
      <c r="P168">
        <v>9</v>
      </c>
      <c r="Q168">
        <v>223.33562900003699</v>
      </c>
      <c r="V168">
        <v>223.32675500004501</v>
      </c>
      <c r="W168">
        <v>223.33562900003699</v>
      </c>
      <c r="X168">
        <v>223.83591890003299</v>
      </c>
      <c r="Y168">
        <v>223.83591890003299</v>
      </c>
      <c r="Z168">
        <v>223.83591890003299</v>
      </c>
      <c r="AA168">
        <v>224.289370100013</v>
      </c>
      <c r="AB168" t="s">
        <v>57</v>
      </c>
      <c r="AC168">
        <v>1</v>
      </c>
      <c r="AD168">
        <v>0.45013989997096299</v>
      </c>
      <c r="AE168" t="s">
        <v>51</v>
      </c>
      <c r="AJ168">
        <v>2</v>
      </c>
      <c r="AK168">
        <v>1</v>
      </c>
      <c r="AL168" t="s">
        <v>80</v>
      </c>
      <c r="AM168" t="s">
        <v>43</v>
      </c>
      <c r="AO168" t="s">
        <v>44</v>
      </c>
      <c r="AP168">
        <v>59.456390224006398</v>
      </c>
      <c r="AQ168" t="s">
        <v>81</v>
      </c>
    </row>
    <row r="169" spans="1:43" x14ac:dyDescent="0.3">
      <c r="A169" t="s">
        <v>68</v>
      </c>
      <c r="B169" t="s">
        <v>59</v>
      </c>
      <c r="C169" t="s">
        <v>53</v>
      </c>
      <c r="D169" t="s">
        <v>49</v>
      </c>
      <c r="E169" t="s">
        <v>54</v>
      </c>
      <c r="F169">
        <v>166</v>
      </c>
      <c r="G169">
        <v>6</v>
      </c>
      <c r="H169">
        <v>8</v>
      </c>
      <c r="I169" t="s">
        <v>54</v>
      </c>
      <c r="J169">
        <v>1</v>
      </c>
      <c r="K169">
        <v>1.08619559998624</v>
      </c>
      <c r="L169" t="s">
        <v>51</v>
      </c>
      <c r="M169">
        <v>8</v>
      </c>
      <c r="N169">
        <v>6</v>
      </c>
      <c r="O169">
        <v>166</v>
      </c>
      <c r="P169">
        <v>6</v>
      </c>
      <c r="Q169">
        <v>224.302329700032</v>
      </c>
      <c r="V169">
        <v>224.29205610003501</v>
      </c>
      <c r="W169">
        <v>224.302329700032</v>
      </c>
      <c r="X169">
        <v>224.80409950000401</v>
      </c>
      <c r="Y169">
        <v>224.80409950000401</v>
      </c>
      <c r="Z169">
        <v>224.80409950000401</v>
      </c>
      <c r="AA169">
        <v>225.90594270004601</v>
      </c>
      <c r="AB169" t="s">
        <v>54</v>
      </c>
      <c r="AC169">
        <v>1</v>
      </c>
      <c r="AD169">
        <v>1.08619559998624</v>
      </c>
      <c r="AE169" t="s">
        <v>51</v>
      </c>
      <c r="AJ169">
        <v>2</v>
      </c>
      <c r="AK169">
        <v>1</v>
      </c>
      <c r="AL169" t="s">
        <v>80</v>
      </c>
      <c r="AM169" t="s">
        <v>43</v>
      </c>
      <c r="AO169" t="s">
        <v>44</v>
      </c>
      <c r="AP169">
        <v>59.456390224006398</v>
      </c>
      <c r="AQ169" t="s">
        <v>81</v>
      </c>
    </row>
    <row r="170" spans="1:43" x14ac:dyDescent="0.3">
      <c r="A170" t="s">
        <v>78</v>
      </c>
      <c r="B170" t="s">
        <v>47</v>
      </c>
      <c r="C170" t="s">
        <v>56</v>
      </c>
      <c r="D170" t="s">
        <v>49</v>
      </c>
      <c r="E170" t="s">
        <v>57</v>
      </c>
      <c r="F170">
        <v>167</v>
      </c>
      <c r="G170">
        <v>7</v>
      </c>
      <c r="H170">
        <v>8</v>
      </c>
      <c r="I170" t="s">
        <v>57</v>
      </c>
      <c r="J170">
        <v>1</v>
      </c>
      <c r="K170">
        <v>1.0770576000213601</v>
      </c>
      <c r="L170" t="s">
        <v>51</v>
      </c>
      <c r="M170">
        <v>8</v>
      </c>
      <c r="N170">
        <v>7</v>
      </c>
      <c r="O170">
        <v>167</v>
      </c>
      <c r="P170">
        <v>17</v>
      </c>
      <c r="Q170">
        <v>225.91803020000199</v>
      </c>
      <c r="V170">
        <v>225.908534800051</v>
      </c>
      <c r="W170">
        <v>225.91803020000199</v>
      </c>
      <c r="X170">
        <v>226.4175789</v>
      </c>
      <c r="Y170">
        <v>226.4175789</v>
      </c>
      <c r="Z170">
        <v>226.4175789</v>
      </c>
      <c r="AA170">
        <v>227.50598180002899</v>
      </c>
      <c r="AB170" t="s">
        <v>57</v>
      </c>
      <c r="AC170">
        <v>1</v>
      </c>
      <c r="AD170">
        <v>1.0770576000213601</v>
      </c>
      <c r="AE170" t="s">
        <v>51</v>
      </c>
      <c r="AJ170">
        <v>2</v>
      </c>
      <c r="AK170">
        <v>1</v>
      </c>
      <c r="AL170" t="s">
        <v>80</v>
      </c>
      <c r="AM170" t="s">
        <v>43</v>
      </c>
      <c r="AO170" t="s">
        <v>44</v>
      </c>
      <c r="AP170">
        <v>59.456390224006398</v>
      </c>
      <c r="AQ170" t="s">
        <v>81</v>
      </c>
    </row>
    <row r="171" spans="1:43" x14ac:dyDescent="0.3">
      <c r="A171" t="s">
        <v>76</v>
      </c>
      <c r="B171" t="s">
        <v>59</v>
      </c>
      <c r="C171" t="s">
        <v>48</v>
      </c>
      <c r="D171" t="s">
        <v>49</v>
      </c>
      <c r="E171" t="s">
        <v>50</v>
      </c>
      <c r="F171">
        <v>168</v>
      </c>
      <c r="G171">
        <v>8</v>
      </c>
      <c r="H171">
        <v>8</v>
      </c>
      <c r="I171" t="s">
        <v>50</v>
      </c>
      <c r="J171">
        <v>1</v>
      </c>
      <c r="K171">
        <v>0.88449289998970904</v>
      </c>
      <c r="L171" t="s">
        <v>51</v>
      </c>
      <c r="M171">
        <v>8</v>
      </c>
      <c r="N171">
        <v>8</v>
      </c>
      <c r="O171">
        <v>168</v>
      </c>
      <c r="P171">
        <v>3</v>
      </c>
      <c r="Q171">
        <v>227.519411000015</v>
      </c>
      <c r="V171">
        <v>227.50859680003401</v>
      </c>
      <c r="W171">
        <v>227.519411000015</v>
      </c>
      <c r="X171">
        <v>228.01883590000199</v>
      </c>
      <c r="Y171">
        <v>228.01883590000199</v>
      </c>
      <c r="Z171">
        <v>228.01883590000199</v>
      </c>
      <c r="AA171">
        <v>228.906252000015</v>
      </c>
      <c r="AB171" t="s">
        <v>50</v>
      </c>
      <c r="AC171">
        <v>1</v>
      </c>
      <c r="AD171">
        <v>0.88449289998970904</v>
      </c>
      <c r="AE171" t="s">
        <v>51</v>
      </c>
      <c r="AJ171">
        <v>2</v>
      </c>
      <c r="AK171">
        <v>1</v>
      </c>
      <c r="AL171" t="s">
        <v>80</v>
      </c>
      <c r="AM171" t="s">
        <v>43</v>
      </c>
      <c r="AO171" t="s">
        <v>44</v>
      </c>
      <c r="AP171">
        <v>59.456390224006398</v>
      </c>
      <c r="AQ171" t="s">
        <v>81</v>
      </c>
    </row>
    <row r="172" spans="1:43" x14ac:dyDescent="0.3">
      <c r="A172" t="s">
        <v>70</v>
      </c>
      <c r="B172" t="s">
        <v>59</v>
      </c>
      <c r="C172" t="s">
        <v>53</v>
      </c>
      <c r="D172" t="s">
        <v>49</v>
      </c>
      <c r="E172" t="s">
        <v>54</v>
      </c>
      <c r="F172">
        <v>169</v>
      </c>
      <c r="G172">
        <v>9</v>
      </c>
      <c r="H172">
        <v>8</v>
      </c>
      <c r="I172" t="s">
        <v>54</v>
      </c>
      <c r="J172">
        <v>1</v>
      </c>
      <c r="K172">
        <v>0.88714299997081902</v>
      </c>
      <c r="L172" t="s">
        <v>51</v>
      </c>
      <c r="M172">
        <v>8</v>
      </c>
      <c r="N172">
        <v>9</v>
      </c>
      <c r="O172">
        <v>169</v>
      </c>
      <c r="P172">
        <v>2</v>
      </c>
      <c r="Q172">
        <v>228.918582100013</v>
      </c>
      <c r="V172">
        <v>228.90921840001801</v>
      </c>
      <c r="W172">
        <v>228.918582100013</v>
      </c>
      <c r="X172">
        <v>229.419011800026</v>
      </c>
      <c r="Y172">
        <v>229.419011800026</v>
      </c>
      <c r="Z172">
        <v>229.419011800026</v>
      </c>
      <c r="AA172">
        <v>230.322398300049</v>
      </c>
      <c r="AB172" t="s">
        <v>54</v>
      </c>
      <c r="AC172">
        <v>1</v>
      </c>
      <c r="AD172">
        <v>0.88714299997081902</v>
      </c>
      <c r="AE172" t="s">
        <v>51</v>
      </c>
      <c r="AJ172">
        <v>2</v>
      </c>
      <c r="AK172">
        <v>1</v>
      </c>
      <c r="AL172" t="s">
        <v>80</v>
      </c>
      <c r="AM172" t="s">
        <v>43</v>
      </c>
      <c r="AO172" t="s">
        <v>44</v>
      </c>
      <c r="AP172">
        <v>59.456390224006398</v>
      </c>
      <c r="AQ172" t="s">
        <v>81</v>
      </c>
    </row>
    <row r="173" spans="1:43" x14ac:dyDescent="0.3">
      <c r="A173" t="s">
        <v>73</v>
      </c>
      <c r="B173" t="s">
        <v>59</v>
      </c>
      <c r="C173" t="s">
        <v>56</v>
      </c>
      <c r="D173" t="s">
        <v>49</v>
      </c>
      <c r="E173" t="s">
        <v>57</v>
      </c>
      <c r="F173">
        <v>170</v>
      </c>
      <c r="G173">
        <v>10</v>
      </c>
      <c r="H173">
        <v>8</v>
      </c>
      <c r="I173" t="s">
        <v>57</v>
      </c>
      <c r="J173">
        <v>1</v>
      </c>
      <c r="K173">
        <v>1.0292747999774201</v>
      </c>
      <c r="L173" t="s">
        <v>51</v>
      </c>
      <c r="M173">
        <v>8</v>
      </c>
      <c r="N173">
        <v>10</v>
      </c>
      <c r="O173">
        <v>170</v>
      </c>
      <c r="P173">
        <v>1</v>
      </c>
      <c r="Q173">
        <v>230.33515160001099</v>
      </c>
      <c r="V173">
        <v>230.32485980005001</v>
      </c>
      <c r="W173">
        <v>230.33515160001099</v>
      </c>
      <c r="X173">
        <v>230.835717900015</v>
      </c>
      <c r="Y173">
        <v>230.835717900015</v>
      </c>
      <c r="Z173">
        <v>230.835717900015</v>
      </c>
      <c r="AA173">
        <v>231.87258030002701</v>
      </c>
      <c r="AB173" t="s">
        <v>57</v>
      </c>
      <c r="AC173">
        <v>1</v>
      </c>
      <c r="AD173">
        <v>1.0292747999774201</v>
      </c>
      <c r="AE173" t="s">
        <v>51</v>
      </c>
      <c r="AJ173">
        <v>2</v>
      </c>
      <c r="AK173">
        <v>1</v>
      </c>
      <c r="AL173" t="s">
        <v>80</v>
      </c>
      <c r="AM173" t="s">
        <v>43</v>
      </c>
      <c r="AO173" t="s">
        <v>44</v>
      </c>
      <c r="AP173">
        <v>59.456390224006398</v>
      </c>
      <c r="AQ173" t="s">
        <v>81</v>
      </c>
    </row>
    <row r="174" spans="1:43" x14ac:dyDescent="0.3">
      <c r="A174" t="s">
        <v>75</v>
      </c>
      <c r="B174" t="s">
        <v>47</v>
      </c>
      <c r="C174" t="s">
        <v>61</v>
      </c>
      <c r="D174" t="s">
        <v>49</v>
      </c>
      <c r="E174" t="s">
        <v>63</v>
      </c>
      <c r="F174">
        <v>171</v>
      </c>
      <c r="G174">
        <v>11</v>
      </c>
      <c r="H174">
        <v>8</v>
      </c>
      <c r="I174" t="s">
        <v>63</v>
      </c>
      <c r="J174">
        <v>1</v>
      </c>
      <c r="K174">
        <v>0.414121699985116</v>
      </c>
      <c r="L174" t="s">
        <v>51</v>
      </c>
      <c r="M174">
        <v>8</v>
      </c>
      <c r="N174">
        <v>11</v>
      </c>
      <c r="O174">
        <v>171</v>
      </c>
      <c r="P174">
        <v>16</v>
      </c>
      <c r="Q174">
        <v>231.88497470004901</v>
      </c>
      <c r="V174">
        <v>231.87526250001901</v>
      </c>
      <c r="W174">
        <v>231.88497470004901</v>
      </c>
      <c r="X174">
        <v>232.38523520005401</v>
      </c>
      <c r="Y174">
        <v>232.38523520005401</v>
      </c>
      <c r="Z174">
        <v>232.38523520005401</v>
      </c>
      <c r="AA174">
        <v>232.80640090000799</v>
      </c>
      <c r="AB174" t="s">
        <v>63</v>
      </c>
      <c r="AC174">
        <v>1</v>
      </c>
      <c r="AD174">
        <v>0.414121699985116</v>
      </c>
      <c r="AE174" t="s">
        <v>51</v>
      </c>
      <c r="AJ174">
        <v>2</v>
      </c>
      <c r="AK174">
        <v>1</v>
      </c>
      <c r="AL174" t="s">
        <v>80</v>
      </c>
      <c r="AM174" t="s">
        <v>43</v>
      </c>
      <c r="AO174" t="s">
        <v>44</v>
      </c>
      <c r="AP174">
        <v>59.456390224006398</v>
      </c>
      <c r="AQ174" t="s">
        <v>81</v>
      </c>
    </row>
    <row r="175" spans="1:43" x14ac:dyDescent="0.3">
      <c r="A175" t="s">
        <v>52</v>
      </c>
      <c r="B175" t="s">
        <v>47</v>
      </c>
      <c r="C175" t="s">
        <v>53</v>
      </c>
      <c r="D175" t="s">
        <v>49</v>
      </c>
      <c r="E175" t="s">
        <v>54</v>
      </c>
      <c r="F175">
        <v>172</v>
      </c>
      <c r="G175">
        <v>12</v>
      </c>
      <c r="H175">
        <v>8</v>
      </c>
      <c r="I175" t="s">
        <v>54</v>
      </c>
      <c r="J175">
        <v>1</v>
      </c>
      <c r="K175">
        <v>0.88678519998211403</v>
      </c>
      <c r="L175" t="s">
        <v>51</v>
      </c>
      <c r="M175">
        <v>8</v>
      </c>
      <c r="N175">
        <v>12</v>
      </c>
      <c r="O175">
        <v>172</v>
      </c>
      <c r="P175">
        <v>14</v>
      </c>
      <c r="Q175">
        <v>232.81876960000901</v>
      </c>
      <c r="V175">
        <v>232.80971000000099</v>
      </c>
      <c r="W175">
        <v>232.81876960000901</v>
      </c>
      <c r="X175">
        <v>233.31984340003601</v>
      </c>
      <c r="Y175">
        <v>233.31984340003601</v>
      </c>
      <c r="Z175">
        <v>233.31984340003601</v>
      </c>
      <c r="AA175">
        <v>234.221650700026</v>
      </c>
      <c r="AB175" t="s">
        <v>54</v>
      </c>
      <c r="AC175">
        <v>1</v>
      </c>
      <c r="AD175">
        <v>0.88678519998211403</v>
      </c>
      <c r="AE175" t="s">
        <v>51</v>
      </c>
      <c r="AJ175">
        <v>2</v>
      </c>
      <c r="AK175">
        <v>1</v>
      </c>
      <c r="AL175" t="s">
        <v>80</v>
      </c>
      <c r="AM175" t="s">
        <v>43</v>
      </c>
      <c r="AO175" t="s">
        <v>44</v>
      </c>
      <c r="AP175">
        <v>59.456390224006398</v>
      </c>
      <c r="AQ175" t="s">
        <v>81</v>
      </c>
    </row>
    <row r="176" spans="1:43" x14ac:dyDescent="0.3">
      <c r="A176" t="s">
        <v>64</v>
      </c>
      <c r="B176" t="s">
        <v>47</v>
      </c>
      <c r="C176" t="s">
        <v>53</v>
      </c>
      <c r="D176" t="s">
        <v>49</v>
      </c>
      <c r="E176" t="s">
        <v>54</v>
      </c>
      <c r="F176">
        <v>173</v>
      </c>
      <c r="G176">
        <v>13</v>
      </c>
      <c r="H176">
        <v>8</v>
      </c>
      <c r="I176" t="s">
        <v>54</v>
      </c>
      <c r="J176">
        <v>1</v>
      </c>
      <c r="K176">
        <v>0.46988819999387399</v>
      </c>
      <c r="L176" t="s">
        <v>51</v>
      </c>
      <c r="M176">
        <v>8</v>
      </c>
      <c r="N176">
        <v>13</v>
      </c>
      <c r="O176">
        <v>173</v>
      </c>
      <c r="P176">
        <v>18</v>
      </c>
      <c r="Q176">
        <v>234.235495000029</v>
      </c>
      <c r="V176">
        <v>234.22445630002699</v>
      </c>
      <c r="W176">
        <v>234.235495000029</v>
      </c>
      <c r="X176">
        <v>234.73554960003801</v>
      </c>
      <c r="Y176">
        <v>234.73554960003801</v>
      </c>
      <c r="Z176">
        <v>234.73554960003801</v>
      </c>
      <c r="AA176">
        <v>235.20758230000499</v>
      </c>
      <c r="AB176" t="s">
        <v>54</v>
      </c>
      <c r="AC176">
        <v>1</v>
      </c>
      <c r="AD176">
        <v>0.46988819999387399</v>
      </c>
      <c r="AE176" t="s">
        <v>51</v>
      </c>
      <c r="AJ176">
        <v>2</v>
      </c>
      <c r="AK176">
        <v>1</v>
      </c>
      <c r="AL176" t="s">
        <v>80</v>
      </c>
      <c r="AM176" t="s">
        <v>43</v>
      </c>
      <c r="AO176" t="s">
        <v>44</v>
      </c>
      <c r="AP176">
        <v>59.456390224006398</v>
      </c>
      <c r="AQ176" t="s">
        <v>81</v>
      </c>
    </row>
    <row r="177" spans="1:43" x14ac:dyDescent="0.3">
      <c r="A177" t="s">
        <v>77</v>
      </c>
      <c r="B177" t="s">
        <v>59</v>
      </c>
      <c r="C177" t="s">
        <v>61</v>
      </c>
      <c r="D177" t="s">
        <v>62</v>
      </c>
      <c r="E177" t="s">
        <v>63</v>
      </c>
      <c r="F177">
        <v>174</v>
      </c>
      <c r="G177">
        <v>14</v>
      </c>
      <c r="H177">
        <v>8</v>
      </c>
      <c r="I177" t="s">
        <v>63</v>
      </c>
      <c r="J177">
        <v>1</v>
      </c>
      <c r="K177">
        <v>2.7942560000228598</v>
      </c>
      <c r="L177" t="s">
        <v>51</v>
      </c>
      <c r="M177">
        <v>8</v>
      </c>
      <c r="N177">
        <v>14</v>
      </c>
      <c r="O177">
        <v>174</v>
      </c>
      <c r="P177">
        <v>4</v>
      </c>
      <c r="Q177">
        <v>235.218598700012</v>
      </c>
      <c r="V177">
        <v>235.21137400000501</v>
      </c>
      <c r="W177">
        <v>235.218598700012</v>
      </c>
      <c r="X177">
        <v>235.71831860003201</v>
      </c>
      <c r="Y177">
        <v>235.71831860003201</v>
      </c>
      <c r="Z177">
        <v>235.71831860003201</v>
      </c>
      <c r="AA177">
        <v>238.52225740003601</v>
      </c>
      <c r="AB177" t="s">
        <v>63</v>
      </c>
      <c r="AC177">
        <v>1</v>
      </c>
      <c r="AD177">
        <v>2.7942560000228598</v>
      </c>
      <c r="AE177" t="s">
        <v>51</v>
      </c>
      <c r="AJ177">
        <v>2</v>
      </c>
      <c r="AK177">
        <v>1</v>
      </c>
      <c r="AL177" t="s">
        <v>80</v>
      </c>
      <c r="AM177" t="s">
        <v>43</v>
      </c>
      <c r="AO177" t="s">
        <v>44</v>
      </c>
      <c r="AP177">
        <v>59.456390224006398</v>
      </c>
      <c r="AQ177" t="s">
        <v>81</v>
      </c>
    </row>
    <row r="178" spans="1:43" x14ac:dyDescent="0.3">
      <c r="A178" t="s">
        <v>66</v>
      </c>
      <c r="B178" t="s">
        <v>47</v>
      </c>
      <c r="C178" t="s">
        <v>61</v>
      </c>
      <c r="D178" t="s">
        <v>49</v>
      </c>
      <c r="E178" t="s">
        <v>63</v>
      </c>
      <c r="F178">
        <v>175</v>
      </c>
      <c r="G178">
        <v>15</v>
      </c>
      <c r="H178">
        <v>8</v>
      </c>
      <c r="I178" t="s">
        <v>63</v>
      </c>
      <c r="J178">
        <v>1</v>
      </c>
      <c r="K178">
        <v>0.52556430001277399</v>
      </c>
      <c r="L178" t="s">
        <v>51</v>
      </c>
      <c r="M178">
        <v>8</v>
      </c>
      <c r="N178">
        <v>15</v>
      </c>
      <c r="O178">
        <v>175</v>
      </c>
      <c r="P178">
        <v>12</v>
      </c>
      <c r="Q178">
        <v>238.53456810000301</v>
      </c>
      <c r="V178">
        <v>238.525142500002</v>
      </c>
      <c r="W178">
        <v>238.53456810000301</v>
      </c>
      <c r="X178">
        <v>239.034765300049</v>
      </c>
      <c r="Y178">
        <v>239.034765300049</v>
      </c>
      <c r="Z178">
        <v>239.034765300049</v>
      </c>
      <c r="AA178">
        <v>239.57245740003401</v>
      </c>
      <c r="AB178" t="s">
        <v>63</v>
      </c>
      <c r="AC178">
        <v>1</v>
      </c>
      <c r="AD178">
        <v>0.52556430001277399</v>
      </c>
      <c r="AE178" t="s">
        <v>51</v>
      </c>
      <c r="AJ178">
        <v>2</v>
      </c>
      <c r="AK178">
        <v>1</v>
      </c>
      <c r="AL178" t="s">
        <v>80</v>
      </c>
      <c r="AM178" t="s">
        <v>43</v>
      </c>
      <c r="AO178" t="s">
        <v>44</v>
      </c>
      <c r="AP178">
        <v>59.456390224006398</v>
      </c>
      <c r="AQ178" t="s">
        <v>81</v>
      </c>
    </row>
    <row r="179" spans="1:43" x14ac:dyDescent="0.3">
      <c r="A179" t="s">
        <v>55</v>
      </c>
      <c r="B179" t="s">
        <v>47</v>
      </c>
      <c r="C179" t="s">
        <v>56</v>
      </c>
      <c r="D179" t="s">
        <v>49</v>
      </c>
      <c r="E179" t="s">
        <v>57</v>
      </c>
      <c r="F179">
        <v>176</v>
      </c>
      <c r="G179">
        <v>16</v>
      </c>
      <c r="H179">
        <v>8</v>
      </c>
      <c r="I179" t="s">
        <v>57</v>
      </c>
      <c r="J179">
        <v>1</v>
      </c>
      <c r="K179">
        <v>0.73627629998372801</v>
      </c>
      <c r="L179" t="s">
        <v>51</v>
      </c>
      <c r="M179">
        <v>8</v>
      </c>
      <c r="N179">
        <v>16</v>
      </c>
      <c r="O179">
        <v>176</v>
      </c>
      <c r="P179">
        <v>13</v>
      </c>
      <c r="Q179">
        <v>239.58453190000699</v>
      </c>
      <c r="V179">
        <v>239.57506040000499</v>
      </c>
      <c r="W179">
        <v>239.58453190000699</v>
      </c>
      <c r="X179">
        <v>240.08440220000901</v>
      </c>
      <c r="Y179">
        <v>240.08440220000901</v>
      </c>
      <c r="Z179">
        <v>240.08440220000901</v>
      </c>
      <c r="AA179">
        <v>240.82224550005</v>
      </c>
      <c r="AB179" t="s">
        <v>57</v>
      </c>
      <c r="AC179">
        <v>1</v>
      </c>
      <c r="AD179">
        <v>0.73627629998372801</v>
      </c>
      <c r="AE179" t="s">
        <v>51</v>
      </c>
      <c r="AJ179">
        <v>2</v>
      </c>
      <c r="AK179">
        <v>1</v>
      </c>
      <c r="AL179" t="s">
        <v>80</v>
      </c>
      <c r="AM179" t="s">
        <v>43</v>
      </c>
      <c r="AO179" t="s">
        <v>44</v>
      </c>
      <c r="AP179">
        <v>59.456390224006398</v>
      </c>
      <c r="AQ179" t="s">
        <v>81</v>
      </c>
    </row>
    <row r="180" spans="1:43" x14ac:dyDescent="0.3">
      <c r="A180" t="s">
        <v>71</v>
      </c>
      <c r="B180" t="s">
        <v>47</v>
      </c>
      <c r="C180" t="s">
        <v>48</v>
      </c>
      <c r="D180" t="s">
        <v>49</v>
      </c>
      <c r="E180" t="s">
        <v>50</v>
      </c>
      <c r="F180">
        <v>177</v>
      </c>
      <c r="G180">
        <v>17</v>
      </c>
      <c r="H180">
        <v>8</v>
      </c>
      <c r="I180" t="s">
        <v>50</v>
      </c>
      <c r="J180">
        <v>1</v>
      </c>
      <c r="K180">
        <v>0.85483680001925599</v>
      </c>
      <c r="L180" t="s">
        <v>51</v>
      </c>
      <c r="M180">
        <v>8</v>
      </c>
      <c r="N180">
        <v>17</v>
      </c>
      <c r="O180">
        <v>177</v>
      </c>
      <c r="P180">
        <v>15</v>
      </c>
      <c r="Q180">
        <v>240.834599900001</v>
      </c>
      <c r="V180">
        <v>240.82597240002301</v>
      </c>
      <c r="W180">
        <v>240.834599900001</v>
      </c>
      <c r="X180">
        <v>241.33440300001499</v>
      </c>
      <c r="Y180">
        <v>241.33440300001499</v>
      </c>
      <c r="Z180">
        <v>241.33440300001499</v>
      </c>
      <c r="AA180">
        <v>242.20634820003701</v>
      </c>
      <c r="AB180" t="s">
        <v>50</v>
      </c>
      <c r="AC180">
        <v>1</v>
      </c>
      <c r="AD180">
        <v>0.85483680001925599</v>
      </c>
      <c r="AE180" t="s">
        <v>51</v>
      </c>
      <c r="AJ180">
        <v>2</v>
      </c>
      <c r="AK180">
        <v>1</v>
      </c>
      <c r="AL180" t="s">
        <v>80</v>
      </c>
      <c r="AM180" t="s">
        <v>43</v>
      </c>
      <c r="AO180" t="s">
        <v>44</v>
      </c>
      <c r="AP180">
        <v>59.456390224006398</v>
      </c>
      <c r="AQ180" t="s">
        <v>81</v>
      </c>
    </row>
    <row r="181" spans="1:43" x14ac:dyDescent="0.3">
      <c r="A181" t="s">
        <v>67</v>
      </c>
      <c r="B181" t="s">
        <v>47</v>
      </c>
      <c r="C181" t="s">
        <v>53</v>
      </c>
      <c r="D181" t="s">
        <v>49</v>
      </c>
      <c r="E181" t="s">
        <v>54</v>
      </c>
      <c r="F181">
        <v>178</v>
      </c>
      <c r="G181">
        <v>18</v>
      </c>
      <c r="H181">
        <v>8</v>
      </c>
      <c r="I181" t="s">
        <v>54</v>
      </c>
      <c r="J181">
        <v>1</v>
      </c>
      <c r="K181">
        <v>0.51073249999899395</v>
      </c>
      <c r="L181" t="s">
        <v>51</v>
      </c>
      <c r="M181">
        <v>8</v>
      </c>
      <c r="N181">
        <v>18</v>
      </c>
      <c r="O181">
        <v>178</v>
      </c>
      <c r="P181">
        <v>10</v>
      </c>
      <c r="Q181">
        <v>242.21779710001999</v>
      </c>
      <c r="V181">
        <v>242.208945700025</v>
      </c>
      <c r="W181">
        <v>242.21779710001999</v>
      </c>
      <c r="X181">
        <v>242.71871870005199</v>
      </c>
      <c r="Y181">
        <v>242.71871870005199</v>
      </c>
      <c r="Z181">
        <v>242.71871870005199</v>
      </c>
      <c r="AA181">
        <v>243.23828440002299</v>
      </c>
      <c r="AB181" t="s">
        <v>54</v>
      </c>
      <c r="AC181">
        <v>1</v>
      </c>
      <c r="AD181">
        <v>0.51073249999899395</v>
      </c>
      <c r="AE181" t="s">
        <v>51</v>
      </c>
      <c r="AJ181">
        <v>2</v>
      </c>
      <c r="AK181">
        <v>1</v>
      </c>
      <c r="AL181" t="s">
        <v>80</v>
      </c>
      <c r="AM181" t="s">
        <v>43</v>
      </c>
      <c r="AO181" t="s">
        <v>44</v>
      </c>
      <c r="AP181">
        <v>59.456390224006398</v>
      </c>
      <c r="AQ181" t="s">
        <v>81</v>
      </c>
    </row>
    <row r="182" spans="1:43" x14ac:dyDescent="0.3">
      <c r="A182" t="s">
        <v>74</v>
      </c>
      <c r="B182" t="s">
        <v>47</v>
      </c>
      <c r="C182" t="s">
        <v>48</v>
      </c>
      <c r="D182" t="s">
        <v>49</v>
      </c>
      <c r="E182" t="s">
        <v>50</v>
      </c>
      <c r="F182">
        <v>179</v>
      </c>
      <c r="G182">
        <v>19</v>
      </c>
      <c r="H182">
        <v>8</v>
      </c>
      <c r="I182" t="s">
        <v>54</v>
      </c>
      <c r="J182">
        <v>0</v>
      </c>
      <c r="K182">
        <v>0.501789200003258</v>
      </c>
      <c r="L182" t="s">
        <v>51</v>
      </c>
      <c r="M182">
        <v>8</v>
      </c>
      <c r="N182">
        <v>19</v>
      </c>
      <c r="O182">
        <v>179</v>
      </c>
      <c r="P182">
        <v>11</v>
      </c>
      <c r="Q182">
        <v>243.251383100054</v>
      </c>
      <c r="V182">
        <v>243.24096910003499</v>
      </c>
      <c r="W182">
        <v>243.251383100054</v>
      </c>
      <c r="X182">
        <v>243.75130590004801</v>
      </c>
      <c r="Y182">
        <v>243.75130590004801</v>
      </c>
      <c r="Z182">
        <v>243.75130590004801</v>
      </c>
      <c r="AA182">
        <v>244.255105500051</v>
      </c>
      <c r="AB182" t="s">
        <v>54</v>
      </c>
      <c r="AC182">
        <v>0</v>
      </c>
      <c r="AD182">
        <v>0.501789200003258</v>
      </c>
      <c r="AE182" t="s">
        <v>51</v>
      </c>
      <c r="AJ182">
        <v>2</v>
      </c>
      <c r="AK182">
        <v>1</v>
      </c>
      <c r="AL182" t="s">
        <v>80</v>
      </c>
      <c r="AM182" t="s">
        <v>43</v>
      </c>
      <c r="AO182" t="s">
        <v>44</v>
      </c>
      <c r="AP182">
        <v>59.456390224006398</v>
      </c>
      <c r="AQ182" t="s">
        <v>81</v>
      </c>
    </row>
    <row r="183" spans="1:43" x14ac:dyDescent="0.3">
      <c r="A183" t="s">
        <v>73</v>
      </c>
      <c r="B183" t="s">
        <v>59</v>
      </c>
      <c r="C183" t="s">
        <v>56</v>
      </c>
      <c r="D183" t="s">
        <v>49</v>
      </c>
      <c r="E183" t="s">
        <v>57</v>
      </c>
      <c r="F183">
        <v>180</v>
      </c>
      <c r="G183">
        <v>0</v>
      </c>
      <c r="H183">
        <v>9</v>
      </c>
      <c r="I183" t="s">
        <v>57</v>
      </c>
      <c r="J183">
        <v>1</v>
      </c>
      <c r="K183">
        <v>0.63615330000175097</v>
      </c>
      <c r="L183" t="s">
        <v>51</v>
      </c>
      <c r="M183">
        <v>9</v>
      </c>
      <c r="N183">
        <v>0</v>
      </c>
      <c r="O183">
        <v>180</v>
      </c>
      <c r="P183">
        <v>1</v>
      </c>
      <c r="Q183">
        <v>244.26774180005299</v>
      </c>
      <c r="V183">
        <v>244.25841760000901</v>
      </c>
      <c r="W183">
        <v>244.26774180005299</v>
      </c>
      <c r="X183">
        <v>244.767816500039</v>
      </c>
      <c r="Y183">
        <v>244.767816500039</v>
      </c>
      <c r="Z183">
        <v>244.767816500039</v>
      </c>
      <c r="AA183">
        <v>245.405259600025</v>
      </c>
      <c r="AB183" t="s">
        <v>57</v>
      </c>
      <c r="AC183">
        <v>1</v>
      </c>
      <c r="AD183">
        <v>0.63615330000175097</v>
      </c>
      <c r="AE183" t="s">
        <v>51</v>
      </c>
      <c r="AJ183">
        <v>2</v>
      </c>
      <c r="AK183">
        <v>1</v>
      </c>
      <c r="AL183" t="s">
        <v>80</v>
      </c>
      <c r="AM183" t="s">
        <v>43</v>
      </c>
      <c r="AO183" t="s">
        <v>44</v>
      </c>
      <c r="AP183">
        <v>59.456390224006398</v>
      </c>
      <c r="AQ183" t="s">
        <v>81</v>
      </c>
    </row>
    <row r="184" spans="1:43" x14ac:dyDescent="0.3">
      <c r="A184" t="s">
        <v>67</v>
      </c>
      <c r="B184" t="s">
        <v>47</v>
      </c>
      <c r="C184" t="s">
        <v>53</v>
      </c>
      <c r="D184" t="s">
        <v>49</v>
      </c>
      <c r="E184" t="s">
        <v>54</v>
      </c>
      <c r="F184">
        <v>181</v>
      </c>
      <c r="G184">
        <v>1</v>
      </c>
      <c r="H184">
        <v>9</v>
      </c>
      <c r="I184" t="s">
        <v>54</v>
      </c>
      <c r="J184">
        <v>1</v>
      </c>
      <c r="K184">
        <v>0.479904000007081</v>
      </c>
      <c r="L184" t="s">
        <v>51</v>
      </c>
      <c r="M184">
        <v>9</v>
      </c>
      <c r="N184">
        <v>1</v>
      </c>
      <c r="O184">
        <v>181</v>
      </c>
      <c r="P184">
        <v>10</v>
      </c>
      <c r="Q184">
        <v>245.41763860004701</v>
      </c>
      <c r="V184">
        <v>245.408256700029</v>
      </c>
      <c r="W184">
        <v>245.41763860004701</v>
      </c>
      <c r="X184">
        <v>245.918005600047</v>
      </c>
      <c r="Y184">
        <v>245.918005600047</v>
      </c>
      <c r="Z184">
        <v>245.918005600047</v>
      </c>
      <c r="AA184">
        <v>246.40562840003901</v>
      </c>
      <c r="AB184" t="s">
        <v>54</v>
      </c>
      <c r="AC184">
        <v>1</v>
      </c>
      <c r="AD184">
        <v>0.479904000007081</v>
      </c>
      <c r="AE184" t="s">
        <v>51</v>
      </c>
      <c r="AJ184">
        <v>2</v>
      </c>
      <c r="AK184">
        <v>1</v>
      </c>
      <c r="AL184" t="s">
        <v>80</v>
      </c>
      <c r="AM184" t="s">
        <v>43</v>
      </c>
      <c r="AO184" t="s">
        <v>44</v>
      </c>
      <c r="AP184">
        <v>59.456390224006398</v>
      </c>
      <c r="AQ184" t="s">
        <v>81</v>
      </c>
    </row>
    <row r="185" spans="1:43" x14ac:dyDescent="0.3">
      <c r="A185" t="s">
        <v>72</v>
      </c>
      <c r="B185" t="s">
        <v>59</v>
      </c>
      <c r="C185" t="s">
        <v>61</v>
      </c>
      <c r="D185" t="s">
        <v>62</v>
      </c>
      <c r="E185" t="s">
        <v>63</v>
      </c>
      <c r="F185">
        <v>182</v>
      </c>
      <c r="G185">
        <v>2</v>
      </c>
      <c r="H185">
        <v>9</v>
      </c>
      <c r="I185" t="s">
        <v>63</v>
      </c>
      <c r="J185">
        <v>1</v>
      </c>
      <c r="K185">
        <v>0.47373179998248799</v>
      </c>
      <c r="L185" t="s">
        <v>51</v>
      </c>
      <c r="M185">
        <v>9</v>
      </c>
      <c r="N185">
        <v>2</v>
      </c>
      <c r="O185">
        <v>182</v>
      </c>
      <c r="P185">
        <v>8</v>
      </c>
      <c r="Q185">
        <v>246.41814449999899</v>
      </c>
      <c r="V185">
        <v>246.40892040001901</v>
      </c>
      <c r="W185">
        <v>246.41814449999899</v>
      </c>
      <c r="X185">
        <v>246.91772870003399</v>
      </c>
      <c r="Y185">
        <v>246.91772870003399</v>
      </c>
      <c r="Z185">
        <v>246.91772870003399</v>
      </c>
      <c r="AA185">
        <v>247.404835300054</v>
      </c>
      <c r="AB185" t="s">
        <v>63</v>
      </c>
      <c r="AC185">
        <v>1</v>
      </c>
      <c r="AD185">
        <v>0.47373179998248799</v>
      </c>
      <c r="AE185" t="s">
        <v>51</v>
      </c>
      <c r="AJ185">
        <v>2</v>
      </c>
      <c r="AK185">
        <v>1</v>
      </c>
      <c r="AL185" t="s">
        <v>80</v>
      </c>
      <c r="AM185" t="s">
        <v>43</v>
      </c>
      <c r="AO185" t="s">
        <v>44</v>
      </c>
      <c r="AP185">
        <v>59.456390224006398</v>
      </c>
      <c r="AQ185" t="s">
        <v>81</v>
      </c>
    </row>
    <row r="186" spans="1:43" x14ac:dyDescent="0.3">
      <c r="A186" t="s">
        <v>65</v>
      </c>
      <c r="B186" t="s">
        <v>59</v>
      </c>
      <c r="C186" t="s">
        <v>56</v>
      </c>
      <c r="D186" t="s">
        <v>49</v>
      </c>
      <c r="E186" t="s">
        <v>57</v>
      </c>
      <c r="F186">
        <v>183</v>
      </c>
      <c r="G186">
        <v>3</v>
      </c>
      <c r="H186">
        <v>9</v>
      </c>
      <c r="I186" t="s">
        <v>57</v>
      </c>
      <c r="J186">
        <v>1</v>
      </c>
      <c r="K186">
        <v>0.78281179995974504</v>
      </c>
      <c r="L186" t="s">
        <v>51</v>
      </c>
      <c r="M186">
        <v>9</v>
      </c>
      <c r="N186">
        <v>3</v>
      </c>
      <c r="O186">
        <v>183</v>
      </c>
      <c r="P186">
        <v>9</v>
      </c>
      <c r="Q186">
        <v>247.41761840000899</v>
      </c>
      <c r="V186">
        <v>247.408100200002</v>
      </c>
      <c r="W186">
        <v>247.41761840000899</v>
      </c>
      <c r="X186">
        <v>247.91753450001099</v>
      </c>
      <c r="Y186">
        <v>247.91753450001099</v>
      </c>
      <c r="Z186">
        <v>247.91753450001099</v>
      </c>
      <c r="AA186">
        <v>248.7050591</v>
      </c>
      <c r="AB186" t="s">
        <v>57</v>
      </c>
      <c r="AC186">
        <v>1</v>
      </c>
      <c r="AD186">
        <v>0.78281179995974504</v>
      </c>
      <c r="AE186" t="s">
        <v>51</v>
      </c>
      <c r="AJ186">
        <v>2</v>
      </c>
      <c r="AK186">
        <v>1</v>
      </c>
      <c r="AL186" t="s">
        <v>80</v>
      </c>
      <c r="AM186" t="s">
        <v>43</v>
      </c>
      <c r="AO186" t="s">
        <v>44</v>
      </c>
      <c r="AP186">
        <v>59.456390224006398</v>
      </c>
      <c r="AQ186" t="s">
        <v>81</v>
      </c>
    </row>
    <row r="187" spans="1:43" x14ac:dyDescent="0.3">
      <c r="A187" t="s">
        <v>77</v>
      </c>
      <c r="B187" t="s">
        <v>59</v>
      </c>
      <c r="C187" t="s">
        <v>61</v>
      </c>
      <c r="D187" t="s">
        <v>62</v>
      </c>
      <c r="E187" t="s">
        <v>63</v>
      </c>
      <c r="F187">
        <v>184</v>
      </c>
      <c r="G187">
        <v>4</v>
      </c>
      <c r="H187">
        <v>9</v>
      </c>
      <c r="I187" t="s">
        <v>63</v>
      </c>
      <c r="J187">
        <v>1</v>
      </c>
      <c r="K187">
        <v>0.57756989996414598</v>
      </c>
      <c r="L187" t="s">
        <v>51</v>
      </c>
      <c r="M187">
        <v>9</v>
      </c>
      <c r="N187">
        <v>4</v>
      </c>
      <c r="O187">
        <v>184</v>
      </c>
      <c r="P187">
        <v>4</v>
      </c>
      <c r="Q187">
        <v>248.71758180001001</v>
      </c>
      <c r="V187">
        <v>248.70758770004599</v>
      </c>
      <c r="W187">
        <v>248.71758180001001</v>
      </c>
      <c r="X187">
        <v>249.21756980003499</v>
      </c>
      <c r="Y187">
        <v>249.21756980003499</v>
      </c>
      <c r="Z187">
        <v>249.21756980003499</v>
      </c>
      <c r="AA187">
        <v>249.80562620004599</v>
      </c>
      <c r="AB187" t="s">
        <v>63</v>
      </c>
      <c r="AC187">
        <v>1</v>
      </c>
      <c r="AD187">
        <v>0.57756989996414598</v>
      </c>
      <c r="AE187" t="s">
        <v>51</v>
      </c>
      <c r="AJ187">
        <v>2</v>
      </c>
      <c r="AK187">
        <v>1</v>
      </c>
      <c r="AL187" t="s">
        <v>80</v>
      </c>
      <c r="AM187" t="s">
        <v>43</v>
      </c>
      <c r="AO187" t="s">
        <v>44</v>
      </c>
      <c r="AP187">
        <v>59.456390224006398</v>
      </c>
      <c r="AQ187" t="s">
        <v>81</v>
      </c>
    </row>
    <row r="188" spans="1:43" x14ac:dyDescent="0.3">
      <c r="A188" t="s">
        <v>74</v>
      </c>
      <c r="B188" t="s">
        <v>47</v>
      </c>
      <c r="C188" t="s">
        <v>48</v>
      </c>
      <c r="D188" t="s">
        <v>49</v>
      </c>
      <c r="E188" t="s">
        <v>50</v>
      </c>
      <c r="F188">
        <v>185</v>
      </c>
      <c r="G188">
        <v>5</v>
      </c>
      <c r="H188">
        <v>9</v>
      </c>
      <c r="I188" t="s">
        <v>50</v>
      </c>
      <c r="J188">
        <v>1</v>
      </c>
      <c r="K188">
        <v>0.677247500047087</v>
      </c>
      <c r="L188" t="s">
        <v>51</v>
      </c>
      <c r="M188">
        <v>9</v>
      </c>
      <c r="N188">
        <v>5</v>
      </c>
      <c r="O188">
        <v>185</v>
      </c>
      <c r="P188">
        <v>11</v>
      </c>
      <c r="Q188">
        <v>249.817389200034</v>
      </c>
      <c r="V188">
        <v>249.80885260004999</v>
      </c>
      <c r="W188">
        <v>249.817389200034</v>
      </c>
      <c r="X188">
        <v>250.319340300047</v>
      </c>
      <c r="Y188">
        <v>250.319340300047</v>
      </c>
      <c r="Z188">
        <v>250.319340300047</v>
      </c>
      <c r="AA188">
        <v>251.004545400035</v>
      </c>
      <c r="AB188" t="s">
        <v>50</v>
      </c>
      <c r="AC188">
        <v>1</v>
      </c>
      <c r="AD188">
        <v>0.677247500047087</v>
      </c>
      <c r="AE188" t="s">
        <v>51</v>
      </c>
      <c r="AJ188">
        <v>2</v>
      </c>
      <c r="AK188">
        <v>1</v>
      </c>
      <c r="AL188" t="s">
        <v>80</v>
      </c>
      <c r="AM188" t="s">
        <v>43</v>
      </c>
      <c r="AO188" t="s">
        <v>44</v>
      </c>
      <c r="AP188">
        <v>59.456390224006398</v>
      </c>
      <c r="AQ188" t="s">
        <v>81</v>
      </c>
    </row>
    <row r="189" spans="1:43" x14ac:dyDescent="0.3">
      <c r="A189" t="s">
        <v>60</v>
      </c>
      <c r="B189" t="s">
        <v>59</v>
      </c>
      <c r="C189" t="s">
        <v>61</v>
      </c>
      <c r="D189" t="s">
        <v>62</v>
      </c>
      <c r="E189" t="s">
        <v>63</v>
      </c>
      <c r="F189">
        <v>186</v>
      </c>
      <c r="G189">
        <v>6</v>
      </c>
      <c r="H189">
        <v>9</v>
      </c>
      <c r="I189" t="s">
        <v>63</v>
      </c>
      <c r="J189">
        <v>1</v>
      </c>
      <c r="K189">
        <v>0.59963830001652196</v>
      </c>
      <c r="L189" t="s">
        <v>51</v>
      </c>
      <c r="M189">
        <v>9</v>
      </c>
      <c r="N189">
        <v>6</v>
      </c>
      <c r="O189">
        <v>186</v>
      </c>
      <c r="P189">
        <v>0</v>
      </c>
      <c r="Q189">
        <v>251.017938400036</v>
      </c>
      <c r="V189">
        <v>251.00700000004099</v>
      </c>
      <c r="W189">
        <v>251.017938400036</v>
      </c>
      <c r="X189">
        <v>251.517678700038</v>
      </c>
      <c r="Y189">
        <v>251.517678700038</v>
      </c>
      <c r="Z189">
        <v>251.517678700038</v>
      </c>
      <c r="AA189">
        <v>252.1222558</v>
      </c>
      <c r="AB189" t="s">
        <v>63</v>
      </c>
      <c r="AC189">
        <v>1</v>
      </c>
      <c r="AD189">
        <v>0.59963830001652196</v>
      </c>
      <c r="AE189" t="s">
        <v>51</v>
      </c>
      <c r="AJ189">
        <v>2</v>
      </c>
      <c r="AK189">
        <v>1</v>
      </c>
      <c r="AL189" t="s">
        <v>80</v>
      </c>
      <c r="AM189" t="s">
        <v>43</v>
      </c>
      <c r="AO189" t="s">
        <v>44</v>
      </c>
      <c r="AP189">
        <v>59.456390224006398</v>
      </c>
      <c r="AQ189" t="s">
        <v>81</v>
      </c>
    </row>
    <row r="190" spans="1:43" x14ac:dyDescent="0.3">
      <c r="A190" t="s">
        <v>66</v>
      </c>
      <c r="B190" t="s">
        <v>47</v>
      </c>
      <c r="C190" t="s">
        <v>61</v>
      </c>
      <c r="D190" t="s">
        <v>49</v>
      </c>
      <c r="E190" t="s">
        <v>63</v>
      </c>
      <c r="F190">
        <v>187</v>
      </c>
      <c r="G190">
        <v>7</v>
      </c>
      <c r="H190">
        <v>9</v>
      </c>
      <c r="I190" t="s">
        <v>63</v>
      </c>
      <c r="J190">
        <v>1</v>
      </c>
      <c r="K190">
        <v>0.73268240003380902</v>
      </c>
      <c r="L190" t="s">
        <v>51</v>
      </c>
      <c r="M190">
        <v>9</v>
      </c>
      <c r="N190">
        <v>7</v>
      </c>
      <c r="O190">
        <v>187</v>
      </c>
      <c r="P190">
        <v>12</v>
      </c>
      <c r="Q190">
        <v>252.134257100056</v>
      </c>
      <c r="V190">
        <v>252.125017900019</v>
      </c>
      <c r="W190">
        <v>252.134257100056</v>
      </c>
      <c r="X190">
        <v>252.63538450002599</v>
      </c>
      <c r="Y190">
        <v>252.63538450002599</v>
      </c>
      <c r="Z190">
        <v>252.63538450002599</v>
      </c>
      <c r="AA190">
        <v>253.37213690002599</v>
      </c>
      <c r="AB190" t="s">
        <v>63</v>
      </c>
      <c r="AC190">
        <v>1</v>
      </c>
      <c r="AD190">
        <v>0.73268240003380902</v>
      </c>
      <c r="AE190" t="s">
        <v>51</v>
      </c>
      <c r="AJ190">
        <v>2</v>
      </c>
      <c r="AK190">
        <v>1</v>
      </c>
      <c r="AL190" t="s">
        <v>80</v>
      </c>
      <c r="AM190" t="s">
        <v>43</v>
      </c>
      <c r="AO190" t="s">
        <v>44</v>
      </c>
      <c r="AP190">
        <v>59.456390224006398</v>
      </c>
      <c r="AQ190" t="s">
        <v>81</v>
      </c>
    </row>
    <row r="191" spans="1:43" x14ac:dyDescent="0.3">
      <c r="A191" t="s">
        <v>76</v>
      </c>
      <c r="B191" t="s">
        <v>59</v>
      </c>
      <c r="C191" t="s">
        <v>48</v>
      </c>
      <c r="D191" t="s">
        <v>49</v>
      </c>
      <c r="E191" t="s">
        <v>50</v>
      </c>
      <c r="F191">
        <v>188</v>
      </c>
      <c r="G191">
        <v>8</v>
      </c>
      <c r="H191">
        <v>9</v>
      </c>
      <c r="I191" t="s">
        <v>50</v>
      </c>
      <c r="J191">
        <v>1</v>
      </c>
      <c r="K191">
        <v>1.1923820999800201</v>
      </c>
      <c r="L191" t="s">
        <v>51</v>
      </c>
      <c r="M191">
        <v>9</v>
      </c>
      <c r="N191">
        <v>8</v>
      </c>
      <c r="O191">
        <v>188</v>
      </c>
      <c r="P191">
        <v>3</v>
      </c>
      <c r="Q191">
        <v>253.384631300054</v>
      </c>
      <c r="V191">
        <v>253.37509700004</v>
      </c>
      <c r="W191">
        <v>253.384631300054</v>
      </c>
      <c r="X191">
        <v>253.88468529999901</v>
      </c>
      <c r="Y191">
        <v>253.88468529999901</v>
      </c>
      <c r="Z191">
        <v>253.88468529999901</v>
      </c>
      <c r="AA191">
        <v>255.08988150005399</v>
      </c>
      <c r="AB191" t="s">
        <v>50</v>
      </c>
      <c r="AC191">
        <v>1</v>
      </c>
      <c r="AD191">
        <v>1.1923820999800201</v>
      </c>
      <c r="AE191" t="s">
        <v>51</v>
      </c>
      <c r="AJ191">
        <v>2</v>
      </c>
      <c r="AK191">
        <v>1</v>
      </c>
      <c r="AL191" t="s">
        <v>80</v>
      </c>
      <c r="AM191" t="s">
        <v>43</v>
      </c>
      <c r="AO191" t="s">
        <v>44</v>
      </c>
      <c r="AP191">
        <v>59.456390224006398</v>
      </c>
      <c r="AQ191" t="s">
        <v>81</v>
      </c>
    </row>
    <row r="192" spans="1:43" x14ac:dyDescent="0.3">
      <c r="A192" t="s">
        <v>70</v>
      </c>
      <c r="B192" t="s">
        <v>59</v>
      </c>
      <c r="C192" t="s">
        <v>53</v>
      </c>
      <c r="D192" t="s">
        <v>49</v>
      </c>
      <c r="E192" t="s">
        <v>54</v>
      </c>
      <c r="F192">
        <v>189</v>
      </c>
      <c r="G192">
        <v>9</v>
      </c>
      <c r="H192">
        <v>9</v>
      </c>
      <c r="I192" t="s">
        <v>54</v>
      </c>
      <c r="J192">
        <v>1</v>
      </c>
      <c r="K192">
        <v>0.84972560004098296</v>
      </c>
      <c r="L192" t="s">
        <v>51</v>
      </c>
      <c r="M192">
        <v>9</v>
      </c>
      <c r="N192">
        <v>9</v>
      </c>
      <c r="O192">
        <v>189</v>
      </c>
      <c r="P192">
        <v>2</v>
      </c>
      <c r="Q192">
        <v>255.10275980003601</v>
      </c>
      <c r="V192">
        <v>255.094281000026</v>
      </c>
      <c r="W192">
        <v>255.10275980003601</v>
      </c>
      <c r="X192">
        <v>255.60094640002299</v>
      </c>
      <c r="Y192">
        <v>255.60094640002299</v>
      </c>
      <c r="Z192">
        <v>255.60094640002299</v>
      </c>
      <c r="AA192">
        <v>256.45477880001999</v>
      </c>
      <c r="AB192" t="s">
        <v>54</v>
      </c>
      <c r="AC192">
        <v>1</v>
      </c>
      <c r="AD192">
        <v>0.84972560004098296</v>
      </c>
      <c r="AE192" t="s">
        <v>51</v>
      </c>
      <c r="AJ192">
        <v>2</v>
      </c>
      <c r="AK192">
        <v>1</v>
      </c>
      <c r="AL192" t="s">
        <v>80</v>
      </c>
      <c r="AM192" t="s">
        <v>43</v>
      </c>
      <c r="AO192" t="s">
        <v>44</v>
      </c>
      <c r="AP192">
        <v>59.456390224006398</v>
      </c>
      <c r="AQ192" t="s">
        <v>81</v>
      </c>
    </row>
    <row r="193" spans="1:43" x14ac:dyDescent="0.3">
      <c r="A193" t="s">
        <v>78</v>
      </c>
      <c r="B193" t="s">
        <v>47</v>
      </c>
      <c r="C193" t="s">
        <v>56</v>
      </c>
      <c r="D193" t="s">
        <v>49</v>
      </c>
      <c r="E193" t="s">
        <v>57</v>
      </c>
      <c r="F193">
        <v>190</v>
      </c>
      <c r="G193">
        <v>10</v>
      </c>
      <c r="H193">
        <v>9</v>
      </c>
      <c r="I193" t="s">
        <v>57</v>
      </c>
      <c r="J193">
        <v>1</v>
      </c>
      <c r="K193">
        <v>0.70019579998916004</v>
      </c>
      <c r="L193" t="s">
        <v>51</v>
      </c>
      <c r="M193">
        <v>9</v>
      </c>
      <c r="N193">
        <v>10</v>
      </c>
      <c r="O193">
        <v>190</v>
      </c>
      <c r="P193">
        <v>17</v>
      </c>
      <c r="Q193">
        <v>256.46794660005202</v>
      </c>
      <c r="V193">
        <v>256.45785990002298</v>
      </c>
      <c r="W193">
        <v>256.46794660005202</v>
      </c>
      <c r="X193">
        <v>256.96736990002597</v>
      </c>
      <c r="Y193">
        <v>256.96736990002597</v>
      </c>
      <c r="Z193">
        <v>256.96736990002597</v>
      </c>
      <c r="AA193">
        <v>257.67163320002101</v>
      </c>
      <c r="AB193" t="s">
        <v>57</v>
      </c>
      <c r="AC193">
        <v>1</v>
      </c>
      <c r="AD193">
        <v>0.70019579998916004</v>
      </c>
      <c r="AE193" t="s">
        <v>51</v>
      </c>
      <c r="AJ193">
        <v>2</v>
      </c>
      <c r="AK193">
        <v>1</v>
      </c>
      <c r="AL193" t="s">
        <v>80</v>
      </c>
      <c r="AM193" t="s">
        <v>43</v>
      </c>
      <c r="AO193" t="s">
        <v>44</v>
      </c>
      <c r="AP193">
        <v>59.456390224006398</v>
      </c>
      <c r="AQ193" t="s">
        <v>81</v>
      </c>
    </row>
    <row r="194" spans="1:43" x14ac:dyDescent="0.3">
      <c r="A194" t="s">
        <v>75</v>
      </c>
      <c r="B194" t="s">
        <v>47</v>
      </c>
      <c r="C194" t="s">
        <v>61</v>
      </c>
      <c r="D194" t="s">
        <v>49</v>
      </c>
      <c r="E194" t="s">
        <v>63</v>
      </c>
      <c r="F194">
        <v>191</v>
      </c>
      <c r="G194">
        <v>11</v>
      </c>
      <c r="H194">
        <v>9</v>
      </c>
      <c r="I194" t="s">
        <v>63</v>
      </c>
      <c r="J194">
        <v>1</v>
      </c>
      <c r="K194">
        <v>2.4096240999642702</v>
      </c>
      <c r="L194" t="s">
        <v>51</v>
      </c>
      <c r="M194">
        <v>9</v>
      </c>
      <c r="N194">
        <v>11</v>
      </c>
      <c r="O194">
        <v>191</v>
      </c>
      <c r="P194">
        <v>16</v>
      </c>
      <c r="Q194">
        <v>257.683892100001</v>
      </c>
      <c r="V194">
        <v>257.67598160001199</v>
      </c>
      <c r="W194">
        <v>257.683892100001</v>
      </c>
      <c r="X194">
        <v>258.18398610001799</v>
      </c>
      <c r="Y194">
        <v>258.18398610001799</v>
      </c>
      <c r="Z194">
        <v>258.18398610001799</v>
      </c>
      <c r="AA194">
        <v>260.604537800012</v>
      </c>
      <c r="AB194" t="s">
        <v>63</v>
      </c>
      <c r="AC194">
        <v>1</v>
      </c>
      <c r="AD194">
        <v>2.4096240999642702</v>
      </c>
      <c r="AE194" t="s">
        <v>51</v>
      </c>
      <c r="AJ194">
        <v>2</v>
      </c>
      <c r="AK194">
        <v>1</v>
      </c>
      <c r="AL194" t="s">
        <v>80</v>
      </c>
      <c r="AM194" t="s">
        <v>43</v>
      </c>
      <c r="AO194" t="s">
        <v>44</v>
      </c>
      <c r="AP194">
        <v>59.456390224006398</v>
      </c>
      <c r="AQ194" t="s">
        <v>81</v>
      </c>
    </row>
    <row r="195" spans="1:43" x14ac:dyDescent="0.3">
      <c r="A195" t="s">
        <v>55</v>
      </c>
      <c r="B195" t="s">
        <v>47</v>
      </c>
      <c r="C195" t="s">
        <v>56</v>
      </c>
      <c r="D195" t="s">
        <v>49</v>
      </c>
      <c r="E195" t="s">
        <v>57</v>
      </c>
      <c r="F195">
        <v>192</v>
      </c>
      <c r="G195">
        <v>12</v>
      </c>
      <c r="H195">
        <v>9</v>
      </c>
      <c r="I195" t="s">
        <v>57</v>
      </c>
      <c r="J195">
        <v>1</v>
      </c>
      <c r="K195">
        <v>0.77311070001451299</v>
      </c>
      <c r="L195" t="s">
        <v>51</v>
      </c>
      <c r="M195">
        <v>9</v>
      </c>
      <c r="N195">
        <v>12</v>
      </c>
      <c r="O195">
        <v>192</v>
      </c>
      <c r="P195">
        <v>13</v>
      </c>
      <c r="Q195">
        <v>260.62015330005602</v>
      </c>
      <c r="V195">
        <v>260.60731890000102</v>
      </c>
      <c r="W195">
        <v>260.62015330005602</v>
      </c>
      <c r="X195">
        <v>261.11711150000298</v>
      </c>
      <c r="Y195">
        <v>261.11711150000298</v>
      </c>
      <c r="Z195">
        <v>261.11711150000298</v>
      </c>
      <c r="AA195">
        <v>261.90417920000601</v>
      </c>
      <c r="AB195" t="s">
        <v>57</v>
      </c>
      <c r="AC195">
        <v>1</v>
      </c>
      <c r="AD195">
        <v>0.77311070001451299</v>
      </c>
      <c r="AE195" t="s">
        <v>51</v>
      </c>
      <c r="AJ195">
        <v>2</v>
      </c>
      <c r="AK195">
        <v>1</v>
      </c>
      <c r="AL195" t="s">
        <v>80</v>
      </c>
      <c r="AM195" t="s">
        <v>43</v>
      </c>
      <c r="AO195" t="s">
        <v>44</v>
      </c>
      <c r="AP195">
        <v>59.456390224006398</v>
      </c>
      <c r="AQ195" t="s">
        <v>81</v>
      </c>
    </row>
    <row r="196" spans="1:43" x14ac:dyDescent="0.3">
      <c r="A196" t="s">
        <v>52</v>
      </c>
      <c r="B196" t="s">
        <v>47</v>
      </c>
      <c r="C196" t="s">
        <v>53</v>
      </c>
      <c r="D196" t="s">
        <v>49</v>
      </c>
      <c r="E196" t="s">
        <v>54</v>
      </c>
      <c r="F196">
        <v>193</v>
      </c>
      <c r="G196">
        <v>13</v>
      </c>
      <c r="H196">
        <v>9</v>
      </c>
      <c r="I196" t="s">
        <v>54</v>
      </c>
      <c r="J196">
        <v>1</v>
      </c>
      <c r="K196">
        <v>1.94710109999869</v>
      </c>
      <c r="L196" t="s">
        <v>51</v>
      </c>
      <c r="M196">
        <v>9</v>
      </c>
      <c r="N196">
        <v>13</v>
      </c>
      <c r="O196">
        <v>193</v>
      </c>
      <c r="P196">
        <v>14</v>
      </c>
      <c r="Q196">
        <v>261.91729020001299</v>
      </c>
      <c r="V196">
        <v>261.90709990001</v>
      </c>
      <c r="W196">
        <v>261.91729020001299</v>
      </c>
      <c r="X196">
        <v>262.41714460000998</v>
      </c>
      <c r="Y196">
        <v>262.41714460000998</v>
      </c>
      <c r="Z196">
        <v>262.41714460000998</v>
      </c>
      <c r="AA196">
        <v>264.37081920000401</v>
      </c>
      <c r="AB196" t="s">
        <v>54</v>
      </c>
      <c r="AC196">
        <v>1</v>
      </c>
      <c r="AD196">
        <v>1.94710109999869</v>
      </c>
      <c r="AE196" t="s">
        <v>51</v>
      </c>
      <c r="AJ196">
        <v>2</v>
      </c>
      <c r="AK196">
        <v>1</v>
      </c>
      <c r="AL196" t="s">
        <v>80</v>
      </c>
      <c r="AM196" t="s">
        <v>43</v>
      </c>
      <c r="AO196" t="s">
        <v>44</v>
      </c>
      <c r="AP196">
        <v>59.456390224006398</v>
      </c>
      <c r="AQ196" t="s">
        <v>81</v>
      </c>
    </row>
    <row r="197" spans="1:43" x14ac:dyDescent="0.3">
      <c r="A197" t="s">
        <v>58</v>
      </c>
      <c r="B197" t="s">
        <v>59</v>
      </c>
      <c r="C197" t="s">
        <v>48</v>
      </c>
      <c r="D197" t="s">
        <v>49</v>
      </c>
      <c r="E197" t="s">
        <v>50</v>
      </c>
      <c r="F197">
        <v>194</v>
      </c>
      <c r="G197">
        <v>14</v>
      </c>
      <c r="H197">
        <v>9</v>
      </c>
      <c r="I197" t="s">
        <v>50</v>
      </c>
      <c r="J197">
        <v>1</v>
      </c>
      <c r="K197">
        <v>0.84623560000909404</v>
      </c>
      <c r="L197" t="s">
        <v>51</v>
      </c>
      <c r="M197">
        <v>9</v>
      </c>
      <c r="N197">
        <v>14</v>
      </c>
      <c r="O197">
        <v>194</v>
      </c>
      <c r="P197">
        <v>7</v>
      </c>
      <c r="Q197">
        <v>264.38358630001301</v>
      </c>
      <c r="V197">
        <v>264.37388120003698</v>
      </c>
      <c r="W197">
        <v>264.38358630001301</v>
      </c>
      <c r="X197">
        <v>264.88413970003597</v>
      </c>
      <c r="Y197">
        <v>264.88413970003597</v>
      </c>
      <c r="Z197">
        <v>264.88413970003597</v>
      </c>
      <c r="AA197">
        <v>265.73825750005199</v>
      </c>
      <c r="AB197" t="s">
        <v>50</v>
      </c>
      <c r="AC197">
        <v>1</v>
      </c>
      <c r="AD197">
        <v>0.84623560000909404</v>
      </c>
      <c r="AE197" t="s">
        <v>51</v>
      </c>
      <c r="AJ197">
        <v>2</v>
      </c>
      <c r="AK197">
        <v>1</v>
      </c>
      <c r="AL197" t="s">
        <v>80</v>
      </c>
      <c r="AM197" t="s">
        <v>43</v>
      </c>
      <c r="AO197" t="s">
        <v>44</v>
      </c>
      <c r="AP197">
        <v>59.456390224006398</v>
      </c>
      <c r="AQ197" t="s">
        <v>81</v>
      </c>
    </row>
    <row r="198" spans="1:43" x14ac:dyDescent="0.3">
      <c r="A198" t="s">
        <v>68</v>
      </c>
      <c r="B198" t="s">
        <v>59</v>
      </c>
      <c r="C198" t="s">
        <v>53</v>
      </c>
      <c r="D198" t="s">
        <v>49</v>
      </c>
      <c r="E198" t="s">
        <v>54</v>
      </c>
      <c r="F198">
        <v>195</v>
      </c>
      <c r="G198">
        <v>15</v>
      </c>
      <c r="H198">
        <v>9</v>
      </c>
      <c r="I198" t="s">
        <v>54</v>
      </c>
      <c r="J198">
        <v>1</v>
      </c>
      <c r="K198">
        <v>0.97910230001434595</v>
      </c>
      <c r="L198" t="s">
        <v>51</v>
      </c>
      <c r="M198">
        <v>9</v>
      </c>
      <c r="N198">
        <v>15</v>
      </c>
      <c r="O198">
        <v>195</v>
      </c>
      <c r="P198">
        <v>6</v>
      </c>
      <c r="Q198">
        <v>265.750608100031</v>
      </c>
      <c r="V198">
        <v>265.740917700051</v>
      </c>
      <c r="W198">
        <v>265.750608100031</v>
      </c>
      <c r="X198">
        <v>266.25049030000798</v>
      </c>
      <c r="Y198">
        <v>266.25049030000798</v>
      </c>
      <c r="Z198">
        <v>266.25049030000798</v>
      </c>
      <c r="AA198">
        <v>267.23828350001702</v>
      </c>
      <c r="AB198" t="s">
        <v>54</v>
      </c>
      <c r="AC198">
        <v>1</v>
      </c>
      <c r="AD198">
        <v>0.97910230001434595</v>
      </c>
      <c r="AE198" t="s">
        <v>51</v>
      </c>
      <c r="AJ198">
        <v>2</v>
      </c>
      <c r="AK198">
        <v>1</v>
      </c>
      <c r="AL198" t="s">
        <v>80</v>
      </c>
      <c r="AM198" t="s">
        <v>43</v>
      </c>
      <c r="AO198" t="s">
        <v>44</v>
      </c>
      <c r="AP198">
        <v>59.456390224006398</v>
      </c>
      <c r="AQ198" t="s">
        <v>81</v>
      </c>
    </row>
    <row r="199" spans="1:43" x14ac:dyDescent="0.3">
      <c r="A199" t="s">
        <v>46</v>
      </c>
      <c r="B199" t="s">
        <v>47</v>
      </c>
      <c r="C199" t="s">
        <v>48</v>
      </c>
      <c r="D199" t="s">
        <v>49</v>
      </c>
      <c r="E199" t="s">
        <v>50</v>
      </c>
      <c r="F199">
        <v>196</v>
      </c>
      <c r="G199">
        <v>16</v>
      </c>
      <c r="H199">
        <v>9</v>
      </c>
      <c r="I199" t="s">
        <v>50</v>
      </c>
      <c r="J199">
        <v>1</v>
      </c>
      <c r="K199">
        <v>1.36026990000391</v>
      </c>
      <c r="L199" t="s">
        <v>51</v>
      </c>
      <c r="M199">
        <v>9</v>
      </c>
      <c r="N199">
        <v>16</v>
      </c>
      <c r="O199">
        <v>196</v>
      </c>
      <c r="P199">
        <v>19</v>
      </c>
      <c r="Q199">
        <v>267.25033770000999</v>
      </c>
      <c r="V199">
        <v>267.24092710000599</v>
      </c>
      <c r="W199">
        <v>267.25033770000999</v>
      </c>
      <c r="X199">
        <v>267.75006240000903</v>
      </c>
      <c r="Y199">
        <v>267.75006240000903</v>
      </c>
      <c r="Z199">
        <v>267.75006240000903</v>
      </c>
      <c r="AA199">
        <v>269.120755200041</v>
      </c>
      <c r="AB199" t="s">
        <v>50</v>
      </c>
      <c r="AC199">
        <v>1</v>
      </c>
      <c r="AD199">
        <v>1.36026990000391</v>
      </c>
      <c r="AE199" t="s">
        <v>51</v>
      </c>
      <c r="AJ199">
        <v>2</v>
      </c>
      <c r="AK199">
        <v>1</v>
      </c>
      <c r="AL199" t="s">
        <v>80</v>
      </c>
      <c r="AM199" t="s">
        <v>43</v>
      </c>
      <c r="AO199" t="s">
        <v>44</v>
      </c>
      <c r="AP199">
        <v>59.456390224006398</v>
      </c>
      <c r="AQ199" t="s">
        <v>81</v>
      </c>
    </row>
    <row r="200" spans="1:43" x14ac:dyDescent="0.3">
      <c r="A200" t="s">
        <v>71</v>
      </c>
      <c r="B200" t="s">
        <v>47</v>
      </c>
      <c r="C200" t="s">
        <v>48</v>
      </c>
      <c r="D200" t="s">
        <v>49</v>
      </c>
      <c r="E200" t="s">
        <v>50</v>
      </c>
      <c r="F200">
        <v>197</v>
      </c>
      <c r="G200">
        <v>17</v>
      </c>
      <c r="H200">
        <v>9</v>
      </c>
      <c r="I200" t="s">
        <v>50</v>
      </c>
      <c r="J200">
        <v>1</v>
      </c>
      <c r="K200">
        <v>0.43537700001615998</v>
      </c>
      <c r="L200" t="s">
        <v>51</v>
      </c>
      <c r="M200">
        <v>9</v>
      </c>
      <c r="N200">
        <v>17</v>
      </c>
      <c r="O200">
        <v>197</v>
      </c>
      <c r="P200">
        <v>15</v>
      </c>
      <c r="Q200">
        <v>269.13351880002301</v>
      </c>
      <c r="V200">
        <v>269.12364370003303</v>
      </c>
      <c r="W200">
        <v>269.13351880002301</v>
      </c>
      <c r="X200">
        <v>269.63400060002402</v>
      </c>
      <c r="Y200">
        <v>269.63400060002402</v>
      </c>
      <c r="Z200">
        <v>269.63400060002402</v>
      </c>
      <c r="AA200">
        <v>270.071054300002</v>
      </c>
      <c r="AB200" t="s">
        <v>50</v>
      </c>
      <c r="AC200">
        <v>1</v>
      </c>
      <c r="AD200">
        <v>0.43537700001615998</v>
      </c>
      <c r="AE200" t="s">
        <v>51</v>
      </c>
      <c r="AJ200">
        <v>2</v>
      </c>
      <c r="AK200">
        <v>1</v>
      </c>
      <c r="AL200" t="s">
        <v>80</v>
      </c>
      <c r="AM200" t="s">
        <v>43</v>
      </c>
      <c r="AO200" t="s">
        <v>44</v>
      </c>
      <c r="AP200">
        <v>59.456390224006398</v>
      </c>
      <c r="AQ200" t="s">
        <v>81</v>
      </c>
    </row>
    <row r="201" spans="1:43" x14ac:dyDescent="0.3">
      <c r="A201" t="s">
        <v>69</v>
      </c>
      <c r="B201" t="s">
        <v>59</v>
      </c>
      <c r="C201" t="s">
        <v>56</v>
      </c>
      <c r="D201" t="s">
        <v>49</v>
      </c>
      <c r="E201" t="s">
        <v>57</v>
      </c>
      <c r="F201">
        <v>198</v>
      </c>
      <c r="G201">
        <v>18</v>
      </c>
      <c r="H201">
        <v>9</v>
      </c>
      <c r="I201" t="s">
        <v>57</v>
      </c>
      <c r="J201">
        <v>1</v>
      </c>
      <c r="K201">
        <v>0.75220599997555804</v>
      </c>
      <c r="L201" t="s">
        <v>51</v>
      </c>
      <c r="M201">
        <v>9</v>
      </c>
      <c r="N201">
        <v>18</v>
      </c>
      <c r="O201">
        <v>198</v>
      </c>
      <c r="P201">
        <v>5</v>
      </c>
      <c r="Q201">
        <v>270.08353540004401</v>
      </c>
      <c r="V201">
        <v>270.07439490000201</v>
      </c>
      <c r="W201">
        <v>270.08353540004401</v>
      </c>
      <c r="X201">
        <v>270.58376580005199</v>
      </c>
      <c r="Y201">
        <v>270.58376580005199</v>
      </c>
      <c r="Z201">
        <v>270.58376580005199</v>
      </c>
      <c r="AA201">
        <v>271.33757720002899</v>
      </c>
      <c r="AB201" t="s">
        <v>57</v>
      </c>
      <c r="AC201">
        <v>1</v>
      </c>
      <c r="AD201">
        <v>0.75220599997555804</v>
      </c>
      <c r="AE201" t="s">
        <v>51</v>
      </c>
      <c r="AJ201">
        <v>2</v>
      </c>
      <c r="AK201">
        <v>1</v>
      </c>
      <c r="AL201" t="s">
        <v>80</v>
      </c>
      <c r="AM201" t="s">
        <v>43</v>
      </c>
      <c r="AO201" t="s">
        <v>44</v>
      </c>
      <c r="AP201">
        <v>59.456390224006398</v>
      </c>
      <c r="AQ201" t="s">
        <v>81</v>
      </c>
    </row>
    <row r="202" spans="1:43" x14ac:dyDescent="0.3">
      <c r="A202" t="s">
        <v>64</v>
      </c>
      <c r="B202" t="s">
        <v>47</v>
      </c>
      <c r="C202" t="s">
        <v>53</v>
      </c>
      <c r="D202" t="s">
        <v>49</v>
      </c>
      <c r="E202" t="s">
        <v>54</v>
      </c>
      <c r="F202">
        <v>199</v>
      </c>
      <c r="G202">
        <v>19</v>
      </c>
      <c r="H202">
        <v>9</v>
      </c>
      <c r="I202" t="s">
        <v>54</v>
      </c>
      <c r="J202">
        <v>1</v>
      </c>
      <c r="K202">
        <v>1.28693150001345</v>
      </c>
      <c r="L202" t="s">
        <v>51</v>
      </c>
      <c r="M202">
        <v>9</v>
      </c>
      <c r="N202">
        <v>19</v>
      </c>
      <c r="O202">
        <v>199</v>
      </c>
      <c r="P202">
        <v>18</v>
      </c>
      <c r="Q202">
        <v>271.35038500005601</v>
      </c>
      <c r="V202">
        <v>271.34074340004003</v>
      </c>
      <c r="W202">
        <v>271.35038500005601</v>
      </c>
      <c r="X202">
        <v>271.85027350002201</v>
      </c>
      <c r="Y202">
        <v>271.85027350002201</v>
      </c>
      <c r="Z202">
        <v>271.85027350002201</v>
      </c>
      <c r="AA202">
        <v>273.15487710002299</v>
      </c>
      <c r="AB202" t="s">
        <v>54</v>
      </c>
      <c r="AC202">
        <v>1</v>
      </c>
      <c r="AD202">
        <v>1.28693150001345</v>
      </c>
      <c r="AE202" t="s">
        <v>51</v>
      </c>
      <c r="AJ202">
        <v>2</v>
      </c>
      <c r="AK202">
        <v>1</v>
      </c>
      <c r="AL202" t="s">
        <v>80</v>
      </c>
      <c r="AM202" t="s">
        <v>43</v>
      </c>
      <c r="AO202" t="s">
        <v>44</v>
      </c>
      <c r="AP202">
        <v>59.456390224006398</v>
      </c>
      <c r="AQ202" t="s">
        <v>81</v>
      </c>
    </row>
    <row r="203" spans="1:43" x14ac:dyDescent="0.3">
      <c r="AF203">
        <v>273.15507640002699</v>
      </c>
      <c r="AG203">
        <v>273.166753000055</v>
      </c>
      <c r="AH203">
        <v>274.166515100048</v>
      </c>
      <c r="AI203">
        <v>274.15340820001398</v>
      </c>
      <c r="AJ203">
        <v>2</v>
      </c>
      <c r="AK203">
        <v>1</v>
      </c>
      <c r="AL203" t="s">
        <v>80</v>
      </c>
      <c r="AM203" t="s">
        <v>43</v>
      </c>
      <c r="AO203" t="s">
        <v>44</v>
      </c>
      <c r="AP203">
        <v>59.456390224006398</v>
      </c>
      <c r="AQ203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3EC9-E9CB-45A8-9B6E-520CE2AA49FF}">
  <dimension ref="A1:AQ203"/>
  <sheetViews>
    <sheetView workbookViewId="0">
      <selection sqref="A1:AQ203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79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3">
      <c r="S2">
        <v>1.1019300029147401E-2</v>
      </c>
      <c r="T2">
        <v>2.5215400033630399E-2</v>
      </c>
      <c r="U2">
        <v>2.0115622000303102</v>
      </c>
      <c r="AJ2">
        <v>3</v>
      </c>
      <c r="AK2">
        <v>1</v>
      </c>
      <c r="AL2" t="s">
        <v>82</v>
      </c>
      <c r="AM2" t="s">
        <v>43</v>
      </c>
      <c r="AO2" t="s">
        <v>44</v>
      </c>
      <c r="AP2">
        <v>60.124517886762398</v>
      </c>
      <c r="AQ2" t="s">
        <v>83</v>
      </c>
    </row>
    <row r="3" spans="1:43" x14ac:dyDescent="0.3">
      <c r="A3" t="s">
        <v>77</v>
      </c>
      <c r="B3" t="s">
        <v>59</v>
      </c>
      <c r="C3" t="s">
        <v>61</v>
      </c>
      <c r="D3" t="s">
        <v>62</v>
      </c>
      <c r="E3" t="s">
        <v>63</v>
      </c>
      <c r="F3">
        <v>0</v>
      </c>
      <c r="G3">
        <v>0</v>
      </c>
      <c r="H3">
        <v>0</v>
      </c>
      <c r="I3" t="s">
        <v>63</v>
      </c>
      <c r="J3">
        <v>1</v>
      </c>
      <c r="K3">
        <v>0.74567799997748796</v>
      </c>
      <c r="L3" t="s">
        <v>51</v>
      </c>
      <c r="M3">
        <v>0</v>
      </c>
      <c r="N3">
        <v>0</v>
      </c>
      <c r="O3">
        <v>0</v>
      </c>
      <c r="P3">
        <v>4</v>
      </c>
      <c r="Q3">
        <v>2.05838390003191</v>
      </c>
      <c r="V3">
        <v>2.0372398000326899</v>
      </c>
      <c r="W3">
        <v>2.05838390003191</v>
      </c>
      <c r="X3">
        <v>2.5077934000291799</v>
      </c>
      <c r="Y3">
        <v>2.5077934000291799</v>
      </c>
      <c r="Z3">
        <v>2.5077934000291799</v>
      </c>
      <c r="AA3">
        <v>3.2618693000404102</v>
      </c>
      <c r="AB3" t="s">
        <v>63</v>
      </c>
      <c r="AC3">
        <v>1</v>
      </c>
      <c r="AD3">
        <v>0.74567799997748796</v>
      </c>
      <c r="AE3" t="s">
        <v>51</v>
      </c>
      <c r="AJ3">
        <v>3</v>
      </c>
      <c r="AK3">
        <v>1</v>
      </c>
      <c r="AL3" t="s">
        <v>82</v>
      </c>
      <c r="AM3" t="s">
        <v>43</v>
      </c>
      <c r="AO3" t="s">
        <v>44</v>
      </c>
      <c r="AP3">
        <v>60.124517886762398</v>
      </c>
      <c r="AQ3" t="s">
        <v>83</v>
      </c>
    </row>
    <row r="4" spans="1:43" x14ac:dyDescent="0.3">
      <c r="A4" t="s">
        <v>55</v>
      </c>
      <c r="B4" t="s">
        <v>47</v>
      </c>
      <c r="C4" t="s">
        <v>56</v>
      </c>
      <c r="D4" t="s">
        <v>49</v>
      </c>
      <c r="E4" t="s">
        <v>57</v>
      </c>
      <c r="F4">
        <v>1</v>
      </c>
      <c r="G4">
        <v>1</v>
      </c>
      <c r="H4">
        <v>0</v>
      </c>
      <c r="I4" t="s">
        <v>57</v>
      </c>
      <c r="J4">
        <v>1</v>
      </c>
      <c r="K4">
        <v>0.99624299997230903</v>
      </c>
      <c r="L4" t="s">
        <v>51</v>
      </c>
      <c r="M4">
        <v>0</v>
      </c>
      <c r="N4">
        <v>1</v>
      </c>
      <c r="O4">
        <v>1</v>
      </c>
      <c r="P4">
        <v>13</v>
      </c>
      <c r="Q4">
        <v>3.2750816000043401</v>
      </c>
      <c r="V4">
        <v>3.26479690003907</v>
      </c>
      <c r="W4">
        <v>3.2750816000043401</v>
      </c>
      <c r="X4">
        <v>3.7743020000052598</v>
      </c>
      <c r="Y4">
        <v>3.7743020000052598</v>
      </c>
      <c r="Z4">
        <v>3.7743020000052598</v>
      </c>
      <c r="AA4">
        <v>4.7785122000495903</v>
      </c>
      <c r="AB4" t="s">
        <v>57</v>
      </c>
      <c r="AC4">
        <v>1</v>
      </c>
      <c r="AD4">
        <v>0.99624299997230903</v>
      </c>
      <c r="AE4" t="s">
        <v>51</v>
      </c>
      <c r="AJ4">
        <v>3</v>
      </c>
      <c r="AK4">
        <v>1</v>
      </c>
      <c r="AL4" t="s">
        <v>82</v>
      </c>
      <c r="AM4" t="s">
        <v>43</v>
      </c>
      <c r="AO4" t="s">
        <v>44</v>
      </c>
      <c r="AP4">
        <v>60.124517886762398</v>
      </c>
      <c r="AQ4" t="s">
        <v>83</v>
      </c>
    </row>
    <row r="5" spans="1:43" x14ac:dyDescent="0.3">
      <c r="A5" t="s">
        <v>52</v>
      </c>
      <c r="B5" t="s">
        <v>47</v>
      </c>
      <c r="C5" t="s">
        <v>53</v>
      </c>
      <c r="D5" t="s">
        <v>49</v>
      </c>
      <c r="E5" t="s">
        <v>54</v>
      </c>
      <c r="F5">
        <v>2</v>
      </c>
      <c r="G5">
        <v>2</v>
      </c>
      <c r="H5">
        <v>0</v>
      </c>
      <c r="I5" t="s">
        <v>54</v>
      </c>
      <c r="J5">
        <v>1</v>
      </c>
      <c r="K5">
        <v>1.04662179999286</v>
      </c>
      <c r="L5" t="s">
        <v>51</v>
      </c>
      <c r="M5">
        <v>0</v>
      </c>
      <c r="N5">
        <v>2</v>
      </c>
      <c r="O5">
        <v>2</v>
      </c>
      <c r="P5">
        <v>14</v>
      </c>
      <c r="Q5">
        <v>4.7909298000158698</v>
      </c>
      <c r="V5">
        <v>4.7813724000006896</v>
      </c>
      <c r="W5">
        <v>4.7909298000158698</v>
      </c>
      <c r="X5">
        <v>5.29122680000728</v>
      </c>
      <c r="Y5">
        <v>5.29122680000728</v>
      </c>
      <c r="Z5">
        <v>5.29122680000728</v>
      </c>
      <c r="AA5">
        <v>6.3451101000537102</v>
      </c>
      <c r="AB5" t="s">
        <v>54</v>
      </c>
      <c r="AC5">
        <v>1</v>
      </c>
      <c r="AD5">
        <v>1.04662179999286</v>
      </c>
      <c r="AE5" t="s">
        <v>51</v>
      </c>
      <c r="AJ5">
        <v>3</v>
      </c>
      <c r="AK5">
        <v>1</v>
      </c>
      <c r="AL5" t="s">
        <v>82</v>
      </c>
      <c r="AM5" t="s">
        <v>43</v>
      </c>
      <c r="AO5" t="s">
        <v>44</v>
      </c>
      <c r="AP5">
        <v>60.124517886762398</v>
      </c>
      <c r="AQ5" t="s">
        <v>83</v>
      </c>
    </row>
    <row r="6" spans="1:43" x14ac:dyDescent="0.3">
      <c r="A6" t="s">
        <v>67</v>
      </c>
      <c r="B6" t="s">
        <v>47</v>
      </c>
      <c r="C6" t="s">
        <v>53</v>
      </c>
      <c r="D6" t="s">
        <v>49</v>
      </c>
      <c r="E6" t="s">
        <v>54</v>
      </c>
      <c r="F6">
        <v>3</v>
      </c>
      <c r="G6">
        <v>3</v>
      </c>
      <c r="H6">
        <v>0</v>
      </c>
      <c r="I6" t="s">
        <v>54</v>
      </c>
      <c r="J6">
        <v>1</v>
      </c>
      <c r="K6">
        <v>0.484855799993965</v>
      </c>
      <c r="L6" t="s">
        <v>51</v>
      </c>
      <c r="M6">
        <v>0</v>
      </c>
      <c r="N6">
        <v>3</v>
      </c>
      <c r="O6">
        <v>3</v>
      </c>
      <c r="P6">
        <v>10</v>
      </c>
      <c r="Q6">
        <v>6.3575644000084104</v>
      </c>
      <c r="V6">
        <v>6.3482063999981602</v>
      </c>
      <c r="W6">
        <v>6.3575644000084104</v>
      </c>
      <c r="X6">
        <v>6.8573226000298702</v>
      </c>
      <c r="Y6">
        <v>6.8573226000298702</v>
      </c>
      <c r="Z6">
        <v>6.8573226000298702</v>
      </c>
      <c r="AA6">
        <v>7.3445981999975603</v>
      </c>
      <c r="AB6" t="s">
        <v>54</v>
      </c>
      <c r="AC6">
        <v>1</v>
      </c>
      <c r="AD6">
        <v>0.484855799993965</v>
      </c>
      <c r="AE6" t="s">
        <v>51</v>
      </c>
      <c r="AJ6">
        <v>3</v>
      </c>
      <c r="AK6">
        <v>1</v>
      </c>
      <c r="AL6" t="s">
        <v>82</v>
      </c>
      <c r="AM6" t="s">
        <v>43</v>
      </c>
      <c r="AO6" t="s">
        <v>44</v>
      </c>
      <c r="AP6">
        <v>60.124517886762398</v>
      </c>
      <c r="AQ6" t="s">
        <v>83</v>
      </c>
    </row>
    <row r="7" spans="1:43" x14ac:dyDescent="0.3">
      <c r="A7" t="s">
        <v>66</v>
      </c>
      <c r="B7" t="s">
        <v>47</v>
      </c>
      <c r="C7" t="s">
        <v>61</v>
      </c>
      <c r="D7" t="s">
        <v>49</v>
      </c>
      <c r="E7" t="s">
        <v>63</v>
      </c>
      <c r="F7">
        <v>4</v>
      </c>
      <c r="G7">
        <v>4</v>
      </c>
      <c r="H7">
        <v>0</v>
      </c>
      <c r="I7" t="s">
        <v>63</v>
      </c>
      <c r="J7">
        <v>1</v>
      </c>
      <c r="K7">
        <v>0.62045930000021998</v>
      </c>
      <c r="L7" t="s">
        <v>51</v>
      </c>
      <c r="M7">
        <v>0</v>
      </c>
      <c r="N7">
        <v>4</v>
      </c>
      <c r="O7">
        <v>4</v>
      </c>
      <c r="P7">
        <v>12</v>
      </c>
      <c r="Q7">
        <v>7.3571586000034497</v>
      </c>
      <c r="V7">
        <v>7.34737820003647</v>
      </c>
      <c r="W7">
        <v>7.3571586000034497</v>
      </c>
      <c r="X7">
        <v>7.8577333000139298</v>
      </c>
      <c r="Y7">
        <v>7.8577333000139298</v>
      </c>
      <c r="Z7">
        <v>7.8577333000139298</v>
      </c>
      <c r="AA7">
        <v>8.4943819000036402</v>
      </c>
      <c r="AB7" t="s">
        <v>63</v>
      </c>
      <c r="AC7">
        <v>1</v>
      </c>
      <c r="AD7">
        <v>0.62045930000021998</v>
      </c>
      <c r="AE7" t="s">
        <v>51</v>
      </c>
      <c r="AJ7">
        <v>3</v>
      </c>
      <c r="AK7">
        <v>1</v>
      </c>
      <c r="AL7" t="s">
        <v>82</v>
      </c>
      <c r="AM7" t="s">
        <v>43</v>
      </c>
      <c r="AO7" t="s">
        <v>44</v>
      </c>
      <c r="AP7">
        <v>60.124517886762398</v>
      </c>
      <c r="AQ7" t="s">
        <v>83</v>
      </c>
    </row>
    <row r="8" spans="1:43" x14ac:dyDescent="0.3">
      <c r="A8" t="s">
        <v>74</v>
      </c>
      <c r="B8" t="s">
        <v>47</v>
      </c>
      <c r="C8" t="s">
        <v>48</v>
      </c>
      <c r="D8" t="s">
        <v>49</v>
      </c>
      <c r="E8" t="s">
        <v>50</v>
      </c>
      <c r="F8">
        <v>5</v>
      </c>
      <c r="G8">
        <v>5</v>
      </c>
      <c r="H8">
        <v>0</v>
      </c>
      <c r="I8" t="s">
        <v>50</v>
      </c>
      <c r="J8">
        <v>1</v>
      </c>
      <c r="K8">
        <v>1.12235219997819</v>
      </c>
      <c r="L8" t="s">
        <v>51</v>
      </c>
      <c r="M8">
        <v>0</v>
      </c>
      <c r="N8">
        <v>5</v>
      </c>
      <c r="O8">
        <v>5</v>
      </c>
      <c r="P8">
        <v>11</v>
      </c>
      <c r="Q8">
        <v>8.5076044000452296</v>
      </c>
      <c r="V8">
        <v>8.4971409999998198</v>
      </c>
      <c r="W8">
        <v>8.5076044000452296</v>
      </c>
      <c r="X8">
        <v>9.0072802000213397</v>
      </c>
      <c r="Y8">
        <v>9.0072802000213397</v>
      </c>
      <c r="Z8">
        <v>9.0072802000213397</v>
      </c>
      <c r="AA8">
        <v>10.1452631000429</v>
      </c>
      <c r="AB8" t="s">
        <v>50</v>
      </c>
      <c r="AC8">
        <v>1</v>
      </c>
      <c r="AD8">
        <v>1.12235219997819</v>
      </c>
      <c r="AE8" t="s">
        <v>51</v>
      </c>
      <c r="AJ8">
        <v>3</v>
      </c>
      <c r="AK8">
        <v>1</v>
      </c>
      <c r="AL8" t="s">
        <v>82</v>
      </c>
      <c r="AM8" t="s">
        <v>43</v>
      </c>
      <c r="AO8" t="s">
        <v>44</v>
      </c>
      <c r="AP8">
        <v>60.124517886762398</v>
      </c>
      <c r="AQ8" t="s">
        <v>83</v>
      </c>
    </row>
    <row r="9" spans="1:43" x14ac:dyDescent="0.3">
      <c r="A9" t="s">
        <v>70</v>
      </c>
      <c r="B9" t="s">
        <v>59</v>
      </c>
      <c r="C9" t="s">
        <v>53</v>
      </c>
      <c r="D9" t="s">
        <v>49</v>
      </c>
      <c r="E9" t="s">
        <v>54</v>
      </c>
      <c r="F9">
        <v>6</v>
      </c>
      <c r="G9">
        <v>6</v>
      </c>
      <c r="H9">
        <v>0</v>
      </c>
      <c r="I9" t="s">
        <v>54</v>
      </c>
      <c r="J9">
        <v>1</v>
      </c>
      <c r="K9">
        <v>0.70139639999251802</v>
      </c>
      <c r="L9" t="s">
        <v>51</v>
      </c>
      <c r="M9">
        <v>0</v>
      </c>
      <c r="N9">
        <v>6</v>
      </c>
      <c r="O9">
        <v>6</v>
      </c>
      <c r="P9">
        <v>2</v>
      </c>
      <c r="Q9">
        <v>10.158180800033699</v>
      </c>
      <c r="V9">
        <v>10.150754700007299</v>
      </c>
      <c r="W9">
        <v>10.158180800033699</v>
      </c>
      <c r="X9">
        <v>10.658256200025701</v>
      </c>
      <c r="Y9">
        <v>10.658256200025701</v>
      </c>
      <c r="Z9">
        <v>10.658256200025701</v>
      </c>
      <c r="AA9">
        <v>11.3615388000034</v>
      </c>
      <c r="AB9" t="s">
        <v>54</v>
      </c>
      <c r="AC9">
        <v>1</v>
      </c>
      <c r="AD9">
        <v>0.70139639999251802</v>
      </c>
      <c r="AE9" t="s">
        <v>51</v>
      </c>
      <c r="AJ9">
        <v>3</v>
      </c>
      <c r="AK9">
        <v>1</v>
      </c>
      <c r="AL9" t="s">
        <v>82</v>
      </c>
      <c r="AM9" t="s">
        <v>43</v>
      </c>
      <c r="AO9" t="s">
        <v>44</v>
      </c>
      <c r="AP9">
        <v>60.124517886762398</v>
      </c>
      <c r="AQ9" t="s">
        <v>83</v>
      </c>
    </row>
    <row r="10" spans="1:43" x14ac:dyDescent="0.3">
      <c r="A10" t="s">
        <v>64</v>
      </c>
      <c r="B10" t="s">
        <v>47</v>
      </c>
      <c r="C10" t="s">
        <v>53</v>
      </c>
      <c r="D10" t="s">
        <v>49</v>
      </c>
      <c r="E10" t="s">
        <v>54</v>
      </c>
      <c r="F10">
        <v>7</v>
      </c>
      <c r="G10">
        <v>7</v>
      </c>
      <c r="H10">
        <v>0</v>
      </c>
      <c r="I10" t="s">
        <v>54</v>
      </c>
      <c r="J10">
        <v>1</v>
      </c>
      <c r="K10">
        <v>0.49432369996793502</v>
      </c>
      <c r="L10" t="s">
        <v>51</v>
      </c>
      <c r="M10">
        <v>0</v>
      </c>
      <c r="N10">
        <v>7</v>
      </c>
      <c r="O10">
        <v>7</v>
      </c>
      <c r="P10">
        <v>18</v>
      </c>
      <c r="Q10">
        <v>11.3749011000036</v>
      </c>
      <c r="V10">
        <v>11.3642108000349</v>
      </c>
      <c r="W10">
        <v>11.3749011000036</v>
      </c>
      <c r="X10">
        <v>11.8744328000466</v>
      </c>
      <c r="Y10">
        <v>11.8744328000466</v>
      </c>
      <c r="Z10">
        <v>11.8744328000466</v>
      </c>
      <c r="AA10">
        <v>12.377201700001001</v>
      </c>
      <c r="AB10" t="s">
        <v>54</v>
      </c>
      <c r="AC10">
        <v>1</v>
      </c>
      <c r="AD10">
        <v>0.49432369996793502</v>
      </c>
      <c r="AE10" t="s">
        <v>51</v>
      </c>
      <c r="AJ10">
        <v>3</v>
      </c>
      <c r="AK10">
        <v>1</v>
      </c>
      <c r="AL10" t="s">
        <v>82</v>
      </c>
      <c r="AM10" t="s">
        <v>43</v>
      </c>
      <c r="AO10" t="s">
        <v>44</v>
      </c>
      <c r="AP10">
        <v>60.124517886762398</v>
      </c>
      <c r="AQ10" t="s">
        <v>83</v>
      </c>
    </row>
    <row r="11" spans="1:43" x14ac:dyDescent="0.3">
      <c r="A11" t="s">
        <v>75</v>
      </c>
      <c r="B11" t="s">
        <v>47</v>
      </c>
      <c r="C11" t="s">
        <v>61</v>
      </c>
      <c r="D11" t="s">
        <v>49</v>
      </c>
      <c r="E11" t="s">
        <v>63</v>
      </c>
      <c r="F11">
        <v>8</v>
      </c>
      <c r="G11">
        <v>8</v>
      </c>
      <c r="H11">
        <v>0</v>
      </c>
      <c r="I11" t="s">
        <v>63</v>
      </c>
      <c r="J11">
        <v>1</v>
      </c>
      <c r="K11">
        <v>0.563211200002115</v>
      </c>
      <c r="L11" t="s">
        <v>51</v>
      </c>
      <c r="M11">
        <v>0</v>
      </c>
      <c r="N11">
        <v>8</v>
      </c>
      <c r="O11">
        <v>8</v>
      </c>
      <c r="P11">
        <v>16</v>
      </c>
      <c r="Q11">
        <v>12.3906575000146</v>
      </c>
      <c r="V11">
        <v>12.3798480000114</v>
      </c>
      <c r="W11">
        <v>12.3906575000146</v>
      </c>
      <c r="X11">
        <v>12.890671400004001</v>
      </c>
      <c r="Y11">
        <v>12.890671400004001</v>
      </c>
      <c r="Z11">
        <v>12.890671400004001</v>
      </c>
      <c r="AA11">
        <v>13.4616019000532</v>
      </c>
      <c r="AB11" t="s">
        <v>63</v>
      </c>
      <c r="AC11">
        <v>1</v>
      </c>
      <c r="AD11">
        <v>0.563211200002115</v>
      </c>
      <c r="AE11" t="s">
        <v>51</v>
      </c>
      <c r="AJ11">
        <v>3</v>
      </c>
      <c r="AK11">
        <v>1</v>
      </c>
      <c r="AL11" t="s">
        <v>82</v>
      </c>
      <c r="AM11" t="s">
        <v>43</v>
      </c>
      <c r="AO11" t="s">
        <v>44</v>
      </c>
      <c r="AP11">
        <v>60.124517886762398</v>
      </c>
      <c r="AQ11" t="s">
        <v>83</v>
      </c>
    </row>
    <row r="12" spans="1:43" x14ac:dyDescent="0.3">
      <c r="A12" t="s">
        <v>58</v>
      </c>
      <c r="B12" t="s">
        <v>59</v>
      </c>
      <c r="C12" t="s">
        <v>48</v>
      </c>
      <c r="D12" t="s">
        <v>49</v>
      </c>
      <c r="E12" t="s">
        <v>50</v>
      </c>
      <c r="F12">
        <v>9</v>
      </c>
      <c r="G12">
        <v>9</v>
      </c>
      <c r="H12">
        <v>0</v>
      </c>
      <c r="I12" t="s">
        <v>50</v>
      </c>
      <c r="J12">
        <v>1</v>
      </c>
      <c r="K12">
        <v>1.51778359996387</v>
      </c>
      <c r="L12" t="s">
        <v>51</v>
      </c>
      <c r="M12">
        <v>0</v>
      </c>
      <c r="N12">
        <v>9</v>
      </c>
      <c r="O12">
        <v>9</v>
      </c>
      <c r="P12">
        <v>7</v>
      </c>
      <c r="Q12">
        <v>13.474130700051299</v>
      </c>
      <c r="V12">
        <v>13.464477000001301</v>
      </c>
      <c r="W12">
        <v>13.474130700051299</v>
      </c>
      <c r="X12">
        <v>13.9744123000418</v>
      </c>
      <c r="Y12">
        <v>13.9744123000418</v>
      </c>
      <c r="Z12">
        <v>13.9744123000418</v>
      </c>
      <c r="AA12">
        <v>15.496626300038701</v>
      </c>
      <c r="AB12" t="s">
        <v>50</v>
      </c>
      <c r="AC12">
        <v>1</v>
      </c>
      <c r="AD12">
        <v>1.51778359996387</v>
      </c>
      <c r="AE12" t="s">
        <v>51</v>
      </c>
      <c r="AJ12">
        <v>3</v>
      </c>
      <c r="AK12">
        <v>1</v>
      </c>
      <c r="AL12" t="s">
        <v>82</v>
      </c>
      <c r="AM12" t="s">
        <v>43</v>
      </c>
      <c r="AO12" t="s">
        <v>44</v>
      </c>
      <c r="AP12">
        <v>60.124517886762398</v>
      </c>
      <c r="AQ12" t="s">
        <v>83</v>
      </c>
    </row>
    <row r="13" spans="1:43" x14ac:dyDescent="0.3">
      <c r="A13" t="s">
        <v>78</v>
      </c>
      <c r="B13" t="s">
        <v>47</v>
      </c>
      <c r="C13" t="s">
        <v>56</v>
      </c>
      <c r="D13" t="s">
        <v>49</v>
      </c>
      <c r="E13" t="s">
        <v>57</v>
      </c>
      <c r="F13">
        <v>10</v>
      </c>
      <c r="G13">
        <v>10</v>
      </c>
      <c r="H13">
        <v>0</v>
      </c>
      <c r="I13" t="s">
        <v>57</v>
      </c>
      <c r="J13">
        <v>1</v>
      </c>
      <c r="K13">
        <v>1.37337989994557</v>
      </c>
      <c r="L13" t="s">
        <v>51</v>
      </c>
      <c r="M13">
        <v>0</v>
      </c>
      <c r="N13">
        <v>10</v>
      </c>
      <c r="O13">
        <v>10</v>
      </c>
      <c r="P13">
        <v>17</v>
      </c>
      <c r="Q13">
        <v>15.507264300016599</v>
      </c>
      <c r="V13">
        <v>15.499956400017201</v>
      </c>
      <c r="W13">
        <v>15.507264300016599</v>
      </c>
      <c r="X13">
        <v>16.007394300017001</v>
      </c>
      <c r="Y13">
        <v>16.007394300017001</v>
      </c>
      <c r="Z13">
        <v>16.007394300017001</v>
      </c>
      <c r="AA13">
        <v>17.393981100001799</v>
      </c>
      <c r="AB13" t="s">
        <v>57</v>
      </c>
      <c r="AC13">
        <v>1</v>
      </c>
      <c r="AD13">
        <v>1.37337989994557</v>
      </c>
      <c r="AE13" t="s">
        <v>51</v>
      </c>
      <c r="AJ13">
        <v>3</v>
      </c>
      <c r="AK13">
        <v>1</v>
      </c>
      <c r="AL13" t="s">
        <v>82</v>
      </c>
      <c r="AM13" t="s">
        <v>43</v>
      </c>
      <c r="AO13" t="s">
        <v>44</v>
      </c>
      <c r="AP13">
        <v>60.124517886762398</v>
      </c>
      <c r="AQ13" t="s">
        <v>83</v>
      </c>
    </row>
    <row r="14" spans="1:43" x14ac:dyDescent="0.3">
      <c r="A14" t="s">
        <v>73</v>
      </c>
      <c r="B14" t="s">
        <v>59</v>
      </c>
      <c r="C14" t="s">
        <v>56</v>
      </c>
      <c r="D14" t="s">
        <v>49</v>
      </c>
      <c r="E14" t="s">
        <v>57</v>
      </c>
      <c r="F14">
        <v>11</v>
      </c>
      <c r="G14">
        <v>11</v>
      </c>
      <c r="H14">
        <v>0</v>
      </c>
      <c r="I14" t="s">
        <v>57</v>
      </c>
      <c r="J14">
        <v>1</v>
      </c>
      <c r="K14">
        <v>0.45018770004389802</v>
      </c>
      <c r="L14" t="s">
        <v>51</v>
      </c>
      <c r="M14">
        <v>0</v>
      </c>
      <c r="N14">
        <v>11</v>
      </c>
      <c r="O14">
        <v>11</v>
      </c>
      <c r="P14">
        <v>1</v>
      </c>
      <c r="Q14">
        <v>17.406958400038999</v>
      </c>
      <c r="V14">
        <v>17.396585500042399</v>
      </c>
      <c r="W14">
        <v>17.406958400038999</v>
      </c>
      <c r="X14">
        <v>17.907528300012899</v>
      </c>
      <c r="Y14">
        <v>17.907528300012899</v>
      </c>
      <c r="Z14">
        <v>17.907528300012899</v>
      </c>
      <c r="AA14">
        <v>18.361448200011999</v>
      </c>
      <c r="AB14" t="s">
        <v>57</v>
      </c>
      <c r="AC14">
        <v>1</v>
      </c>
      <c r="AD14">
        <v>0.45018770004389802</v>
      </c>
      <c r="AE14" t="s">
        <v>51</v>
      </c>
      <c r="AJ14">
        <v>3</v>
      </c>
      <c r="AK14">
        <v>1</v>
      </c>
      <c r="AL14" t="s">
        <v>82</v>
      </c>
      <c r="AM14" t="s">
        <v>43</v>
      </c>
      <c r="AO14" t="s">
        <v>44</v>
      </c>
      <c r="AP14">
        <v>60.124517886762398</v>
      </c>
      <c r="AQ14" t="s">
        <v>83</v>
      </c>
    </row>
    <row r="15" spans="1:43" x14ac:dyDescent="0.3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>
        <v>12</v>
      </c>
      <c r="G15">
        <v>12</v>
      </c>
      <c r="H15">
        <v>0</v>
      </c>
      <c r="I15" t="s">
        <v>50</v>
      </c>
      <c r="J15">
        <v>1</v>
      </c>
      <c r="K15">
        <v>0.76202209998155002</v>
      </c>
      <c r="L15" t="s">
        <v>51</v>
      </c>
      <c r="M15">
        <v>0</v>
      </c>
      <c r="N15">
        <v>12</v>
      </c>
      <c r="O15">
        <v>12</v>
      </c>
      <c r="P15">
        <v>19</v>
      </c>
      <c r="Q15">
        <v>18.374143900000401</v>
      </c>
      <c r="V15">
        <v>18.3650125000276</v>
      </c>
      <c r="W15">
        <v>18.374143900000401</v>
      </c>
      <c r="X15">
        <v>18.873332300048698</v>
      </c>
      <c r="Y15">
        <v>18.873332300048698</v>
      </c>
      <c r="Z15">
        <v>18.873332300048698</v>
      </c>
      <c r="AA15">
        <v>19.644725500023899</v>
      </c>
      <c r="AB15" t="s">
        <v>50</v>
      </c>
      <c r="AC15">
        <v>1</v>
      </c>
      <c r="AD15">
        <v>0.76202209998155002</v>
      </c>
      <c r="AE15" t="s">
        <v>51</v>
      </c>
      <c r="AJ15">
        <v>3</v>
      </c>
      <c r="AK15">
        <v>1</v>
      </c>
      <c r="AL15" t="s">
        <v>82</v>
      </c>
      <c r="AM15" t="s">
        <v>43</v>
      </c>
      <c r="AO15" t="s">
        <v>44</v>
      </c>
      <c r="AP15">
        <v>60.124517886762398</v>
      </c>
      <c r="AQ15" t="s">
        <v>83</v>
      </c>
    </row>
    <row r="16" spans="1:43" x14ac:dyDescent="0.3">
      <c r="A16" t="s">
        <v>65</v>
      </c>
      <c r="B16" t="s">
        <v>59</v>
      </c>
      <c r="C16" t="s">
        <v>56</v>
      </c>
      <c r="D16" t="s">
        <v>49</v>
      </c>
      <c r="E16" t="s">
        <v>57</v>
      </c>
      <c r="F16">
        <v>13</v>
      </c>
      <c r="G16">
        <v>13</v>
      </c>
      <c r="H16">
        <v>0</v>
      </c>
      <c r="I16" t="s">
        <v>57</v>
      </c>
      <c r="J16">
        <v>1</v>
      </c>
      <c r="K16">
        <v>0.71704779996071</v>
      </c>
      <c r="L16" t="s">
        <v>51</v>
      </c>
      <c r="M16">
        <v>0</v>
      </c>
      <c r="N16">
        <v>13</v>
      </c>
      <c r="O16">
        <v>13</v>
      </c>
      <c r="P16">
        <v>9</v>
      </c>
      <c r="Q16">
        <v>19.656812200031698</v>
      </c>
      <c r="V16">
        <v>19.650540000002302</v>
      </c>
      <c r="W16">
        <v>19.656812200031698</v>
      </c>
      <c r="X16">
        <v>20.157730100036101</v>
      </c>
      <c r="Y16">
        <v>20.157730100036101</v>
      </c>
      <c r="Z16">
        <v>20.157730100036101</v>
      </c>
      <c r="AA16">
        <v>20.878325199999299</v>
      </c>
      <c r="AB16" t="s">
        <v>57</v>
      </c>
      <c r="AC16">
        <v>1</v>
      </c>
      <c r="AD16">
        <v>0.71704779996071</v>
      </c>
      <c r="AE16" t="s">
        <v>51</v>
      </c>
      <c r="AJ16">
        <v>3</v>
      </c>
      <c r="AK16">
        <v>1</v>
      </c>
      <c r="AL16" t="s">
        <v>82</v>
      </c>
      <c r="AM16" t="s">
        <v>43</v>
      </c>
      <c r="AO16" t="s">
        <v>44</v>
      </c>
      <c r="AP16">
        <v>60.124517886762398</v>
      </c>
      <c r="AQ16" t="s">
        <v>83</v>
      </c>
    </row>
    <row r="17" spans="1:43" x14ac:dyDescent="0.3">
      <c r="A17" t="s">
        <v>76</v>
      </c>
      <c r="B17" t="s">
        <v>59</v>
      </c>
      <c r="C17" t="s">
        <v>48</v>
      </c>
      <c r="D17" t="s">
        <v>49</v>
      </c>
      <c r="E17" t="s">
        <v>50</v>
      </c>
      <c r="F17">
        <v>14</v>
      </c>
      <c r="G17">
        <v>14</v>
      </c>
      <c r="H17">
        <v>0</v>
      </c>
      <c r="I17" t="s">
        <v>50</v>
      </c>
      <c r="J17">
        <v>1</v>
      </c>
      <c r="K17">
        <v>1.41747049998957</v>
      </c>
      <c r="L17" t="s">
        <v>51</v>
      </c>
      <c r="M17">
        <v>0</v>
      </c>
      <c r="N17">
        <v>14</v>
      </c>
      <c r="O17">
        <v>14</v>
      </c>
      <c r="P17">
        <v>3</v>
      </c>
      <c r="Q17">
        <v>20.890314400021399</v>
      </c>
      <c r="V17">
        <v>20.881119700032201</v>
      </c>
      <c r="W17">
        <v>20.890314400021399</v>
      </c>
      <c r="X17">
        <v>21.390063700033298</v>
      </c>
      <c r="Y17">
        <v>21.390063700033298</v>
      </c>
      <c r="Z17">
        <v>21.390063700033298</v>
      </c>
      <c r="AA17">
        <v>22.810511000046901</v>
      </c>
      <c r="AB17" t="s">
        <v>50</v>
      </c>
      <c r="AC17">
        <v>1</v>
      </c>
      <c r="AD17">
        <v>1.41747049998957</v>
      </c>
      <c r="AE17" t="s">
        <v>51</v>
      </c>
      <c r="AJ17">
        <v>3</v>
      </c>
      <c r="AK17">
        <v>1</v>
      </c>
      <c r="AL17" t="s">
        <v>82</v>
      </c>
      <c r="AM17" t="s">
        <v>43</v>
      </c>
      <c r="AO17" t="s">
        <v>44</v>
      </c>
      <c r="AP17">
        <v>60.124517886762398</v>
      </c>
      <c r="AQ17" t="s">
        <v>83</v>
      </c>
    </row>
    <row r="18" spans="1:43" x14ac:dyDescent="0.3">
      <c r="A18" t="s">
        <v>60</v>
      </c>
      <c r="B18" t="s">
        <v>59</v>
      </c>
      <c r="C18" t="s">
        <v>61</v>
      </c>
      <c r="D18" t="s">
        <v>62</v>
      </c>
      <c r="E18" t="s">
        <v>63</v>
      </c>
      <c r="F18">
        <v>15</v>
      </c>
      <c r="G18">
        <v>15</v>
      </c>
      <c r="H18">
        <v>0</v>
      </c>
      <c r="I18" t="s">
        <v>63</v>
      </c>
      <c r="J18">
        <v>1</v>
      </c>
      <c r="K18">
        <v>0.73902069998439401</v>
      </c>
      <c r="L18" t="s">
        <v>51</v>
      </c>
      <c r="M18">
        <v>0</v>
      </c>
      <c r="N18">
        <v>15</v>
      </c>
      <c r="O18">
        <v>15</v>
      </c>
      <c r="P18">
        <v>0</v>
      </c>
      <c r="Q18">
        <v>22.823239800054498</v>
      </c>
      <c r="V18">
        <v>22.816054399998301</v>
      </c>
      <c r="W18">
        <v>22.823239800054498</v>
      </c>
      <c r="X18">
        <v>23.323702400026299</v>
      </c>
      <c r="Y18">
        <v>23.323702400026299</v>
      </c>
      <c r="Z18">
        <v>23.323702400026299</v>
      </c>
      <c r="AA18">
        <v>24.077828600013099</v>
      </c>
      <c r="AB18" t="s">
        <v>63</v>
      </c>
      <c r="AC18">
        <v>1</v>
      </c>
      <c r="AD18">
        <v>0.73902069998439401</v>
      </c>
      <c r="AE18" t="s">
        <v>51</v>
      </c>
      <c r="AJ18">
        <v>3</v>
      </c>
      <c r="AK18">
        <v>1</v>
      </c>
      <c r="AL18" t="s">
        <v>82</v>
      </c>
      <c r="AM18" t="s">
        <v>43</v>
      </c>
      <c r="AO18" t="s">
        <v>44</v>
      </c>
      <c r="AP18">
        <v>60.124517886762398</v>
      </c>
      <c r="AQ18" t="s">
        <v>83</v>
      </c>
    </row>
    <row r="19" spans="1:43" x14ac:dyDescent="0.3">
      <c r="A19" t="s">
        <v>71</v>
      </c>
      <c r="B19" t="s">
        <v>47</v>
      </c>
      <c r="C19" t="s">
        <v>48</v>
      </c>
      <c r="D19" t="s">
        <v>49</v>
      </c>
      <c r="E19" t="s">
        <v>50</v>
      </c>
      <c r="F19">
        <v>16</v>
      </c>
      <c r="G19">
        <v>16</v>
      </c>
      <c r="H19">
        <v>0</v>
      </c>
      <c r="I19" t="s">
        <v>50</v>
      </c>
      <c r="J19">
        <v>1</v>
      </c>
      <c r="K19">
        <v>0.40014530002372301</v>
      </c>
      <c r="L19" t="s">
        <v>51</v>
      </c>
      <c r="M19">
        <v>0</v>
      </c>
      <c r="N19">
        <v>16</v>
      </c>
      <c r="O19">
        <v>16</v>
      </c>
      <c r="P19">
        <v>15</v>
      </c>
      <c r="Q19">
        <v>24.090288500010502</v>
      </c>
      <c r="V19">
        <v>24.080495300004198</v>
      </c>
      <c r="W19">
        <v>24.090288500010502</v>
      </c>
      <c r="X19">
        <v>24.590950600046199</v>
      </c>
      <c r="Y19">
        <v>24.590950600046199</v>
      </c>
      <c r="Z19">
        <v>24.590950600046199</v>
      </c>
      <c r="AA19">
        <v>24.9950297000468</v>
      </c>
      <c r="AB19" t="s">
        <v>50</v>
      </c>
      <c r="AC19">
        <v>1</v>
      </c>
      <c r="AD19">
        <v>0.40014530002372301</v>
      </c>
      <c r="AE19" t="s">
        <v>51</v>
      </c>
      <c r="AJ19">
        <v>3</v>
      </c>
      <c r="AK19">
        <v>1</v>
      </c>
      <c r="AL19" t="s">
        <v>82</v>
      </c>
      <c r="AM19" t="s">
        <v>43</v>
      </c>
      <c r="AO19" t="s">
        <v>44</v>
      </c>
      <c r="AP19">
        <v>60.124517886762398</v>
      </c>
      <c r="AQ19" t="s">
        <v>83</v>
      </c>
    </row>
    <row r="20" spans="1:43" x14ac:dyDescent="0.3">
      <c r="A20" t="s">
        <v>68</v>
      </c>
      <c r="B20" t="s">
        <v>59</v>
      </c>
      <c r="C20" t="s">
        <v>53</v>
      </c>
      <c r="D20" t="s">
        <v>49</v>
      </c>
      <c r="E20" t="s">
        <v>54</v>
      </c>
      <c r="F20">
        <v>17</v>
      </c>
      <c r="G20">
        <v>17</v>
      </c>
      <c r="H20">
        <v>0</v>
      </c>
      <c r="I20" t="s">
        <v>54</v>
      </c>
      <c r="J20">
        <v>1</v>
      </c>
      <c r="K20">
        <v>0.71130130003439196</v>
      </c>
      <c r="L20" t="s">
        <v>51</v>
      </c>
      <c r="M20">
        <v>0</v>
      </c>
      <c r="N20">
        <v>17</v>
      </c>
      <c r="O20">
        <v>17</v>
      </c>
      <c r="P20">
        <v>6</v>
      </c>
      <c r="Q20">
        <v>25.022643600008401</v>
      </c>
      <c r="V20">
        <v>25.001297300041099</v>
      </c>
      <c r="W20">
        <v>25.022643600008401</v>
      </c>
      <c r="X20">
        <v>25.507041200005901</v>
      </c>
      <c r="Y20">
        <v>25.507041200005901</v>
      </c>
      <c r="Z20">
        <v>25.507041200005901</v>
      </c>
      <c r="AA20">
        <v>26.230267600039902</v>
      </c>
      <c r="AB20" t="s">
        <v>54</v>
      </c>
      <c r="AC20">
        <v>1</v>
      </c>
      <c r="AD20">
        <v>0.71130130003439196</v>
      </c>
      <c r="AE20" t="s">
        <v>51</v>
      </c>
      <c r="AJ20">
        <v>3</v>
      </c>
      <c r="AK20">
        <v>1</v>
      </c>
      <c r="AL20" t="s">
        <v>82</v>
      </c>
      <c r="AM20" t="s">
        <v>43</v>
      </c>
      <c r="AO20" t="s">
        <v>44</v>
      </c>
      <c r="AP20">
        <v>60.124517886762398</v>
      </c>
      <c r="AQ20" t="s">
        <v>83</v>
      </c>
    </row>
    <row r="21" spans="1:43" x14ac:dyDescent="0.3">
      <c r="A21" t="s">
        <v>69</v>
      </c>
      <c r="B21" t="s">
        <v>59</v>
      </c>
      <c r="C21" t="s">
        <v>56</v>
      </c>
      <c r="D21" t="s">
        <v>49</v>
      </c>
      <c r="E21" t="s">
        <v>57</v>
      </c>
      <c r="F21">
        <v>18</v>
      </c>
      <c r="G21">
        <v>18</v>
      </c>
      <c r="H21">
        <v>0</v>
      </c>
      <c r="I21" t="s">
        <v>57</v>
      </c>
      <c r="J21">
        <v>1</v>
      </c>
      <c r="K21">
        <v>0.55256189999636196</v>
      </c>
      <c r="L21" t="s">
        <v>51</v>
      </c>
      <c r="M21">
        <v>0</v>
      </c>
      <c r="N21">
        <v>18</v>
      </c>
      <c r="O21">
        <v>18</v>
      </c>
      <c r="P21">
        <v>5</v>
      </c>
      <c r="Q21">
        <v>26.256112100032599</v>
      </c>
      <c r="V21">
        <v>26.234865000005801</v>
      </c>
      <c r="W21">
        <v>26.256112100032599</v>
      </c>
      <c r="X21">
        <v>26.739777900045699</v>
      </c>
      <c r="Y21">
        <v>26.739777900045699</v>
      </c>
      <c r="Z21">
        <v>26.739777900045699</v>
      </c>
      <c r="AA21">
        <v>27.295264700020098</v>
      </c>
      <c r="AB21" t="s">
        <v>57</v>
      </c>
      <c r="AC21">
        <v>1</v>
      </c>
      <c r="AD21">
        <v>0.55256189999636196</v>
      </c>
      <c r="AE21" t="s">
        <v>51</v>
      </c>
      <c r="AJ21">
        <v>3</v>
      </c>
      <c r="AK21">
        <v>1</v>
      </c>
      <c r="AL21" t="s">
        <v>82</v>
      </c>
      <c r="AM21" t="s">
        <v>43</v>
      </c>
      <c r="AO21" t="s">
        <v>44</v>
      </c>
      <c r="AP21">
        <v>60.124517886762398</v>
      </c>
      <c r="AQ21" t="s">
        <v>83</v>
      </c>
    </row>
    <row r="22" spans="1:43" x14ac:dyDescent="0.3">
      <c r="A22" t="s">
        <v>72</v>
      </c>
      <c r="B22" t="s">
        <v>59</v>
      </c>
      <c r="C22" t="s">
        <v>61</v>
      </c>
      <c r="D22" t="s">
        <v>62</v>
      </c>
      <c r="E22" t="s">
        <v>63</v>
      </c>
      <c r="F22">
        <v>19</v>
      </c>
      <c r="G22">
        <v>19</v>
      </c>
      <c r="H22">
        <v>0</v>
      </c>
      <c r="I22" t="s">
        <v>63</v>
      </c>
      <c r="J22">
        <v>1</v>
      </c>
      <c r="K22">
        <v>0.74195379996672195</v>
      </c>
      <c r="L22" t="s">
        <v>51</v>
      </c>
      <c r="M22">
        <v>0</v>
      </c>
      <c r="N22">
        <v>19</v>
      </c>
      <c r="O22">
        <v>19</v>
      </c>
      <c r="P22">
        <v>8</v>
      </c>
      <c r="Q22">
        <v>27.306916700035799</v>
      </c>
      <c r="V22">
        <v>27.299408000020701</v>
      </c>
      <c r="W22">
        <v>27.306916700035799</v>
      </c>
      <c r="X22">
        <v>27.806980800000002</v>
      </c>
      <c r="Y22">
        <v>27.806980800000002</v>
      </c>
      <c r="Z22">
        <v>27.806980800000002</v>
      </c>
      <c r="AA22">
        <v>28.561312000034299</v>
      </c>
      <c r="AB22" t="s">
        <v>63</v>
      </c>
      <c r="AC22">
        <v>1</v>
      </c>
      <c r="AD22">
        <v>0.74195379996672195</v>
      </c>
      <c r="AE22" t="s">
        <v>51</v>
      </c>
      <c r="AJ22">
        <v>3</v>
      </c>
      <c r="AK22">
        <v>1</v>
      </c>
      <c r="AL22" t="s">
        <v>82</v>
      </c>
      <c r="AM22" t="s">
        <v>43</v>
      </c>
      <c r="AO22" t="s">
        <v>44</v>
      </c>
      <c r="AP22">
        <v>60.124517886762398</v>
      </c>
      <c r="AQ22" t="s">
        <v>83</v>
      </c>
    </row>
    <row r="23" spans="1:43" x14ac:dyDescent="0.3">
      <c r="A23" t="s">
        <v>76</v>
      </c>
      <c r="B23" t="s">
        <v>59</v>
      </c>
      <c r="C23" t="s">
        <v>48</v>
      </c>
      <c r="D23" t="s">
        <v>49</v>
      </c>
      <c r="E23" t="s">
        <v>50</v>
      </c>
      <c r="F23">
        <v>20</v>
      </c>
      <c r="G23">
        <v>0</v>
      </c>
      <c r="H23">
        <v>1</v>
      </c>
      <c r="I23" t="s">
        <v>50</v>
      </c>
      <c r="J23">
        <v>1</v>
      </c>
      <c r="K23">
        <v>1.33236480003688</v>
      </c>
      <c r="L23" t="s">
        <v>51</v>
      </c>
      <c r="M23">
        <v>1</v>
      </c>
      <c r="N23">
        <v>0</v>
      </c>
      <c r="O23">
        <v>20</v>
      </c>
      <c r="P23">
        <v>3</v>
      </c>
      <c r="Q23">
        <v>28.57355000003</v>
      </c>
      <c r="V23">
        <v>28.564043899998001</v>
      </c>
      <c r="W23">
        <v>28.57355000003</v>
      </c>
      <c r="X23">
        <v>29.073411100020099</v>
      </c>
      <c r="Y23">
        <v>29.073411100020099</v>
      </c>
      <c r="Z23">
        <v>29.073411100020099</v>
      </c>
      <c r="AA23">
        <v>30.410732100019199</v>
      </c>
      <c r="AB23" t="s">
        <v>50</v>
      </c>
      <c r="AC23">
        <v>1</v>
      </c>
      <c r="AD23">
        <v>1.33236480003688</v>
      </c>
      <c r="AE23" t="s">
        <v>51</v>
      </c>
      <c r="AJ23">
        <v>3</v>
      </c>
      <c r="AK23">
        <v>1</v>
      </c>
      <c r="AL23" t="s">
        <v>82</v>
      </c>
      <c r="AM23" t="s">
        <v>43</v>
      </c>
      <c r="AO23" t="s">
        <v>44</v>
      </c>
      <c r="AP23">
        <v>60.124517886762398</v>
      </c>
      <c r="AQ23" t="s">
        <v>83</v>
      </c>
    </row>
    <row r="24" spans="1:43" x14ac:dyDescent="0.3">
      <c r="A24" t="s">
        <v>78</v>
      </c>
      <c r="B24" t="s">
        <v>47</v>
      </c>
      <c r="C24" t="s">
        <v>56</v>
      </c>
      <c r="D24" t="s">
        <v>49</v>
      </c>
      <c r="E24" t="s">
        <v>57</v>
      </c>
      <c r="F24">
        <v>21</v>
      </c>
      <c r="G24">
        <v>1</v>
      </c>
      <c r="H24">
        <v>1</v>
      </c>
      <c r="I24" t="s">
        <v>57</v>
      </c>
      <c r="J24">
        <v>1</v>
      </c>
      <c r="K24">
        <v>0.62628329999279198</v>
      </c>
      <c r="L24" t="s">
        <v>51</v>
      </c>
      <c r="M24">
        <v>1</v>
      </c>
      <c r="N24">
        <v>1</v>
      </c>
      <c r="O24">
        <v>21</v>
      </c>
      <c r="P24">
        <v>17</v>
      </c>
      <c r="Q24">
        <v>30.423431000031901</v>
      </c>
      <c r="V24">
        <v>30.413115200004501</v>
      </c>
      <c r="W24">
        <v>30.423431000031901</v>
      </c>
      <c r="X24">
        <v>30.923470000037899</v>
      </c>
      <c r="Y24">
        <v>30.923470000037899</v>
      </c>
      <c r="Z24">
        <v>30.923470000037899</v>
      </c>
      <c r="AA24">
        <v>31.559978600009298</v>
      </c>
      <c r="AB24" t="s">
        <v>57</v>
      </c>
      <c r="AC24">
        <v>1</v>
      </c>
      <c r="AD24">
        <v>0.62628329999279198</v>
      </c>
      <c r="AE24" t="s">
        <v>51</v>
      </c>
      <c r="AJ24">
        <v>3</v>
      </c>
      <c r="AK24">
        <v>1</v>
      </c>
      <c r="AL24" t="s">
        <v>82</v>
      </c>
      <c r="AM24" t="s">
        <v>43</v>
      </c>
      <c r="AO24" t="s">
        <v>44</v>
      </c>
      <c r="AP24">
        <v>60.124517886762398</v>
      </c>
      <c r="AQ24" t="s">
        <v>83</v>
      </c>
    </row>
    <row r="25" spans="1:43" x14ac:dyDescent="0.3">
      <c r="A25" t="s">
        <v>75</v>
      </c>
      <c r="B25" t="s">
        <v>47</v>
      </c>
      <c r="C25" t="s">
        <v>61</v>
      </c>
      <c r="D25" t="s">
        <v>49</v>
      </c>
      <c r="E25" t="s">
        <v>63</v>
      </c>
      <c r="F25">
        <v>22</v>
      </c>
      <c r="G25">
        <v>2</v>
      </c>
      <c r="H25">
        <v>1</v>
      </c>
      <c r="I25" t="s">
        <v>63</v>
      </c>
      <c r="J25">
        <v>1</v>
      </c>
      <c r="K25">
        <v>0.77830319997155994</v>
      </c>
      <c r="L25" t="s">
        <v>51</v>
      </c>
      <c r="M25">
        <v>1</v>
      </c>
      <c r="N25">
        <v>2</v>
      </c>
      <c r="O25">
        <v>22</v>
      </c>
      <c r="P25">
        <v>16</v>
      </c>
      <c r="Q25">
        <v>31.573199600039501</v>
      </c>
      <c r="V25">
        <v>31.563579100009498</v>
      </c>
      <c r="W25">
        <v>31.573199600039501</v>
      </c>
      <c r="X25">
        <v>32.075075700005897</v>
      </c>
      <c r="Y25">
        <v>32.075075700005897</v>
      </c>
      <c r="Z25">
        <v>32.075075700005897</v>
      </c>
      <c r="AA25">
        <v>32.860506700002503</v>
      </c>
      <c r="AB25" t="s">
        <v>63</v>
      </c>
      <c r="AC25">
        <v>1</v>
      </c>
      <c r="AD25">
        <v>0.77830319997155994</v>
      </c>
      <c r="AE25" t="s">
        <v>51</v>
      </c>
      <c r="AJ25">
        <v>3</v>
      </c>
      <c r="AK25">
        <v>1</v>
      </c>
      <c r="AL25" t="s">
        <v>82</v>
      </c>
      <c r="AM25" t="s">
        <v>43</v>
      </c>
      <c r="AO25" t="s">
        <v>44</v>
      </c>
      <c r="AP25">
        <v>60.124517886762398</v>
      </c>
      <c r="AQ25" t="s">
        <v>83</v>
      </c>
    </row>
    <row r="26" spans="1:43" x14ac:dyDescent="0.3">
      <c r="A26" t="s">
        <v>46</v>
      </c>
      <c r="B26" t="s">
        <v>47</v>
      </c>
      <c r="C26" t="s">
        <v>48</v>
      </c>
      <c r="D26" t="s">
        <v>49</v>
      </c>
      <c r="E26" t="s">
        <v>50</v>
      </c>
      <c r="F26">
        <v>23</v>
      </c>
      <c r="G26">
        <v>3</v>
      </c>
      <c r="H26">
        <v>1</v>
      </c>
      <c r="I26" t="s">
        <v>50</v>
      </c>
      <c r="J26">
        <v>1</v>
      </c>
      <c r="K26">
        <v>1.1990661000017999</v>
      </c>
      <c r="L26" t="s">
        <v>51</v>
      </c>
      <c r="M26">
        <v>1</v>
      </c>
      <c r="N26">
        <v>3</v>
      </c>
      <c r="O26">
        <v>23</v>
      </c>
      <c r="P26">
        <v>19</v>
      </c>
      <c r="Q26">
        <v>32.873196500004198</v>
      </c>
      <c r="V26">
        <v>32.863972300023299</v>
      </c>
      <c r="W26">
        <v>32.873196500004198</v>
      </c>
      <c r="X26">
        <v>33.373114400019404</v>
      </c>
      <c r="Y26">
        <v>33.373114400019404</v>
      </c>
      <c r="Z26">
        <v>33.373114400019404</v>
      </c>
      <c r="AA26">
        <v>34.577640600036801</v>
      </c>
      <c r="AB26" t="s">
        <v>50</v>
      </c>
      <c r="AC26">
        <v>1</v>
      </c>
      <c r="AD26">
        <v>1.1990661000017999</v>
      </c>
      <c r="AE26" t="s">
        <v>51</v>
      </c>
      <c r="AJ26">
        <v>3</v>
      </c>
      <c r="AK26">
        <v>1</v>
      </c>
      <c r="AL26" t="s">
        <v>82</v>
      </c>
      <c r="AM26" t="s">
        <v>43</v>
      </c>
      <c r="AO26" t="s">
        <v>44</v>
      </c>
      <c r="AP26">
        <v>60.124517886762398</v>
      </c>
      <c r="AQ26" t="s">
        <v>83</v>
      </c>
    </row>
    <row r="27" spans="1:43" x14ac:dyDescent="0.3">
      <c r="A27" t="s">
        <v>60</v>
      </c>
      <c r="B27" t="s">
        <v>59</v>
      </c>
      <c r="C27" t="s">
        <v>61</v>
      </c>
      <c r="D27" t="s">
        <v>62</v>
      </c>
      <c r="E27" t="s">
        <v>63</v>
      </c>
      <c r="F27">
        <v>24</v>
      </c>
      <c r="G27">
        <v>4</v>
      </c>
      <c r="H27">
        <v>1</v>
      </c>
      <c r="I27" t="s">
        <v>63</v>
      </c>
      <c r="J27">
        <v>1</v>
      </c>
      <c r="K27">
        <v>0.86663750000298001</v>
      </c>
      <c r="L27" t="s">
        <v>51</v>
      </c>
      <c r="M27">
        <v>1</v>
      </c>
      <c r="N27">
        <v>4</v>
      </c>
      <c r="O27">
        <v>24</v>
      </c>
      <c r="P27">
        <v>0</v>
      </c>
      <c r="Q27">
        <v>34.5897326000267</v>
      </c>
      <c r="V27">
        <v>34.580860000045497</v>
      </c>
      <c r="W27">
        <v>34.5897326000267</v>
      </c>
      <c r="X27">
        <v>35.0901009000372</v>
      </c>
      <c r="Y27">
        <v>35.0901009000372</v>
      </c>
      <c r="Z27">
        <v>35.0901009000372</v>
      </c>
      <c r="AA27">
        <v>35.960662800003703</v>
      </c>
      <c r="AB27" t="s">
        <v>63</v>
      </c>
      <c r="AC27">
        <v>1</v>
      </c>
      <c r="AD27">
        <v>0.86663750000298001</v>
      </c>
      <c r="AE27" t="s">
        <v>51</v>
      </c>
      <c r="AJ27">
        <v>3</v>
      </c>
      <c r="AK27">
        <v>1</v>
      </c>
      <c r="AL27" t="s">
        <v>82</v>
      </c>
      <c r="AM27" t="s">
        <v>43</v>
      </c>
      <c r="AO27" t="s">
        <v>44</v>
      </c>
      <c r="AP27">
        <v>60.124517886762398</v>
      </c>
      <c r="AQ27" t="s">
        <v>83</v>
      </c>
    </row>
    <row r="28" spans="1:43" x14ac:dyDescent="0.3">
      <c r="A28" t="s">
        <v>55</v>
      </c>
      <c r="B28" t="s">
        <v>47</v>
      </c>
      <c r="C28" t="s">
        <v>56</v>
      </c>
      <c r="D28" t="s">
        <v>49</v>
      </c>
      <c r="E28" t="s">
        <v>57</v>
      </c>
      <c r="F28">
        <v>25</v>
      </c>
      <c r="G28">
        <v>5</v>
      </c>
      <c r="H28">
        <v>1</v>
      </c>
      <c r="I28" t="s">
        <v>57</v>
      </c>
      <c r="J28">
        <v>1</v>
      </c>
      <c r="K28">
        <v>0.81771999999182299</v>
      </c>
      <c r="L28" t="s">
        <v>51</v>
      </c>
      <c r="M28">
        <v>1</v>
      </c>
      <c r="N28">
        <v>5</v>
      </c>
      <c r="O28">
        <v>25</v>
      </c>
      <c r="P28">
        <v>13</v>
      </c>
      <c r="Q28">
        <v>35.973065500031197</v>
      </c>
      <c r="V28">
        <v>35.963543899997603</v>
      </c>
      <c r="W28">
        <v>35.973065500031197</v>
      </c>
      <c r="X28">
        <v>36.473430600017302</v>
      </c>
      <c r="Y28">
        <v>36.473430600017302</v>
      </c>
      <c r="Z28">
        <v>36.473430600017302</v>
      </c>
      <c r="AA28">
        <v>37.293632500048197</v>
      </c>
      <c r="AB28" t="s">
        <v>57</v>
      </c>
      <c r="AC28">
        <v>1</v>
      </c>
      <c r="AD28">
        <v>0.81771999999182299</v>
      </c>
      <c r="AE28" t="s">
        <v>51</v>
      </c>
      <c r="AJ28">
        <v>3</v>
      </c>
      <c r="AK28">
        <v>1</v>
      </c>
      <c r="AL28" t="s">
        <v>82</v>
      </c>
      <c r="AM28" t="s">
        <v>43</v>
      </c>
      <c r="AO28" t="s">
        <v>44</v>
      </c>
      <c r="AP28">
        <v>60.124517886762398</v>
      </c>
      <c r="AQ28" t="s">
        <v>83</v>
      </c>
    </row>
    <row r="29" spans="1:43" x14ac:dyDescent="0.3">
      <c r="A29" t="s">
        <v>64</v>
      </c>
      <c r="B29" t="s">
        <v>47</v>
      </c>
      <c r="C29" t="s">
        <v>53</v>
      </c>
      <c r="D29" t="s">
        <v>49</v>
      </c>
      <c r="E29" t="s">
        <v>54</v>
      </c>
      <c r="F29">
        <v>26</v>
      </c>
      <c r="G29">
        <v>6</v>
      </c>
      <c r="H29">
        <v>1</v>
      </c>
      <c r="I29" t="s">
        <v>54</v>
      </c>
      <c r="J29">
        <v>1</v>
      </c>
      <c r="K29">
        <v>1.80232519999844</v>
      </c>
      <c r="L29" t="s">
        <v>51</v>
      </c>
      <c r="M29">
        <v>1</v>
      </c>
      <c r="N29">
        <v>6</v>
      </c>
      <c r="O29">
        <v>26</v>
      </c>
      <c r="P29">
        <v>18</v>
      </c>
      <c r="Q29">
        <v>37.306915800028897</v>
      </c>
      <c r="V29">
        <v>37.296133900002999</v>
      </c>
      <c r="W29">
        <v>37.306915800028897</v>
      </c>
      <c r="X29">
        <v>37.806287800020002</v>
      </c>
      <c r="Y29">
        <v>37.806287800020002</v>
      </c>
      <c r="Z29">
        <v>37.806287800020002</v>
      </c>
      <c r="AA29">
        <v>39.610367400047799</v>
      </c>
      <c r="AB29" t="s">
        <v>54</v>
      </c>
      <c r="AC29">
        <v>1</v>
      </c>
      <c r="AD29">
        <v>1.80232519999844</v>
      </c>
      <c r="AE29" t="s">
        <v>51</v>
      </c>
      <c r="AJ29">
        <v>3</v>
      </c>
      <c r="AK29">
        <v>1</v>
      </c>
      <c r="AL29" t="s">
        <v>82</v>
      </c>
      <c r="AM29" t="s">
        <v>43</v>
      </c>
      <c r="AO29" t="s">
        <v>44</v>
      </c>
      <c r="AP29">
        <v>60.124517886762398</v>
      </c>
      <c r="AQ29" t="s">
        <v>83</v>
      </c>
    </row>
    <row r="30" spans="1:43" x14ac:dyDescent="0.3">
      <c r="A30" t="s">
        <v>67</v>
      </c>
      <c r="B30" t="s">
        <v>47</v>
      </c>
      <c r="C30" t="s">
        <v>53</v>
      </c>
      <c r="D30" t="s">
        <v>49</v>
      </c>
      <c r="E30" t="s">
        <v>54</v>
      </c>
      <c r="F30">
        <v>27</v>
      </c>
      <c r="G30">
        <v>7</v>
      </c>
      <c r="H30">
        <v>1</v>
      </c>
      <c r="I30" t="s">
        <v>54</v>
      </c>
      <c r="J30">
        <v>1</v>
      </c>
      <c r="K30">
        <v>0.58062189997872304</v>
      </c>
      <c r="L30" t="s">
        <v>51</v>
      </c>
      <c r="M30">
        <v>1</v>
      </c>
      <c r="N30">
        <v>7</v>
      </c>
      <c r="O30">
        <v>27</v>
      </c>
      <c r="P30">
        <v>10</v>
      </c>
      <c r="Q30">
        <v>39.623255100042996</v>
      </c>
      <c r="V30">
        <v>39.6130279000499</v>
      </c>
      <c r="W30">
        <v>39.623255100042996</v>
      </c>
      <c r="X30">
        <v>40.122631600010202</v>
      </c>
      <c r="Y30">
        <v>40.122631600010202</v>
      </c>
      <c r="Z30">
        <v>40.122631600010202</v>
      </c>
      <c r="AA30">
        <v>40.709893800027203</v>
      </c>
      <c r="AB30" t="s">
        <v>54</v>
      </c>
      <c r="AC30">
        <v>1</v>
      </c>
      <c r="AD30">
        <v>0.58062189997872304</v>
      </c>
      <c r="AE30" t="s">
        <v>51</v>
      </c>
      <c r="AJ30">
        <v>3</v>
      </c>
      <c r="AK30">
        <v>1</v>
      </c>
      <c r="AL30" t="s">
        <v>82</v>
      </c>
      <c r="AM30" t="s">
        <v>43</v>
      </c>
      <c r="AO30" t="s">
        <v>44</v>
      </c>
      <c r="AP30">
        <v>60.124517886762398</v>
      </c>
      <c r="AQ30" t="s">
        <v>83</v>
      </c>
    </row>
    <row r="31" spans="1:43" x14ac:dyDescent="0.3">
      <c r="A31" t="s">
        <v>65</v>
      </c>
      <c r="B31" t="s">
        <v>59</v>
      </c>
      <c r="C31" t="s">
        <v>56</v>
      </c>
      <c r="D31" t="s">
        <v>49</v>
      </c>
      <c r="E31" t="s">
        <v>57</v>
      </c>
      <c r="F31">
        <v>28</v>
      </c>
      <c r="G31">
        <v>8</v>
      </c>
      <c r="H31">
        <v>1</v>
      </c>
      <c r="I31" t="s">
        <v>57</v>
      </c>
      <c r="J31">
        <v>1</v>
      </c>
      <c r="K31">
        <v>1.8378823000239199</v>
      </c>
      <c r="L31" t="s">
        <v>51</v>
      </c>
      <c r="M31">
        <v>1</v>
      </c>
      <c r="N31">
        <v>8</v>
      </c>
      <c r="O31">
        <v>28</v>
      </c>
      <c r="P31">
        <v>9</v>
      </c>
      <c r="Q31">
        <v>40.722717099997602</v>
      </c>
      <c r="V31">
        <v>40.712822600034997</v>
      </c>
      <c r="W31">
        <v>40.722717099997602</v>
      </c>
      <c r="X31">
        <v>41.222795700014103</v>
      </c>
      <c r="Y31">
        <v>41.222795700014103</v>
      </c>
      <c r="Z31">
        <v>41.222795700014103</v>
      </c>
      <c r="AA31">
        <v>43.076609300042001</v>
      </c>
      <c r="AB31" t="s">
        <v>57</v>
      </c>
      <c r="AC31">
        <v>1</v>
      </c>
      <c r="AD31">
        <v>1.8378823000239199</v>
      </c>
      <c r="AE31" t="s">
        <v>51</v>
      </c>
      <c r="AJ31">
        <v>3</v>
      </c>
      <c r="AK31">
        <v>1</v>
      </c>
      <c r="AL31" t="s">
        <v>82</v>
      </c>
      <c r="AM31" t="s">
        <v>43</v>
      </c>
      <c r="AO31" t="s">
        <v>44</v>
      </c>
      <c r="AP31">
        <v>60.124517886762398</v>
      </c>
      <c r="AQ31" t="s">
        <v>83</v>
      </c>
    </row>
    <row r="32" spans="1:43" x14ac:dyDescent="0.3">
      <c r="A32" t="s">
        <v>73</v>
      </c>
      <c r="B32" t="s">
        <v>59</v>
      </c>
      <c r="C32" t="s">
        <v>56</v>
      </c>
      <c r="D32" t="s">
        <v>49</v>
      </c>
      <c r="E32" t="s">
        <v>57</v>
      </c>
      <c r="F32">
        <v>29</v>
      </c>
      <c r="G32">
        <v>9</v>
      </c>
      <c r="H32">
        <v>1</v>
      </c>
      <c r="I32" t="s">
        <v>57</v>
      </c>
      <c r="J32">
        <v>1</v>
      </c>
      <c r="K32">
        <v>0.49538740003481502</v>
      </c>
      <c r="L32" t="s">
        <v>51</v>
      </c>
      <c r="M32">
        <v>1</v>
      </c>
      <c r="N32">
        <v>9</v>
      </c>
      <c r="O32">
        <v>29</v>
      </c>
      <c r="P32">
        <v>1</v>
      </c>
      <c r="Q32">
        <v>43.089487200020798</v>
      </c>
      <c r="V32">
        <v>43.079598600044797</v>
      </c>
      <c r="W32">
        <v>43.089487200020798</v>
      </c>
      <c r="X32">
        <v>43.589613100048098</v>
      </c>
      <c r="Y32">
        <v>43.589613100048098</v>
      </c>
      <c r="Z32">
        <v>43.589613100048098</v>
      </c>
      <c r="AA32">
        <v>44.093253099999799</v>
      </c>
      <c r="AB32" t="s">
        <v>57</v>
      </c>
      <c r="AC32">
        <v>1</v>
      </c>
      <c r="AD32">
        <v>0.49538740003481502</v>
      </c>
      <c r="AE32" t="s">
        <v>51</v>
      </c>
      <c r="AJ32">
        <v>3</v>
      </c>
      <c r="AK32">
        <v>1</v>
      </c>
      <c r="AL32" t="s">
        <v>82</v>
      </c>
      <c r="AM32" t="s">
        <v>43</v>
      </c>
      <c r="AO32" t="s">
        <v>44</v>
      </c>
      <c r="AP32">
        <v>60.124517886762398</v>
      </c>
      <c r="AQ32" t="s">
        <v>83</v>
      </c>
    </row>
    <row r="33" spans="1:43" x14ac:dyDescent="0.3">
      <c r="A33" t="s">
        <v>74</v>
      </c>
      <c r="B33" t="s">
        <v>47</v>
      </c>
      <c r="C33" t="s">
        <v>48</v>
      </c>
      <c r="D33" t="s">
        <v>49</v>
      </c>
      <c r="E33" t="s">
        <v>50</v>
      </c>
      <c r="F33">
        <v>30</v>
      </c>
      <c r="G33">
        <v>10</v>
      </c>
      <c r="H33">
        <v>1</v>
      </c>
      <c r="I33" t="s">
        <v>50</v>
      </c>
      <c r="J33">
        <v>1</v>
      </c>
      <c r="K33">
        <v>0.84833309997338802</v>
      </c>
      <c r="L33" t="s">
        <v>51</v>
      </c>
      <c r="M33">
        <v>1</v>
      </c>
      <c r="N33">
        <v>10</v>
      </c>
      <c r="O33">
        <v>30</v>
      </c>
      <c r="P33">
        <v>11</v>
      </c>
      <c r="Q33">
        <v>44.105863100034099</v>
      </c>
      <c r="V33">
        <v>44.096576700045198</v>
      </c>
      <c r="W33">
        <v>44.105863100034099</v>
      </c>
      <c r="X33">
        <v>44.606270900054298</v>
      </c>
      <c r="Y33">
        <v>44.606270900054298</v>
      </c>
      <c r="Z33">
        <v>44.606270900054298</v>
      </c>
      <c r="AA33">
        <v>45.459586500015497</v>
      </c>
      <c r="AB33" t="s">
        <v>50</v>
      </c>
      <c r="AC33">
        <v>1</v>
      </c>
      <c r="AD33">
        <v>0.84833309997338802</v>
      </c>
      <c r="AE33" t="s">
        <v>51</v>
      </c>
      <c r="AJ33">
        <v>3</v>
      </c>
      <c r="AK33">
        <v>1</v>
      </c>
      <c r="AL33" t="s">
        <v>82</v>
      </c>
      <c r="AM33" t="s">
        <v>43</v>
      </c>
      <c r="AO33" t="s">
        <v>44</v>
      </c>
      <c r="AP33">
        <v>60.124517886762398</v>
      </c>
      <c r="AQ33" t="s">
        <v>83</v>
      </c>
    </row>
    <row r="34" spans="1:43" x14ac:dyDescent="0.3">
      <c r="A34" t="s">
        <v>66</v>
      </c>
      <c r="B34" t="s">
        <v>47</v>
      </c>
      <c r="C34" t="s">
        <v>61</v>
      </c>
      <c r="D34" t="s">
        <v>49</v>
      </c>
      <c r="E34" t="s">
        <v>63</v>
      </c>
      <c r="F34">
        <v>31</v>
      </c>
      <c r="G34">
        <v>11</v>
      </c>
      <c r="H34">
        <v>1</v>
      </c>
      <c r="I34" t="s">
        <v>63</v>
      </c>
      <c r="J34">
        <v>1</v>
      </c>
      <c r="K34">
        <v>0.68749070004559998</v>
      </c>
      <c r="L34" t="s">
        <v>51</v>
      </c>
      <c r="M34">
        <v>1</v>
      </c>
      <c r="N34">
        <v>11</v>
      </c>
      <c r="O34">
        <v>31</v>
      </c>
      <c r="P34">
        <v>12</v>
      </c>
      <c r="Q34">
        <v>45.472718900011301</v>
      </c>
      <c r="V34">
        <v>45.463262300007003</v>
      </c>
      <c r="W34">
        <v>45.472718900011301</v>
      </c>
      <c r="X34">
        <v>45.9725373000255</v>
      </c>
      <c r="Y34">
        <v>45.9725373000255</v>
      </c>
      <c r="Z34">
        <v>45.9725373000255</v>
      </c>
      <c r="AA34">
        <v>46.677632500009999</v>
      </c>
      <c r="AB34" t="s">
        <v>63</v>
      </c>
      <c r="AC34">
        <v>1</v>
      </c>
      <c r="AD34">
        <v>0.68749070004559998</v>
      </c>
      <c r="AE34" t="s">
        <v>51</v>
      </c>
      <c r="AJ34">
        <v>3</v>
      </c>
      <c r="AK34">
        <v>1</v>
      </c>
      <c r="AL34" t="s">
        <v>82</v>
      </c>
      <c r="AM34" t="s">
        <v>43</v>
      </c>
      <c r="AO34" t="s">
        <v>44</v>
      </c>
      <c r="AP34">
        <v>60.124517886762398</v>
      </c>
      <c r="AQ34" t="s">
        <v>83</v>
      </c>
    </row>
    <row r="35" spans="1:43" x14ac:dyDescent="0.3">
      <c r="A35" t="s">
        <v>69</v>
      </c>
      <c r="B35" t="s">
        <v>59</v>
      </c>
      <c r="C35" t="s">
        <v>56</v>
      </c>
      <c r="D35" t="s">
        <v>49</v>
      </c>
      <c r="E35" t="s">
        <v>57</v>
      </c>
      <c r="F35">
        <v>32</v>
      </c>
      <c r="G35">
        <v>12</v>
      </c>
      <c r="H35">
        <v>1</v>
      </c>
      <c r="I35" t="s">
        <v>57</v>
      </c>
      <c r="J35">
        <v>1</v>
      </c>
      <c r="K35">
        <v>0.82545399997616098</v>
      </c>
      <c r="L35" t="s">
        <v>51</v>
      </c>
      <c r="M35">
        <v>1</v>
      </c>
      <c r="N35">
        <v>12</v>
      </c>
      <c r="O35">
        <v>32</v>
      </c>
      <c r="P35">
        <v>5</v>
      </c>
      <c r="Q35">
        <v>46.6891845000209</v>
      </c>
      <c r="V35">
        <v>46.680665000050702</v>
      </c>
      <c r="W35">
        <v>46.6891845000209</v>
      </c>
      <c r="X35">
        <v>47.189678499998898</v>
      </c>
      <c r="Y35">
        <v>47.189678499998898</v>
      </c>
      <c r="Z35">
        <v>47.189678499998898</v>
      </c>
      <c r="AA35">
        <v>48.027283700008397</v>
      </c>
      <c r="AB35" t="s">
        <v>57</v>
      </c>
      <c r="AC35">
        <v>1</v>
      </c>
      <c r="AD35">
        <v>0.82545399997616098</v>
      </c>
      <c r="AE35" t="s">
        <v>51</v>
      </c>
      <c r="AJ35">
        <v>3</v>
      </c>
      <c r="AK35">
        <v>1</v>
      </c>
      <c r="AL35" t="s">
        <v>82</v>
      </c>
      <c r="AM35" t="s">
        <v>43</v>
      </c>
      <c r="AO35" t="s">
        <v>44</v>
      </c>
      <c r="AP35">
        <v>60.124517886762398</v>
      </c>
      <c r="AQ35" t="s">
        <v>83</v>
      </c>
    </row>
    <row r="36" spans="1:43" x14ac:dyDescent="0.3">
      <c r="A36" t="s">
        <v>71</v>
      </c>
      <c r="B36" t="s">
        <v>47</v>
      </c>
      <c r="C36" t="s">
        <v>48</v>
      </c>
      <c r="D36" t="s">
        <v>49</v>
      </c>
      <c r="E36" t="s">
        <v>50</v>
      </c>
      <c r="F36">
        <v>33</v>
      </c>
      <c r="G36">
        <v>13</v>
      </c>
      <c r="H36">
        <v>1</v>
      </c>
      <c r="I36" t="s">
        <v>50</v>
      </c>
      <c r="J36">
        <v>1</v>
      </c>
      <c r="K36">
        <v>0.65183819999219805</v>
      </c>
      <c r="L36" t="s">
        <v>51</v>
      </c>
      <c r="M36">
        <v>1</v>
      </c>
      <c r="N36">
        <v>13</v>
      </c>
      <c r="O36">
        <v>33</v>
      </c>
      <c r="P36">
        <v>15</v>
      </c>
      <c r="Q36">
        <v>48.039168200048103</v>
      </c>
      <c r="V36">
        <v>48.030398300033902</v>
      </c>
      <c r="W36">
        <v>48.039168200048103</v>
      </c>
      <c r="X36">
        <v>48.538872400007598</v>
      </c>
      <c r="Y36">
        <v>48.538872400007598</v>
      </c>
      <c r="Z36">
        <v>48.538872400007598</v>
      </c>
      <c r="AA36">
        <v>49.193553500051998</v>
      </c>
      <c r="AB36" t="s">
        <v>50</v>
      </c>
      <c r="AC36">
        <v>1</v>
      </c>
      <c r="AD36">
        <v>0.65183819999219805</v>
      </c>
      <c r="AE36" t="s">
        <v>51</v>
      </c>
      <c r="AJ36">
        <v>3</v>
      </c>
      <c r="AK36">
        <v>1</v>
      </c>
      <c r="AL36" t="s">
        <v>82</v>
      </c>
      <c r="AM36" t="s">
        <v>43</v>
      </c>
      <c r="AO36" t="s">
        <v>44</v>
      </c>
      <c r="AP36">
        <v>60.124517886762398</v>
      </c>
      <c r="AQ36" t="s">
        <v>83</v>
      </c>
    </row>
    <row r="37" spans="1:43" x14ac:dyDescent="0.3">
      <c r="A37" t="s">
        <v>77</v>
      </c>
      <c r="B37" t="s">
        <v>59</v>
      </c>
      <c r="C37" t="s">
        <v>61</v>
      </c>
      <c r="D37" t="s">
        <v>62</v>
      </c>
      <c r="E37" t="s">
        <v>63</v>
      </c>
      <c r="F37">
        <v>34</v>
      </c>
      <c r="G37">
        <v>14</v>
      </c>
      <c r="H37">
        <v>1</v>
      </c>
      <c r="I37" t="s">
        <v>63</v>
      </c>
      <c r="J37">
        <v>1</v>
      </c>
      <c r="K37">
        <v>0.55413760000374102</v>
      </c>
      <c r="L37" t="s">
        <v>51</v>
      </c>
      <c r="M37">
        <v>1</v>
      </c>
      <c r="N37">
        <v>14</v>
      </c>
      <c r="O37">
        <v>34</v>
      </c>
      <c r="P37">
        <v>4</v>
      </c>
      <c r="Q37">
        <v>49.206012600043302</v>
      </c>
      <c r="V37">
        <v>49.1967611000291</v>
      </c>
      <c r="W37">
        <v>49.206012600043302</v>
      </c>
      <c r="X37">
        <v>49.705776800052199</v>
      </c>
      <c r="Y37">
        <v>49.705776800052199</v>
      </c>
      <c r="Z37">
        <v>49.705776800052199</v>
      </c>
      <c r="AA37">
        <v>50.276635100017302</v>
      </c>
      <c r="AB37" t="s">
        <v>63</v>
      </c>
      <c r="AC37">
        <v>1</v>
      </c>
      <c r="AD37">
        <v>0.55413760000374102</v>
      </c>
      <c r="AE37" t="s">
        <v>51</v>
      </c>
      <c r="AJ37">
        <v>3</v>
      </c>
      <c r="AK37">
        <v>1</v>
      </c>
      <c r="AL37" t="s">
        <v>82</v>
      </c>
      <c r="AM37" t="s">
        <v>43</v>
      </c>
      <c r="AO37" t="s">
        <v>44</v>
      </c>
      <c r="AP37">
        <v>60.124517886762398</v>
      </c>
      <c r="AQ37" t="s">
        <v>83</v>
      </c>
    </row>
    <row r="38" spans="1:43" x14ac:dyDescent="0.3">
      <c r="A38" t="s">
        <v>68</v>
      </c>
      <c r="B38" t="s">
        <v>59</v>
      </c>
      <c r="C38" t="s">
        <v>53</v>
      </c>
      <c r="D38" t="s">
        <v>49</v>
      </c>
      <c r="E38" t="s">
        <v>54</v>
      </c>
      <c r="F38">
        <v>35</v>
      </c>
      <c r="G38">
        <v>15</v>
      </c>
      <c r="H38">
        <v>1</v>
      </c>
      <c r="I38" t="s">
        <v>54</v>
      </c>
      <c r="J38">
        <v>1</v>
      </c>
      <c r="K38">
        <v>0.99535959999775503</v>
      </c>
      <c r="L38" t="s">
        <v>51</v>
      </c>
      <c r="M38">
        <v>1</v>
      </c>
      <c r="N38">
        <v>15</v>
      </c>
      <c r="O38">
        <v>35</v>
      </c>
      <c r="P38">
        <v>6</v>
      </c>
      <c r="Q38">
        <v>50.2896577000501</v>
      </c>
      <c r="V38">
        <v>50.279478000011203</v>
      </c>
      <c r="W38">
        <v>50.2896577000501</v>
      </c>
      <c r="X38">
        <v>50.7887588000157</v>
      </c>
      <c r="Y38">
        <v>50.7887588000157</v>
      </c>
      <c r="Z38">
        <v>50.7887588000157</v>
      </c>
      <c r="AA38">
        <v>51.792930800001997</v>
      </c>
      <c r="AB38" t="s">
        <v>54</v>
      </c>
      <c r="AC38">
        <v>1</v>
      </c>
      <c r="AD38">
        <v>0.99535959999775503</v>
      </c>
      <c r="AE38" t="s">
        <v>51</v>
      </c>
      <c r="AJ38">
        <v>3</v>
      </c>
      <c r="AK38">
        <v>1</v>
      </c>
      <c r="AL38" t="s">
        <v>82</v>
      </c>
      <c r="AM38" t="s">
        <v>43</v>
      </c>
      <c r="AO38" t="s">
        <v>44</v>
      </c>
      <c r="AP38">
        <v>60.124517886762398</v>
      </c>
      <c r="AQ38" t="s">
        <v>83</v>
      </c>
    </row>
    <row r="39" spans="1:43" x14ac:dyDescent="0.3">
      <c r="A39" t="s">
        <v>70</v>
      </c>
      <c r="B39" t="s">
        <v>59</v>
      </c>
      <c r="C39" t="s">
        <v>53</v>
      </c>
      <c r="D39" t="s">
        <v>49</v>
      </c>
      <c r="E39" t="s">
        <v>54</v>
      </c>
      <c r="F39">
        <v>36</v>
      </c>
      <c r="G39">
        <v>16</v>
      </c>
      <c r="H39">
        <v>1</v>
      </c>
      <c r="I39" t="s">
        <v>54</v>
      </c>
      <c r="J39">
        <v>1</v>
      </c>
      <c r="K39">
        <v>0.46646369999507398</v>
      </c>
      <c r="L39" t="s">
        <v>51</v>
      </c>
      <c r="M39">
        <v>1</v>
      </c>
      <c r="N39">
        <v>16</v>
      </c>
      <c r="O39">
        <v>36</v>
      </c>
      <c r="P39">
        <v>2</v>
      </c>
      <c r="Q39">
        <v>51.806299500050898</v>
      </c>
      <c r="V39">
        <v>51.795710800040901</v>
      </c>
      <c r="W39">
        <v>51.806299500050898</v>
      </c>
      <c r="X39">
        <v>52.306526600033898</v>
      </c>
      <c r="Y39">
        <v>52.306526600033898</v>
      </c>
      <c r="Z39">
        <v>52.306526600033898</v>
      </c>
      <c r="AA39">
        <v>52.777292300015603</v>
      </c>
      <c r="AB39" t="s">
        <v>54</v>
      </c>
      <c r="AC39">
        <v>1</v>
      </c>
      <c r="AD39">
        <v>0.46646369999507398</v>
      </c>
      <c r="AE39" t="s">
        <v>51</v>
      </c>
      <c r="AJ39">
        <v>3</v>
      </c>
      <c r="AK39">
        <v>1</v>
      </c>
      <c r="AL39" t="s">
        <v>82</v>
      </c>
      <c r="AM39" t="s">
        <v>43</v>
      </c>
      <c r="AO39" t="s">
        <v>44</v>
      </c>
      <c r="AP39">
        <v>60.124517886762398</v>
      </c>
      <c r="AQ39" t="s">
        <v>83</v>
      </c>
    </row>
    <row r="40" spans="1:43" x14ac:dyDescent="0.3">
      <c r="A40" t="s">
        <v>58</v>
      </c>
      <c r="B40" t="s">
        <v>59</v>
      </c>
      <c r="C40" t="s">
        <v>48</v>
      </c>
      <c r="D40" t="s">
        <v>49</v>
      </c>
      <c r="E40" t="s">
        <v>50</v>
      </c>
      <c r="F40">
        <v>37</v>
      </c>
      <c r="G40">
        <v>17</v>
      </c>
      <c r="H40">
        <v>1</v>
      </c>
      <c r="I40" t="s">
        <v>50</v>
      </c>
      <c r="J40">
        <v>1</v>
      </c>
      <c r="K40">
        <v>0.94142889999784496</v>
      </c>
      <c r="L40" t="s">
        <v>51</v>
      </c>
      <c r="M40">
        <v>1</v>
      </c>
      <c r="N40">
        <v>17</v>
      </c>
      <c r="O40">
        <v>37</v>
      </c>
      <c r="P40">
        <v>7</v>
      </c>
      <c r="Q40">
        <v>52.789477100013698</v>
      </c>
      <c r="V40">
        <v>52.781312600010999</v>
      </c>
      <c r="W40">
        <v>52.789477100013698</v>
      </c>
      <c r="X40">
        <v>53.288959100027498</v>
      </c>
      <c r="Y40">
        <v>53.288959100027498</v>
      </c>
      <c r="Z40">
        <v>53.288959100027498</v>
      </c>
      <c r="AA40">
        <v>54.242660200048697</v>
      </c>
      <c r="AB40" t="s">
        <v>50</v>
      </c>
      <c r="AC40">
        <v>1</v>
      </c>
      <c r="AD40">
        <v>0.94142889999784496</v>
      </c>
      <c r="AE40" t="s">
        <v>51</v>
      </c>
      <c r="AJ40">
        <v>3</v>
      </c>
      <c r="AK40">
        <v>1</v>
      </c>
      <c r="AL40" t="s">
        <v>82</v>
      </c>
      <c r="AM40" t="s">
        <v>43</v>
      </c>
      <c r="AO40" t="s">
        <v>44</v>
      </c>
      <c r="AP40">
        <v>60.124517886762398</v>
      </c>
      <c r="AQ40" t="s">
        <v>83</v>
      </c>
    </row>
    <row r="41" spans="1:43" x14ac:dyDescent="0.3">
      <c r="A41" t="s">
        <v>72</v>
      </c>
      <c r="B41" t="s">
        <v>59</v>
      </c>
      <c r="C41" t="s">
        <v>61</v>
      </c>
      <c r="D41" t="s">
        <v>62</v>
      </c>
      <c r="E41" t="s">
        <v>63</v>
      </c>
      <c r="F41">
        <v>38</v>
      </c>
      <c r="G41">
        <v>18</v>
      </c>
      <c r="H41">
        <v>1</v>
      </c>
      <c r="I41" t="s">
        <v>63</v>
      </c>
      <c r="J41">
        <v>1</v>
      </c>
      <c r="K41">
        <v>0.66106340003898301</v>
      </c>
      <c r="L41" t="s">
        <v>51</v>
      </c>
      <c r="M41">
        <v>1</v>
      </c>
      <c r="N41">
        <v>18</v>
      </c>
      <c r="O41">
        <v>38</v>
      </c>
      <c r="P41">
        <v>8</v>
      </c>
      <c r="Q41">
        <v>54.255773500015401</v>
      </c>
      <c r="V41">
        <v>54.246015600045197</v>
      </c>
      <c r="W41">
        <v>54.255773500015401</v>
      </c>
      <c r="X41">
        <v>54.7558067000354</v>
      </c>
      <c r="Y41">
        <v>54.7558067000354</v>
      </c>
      <c r="Z41">
        <v>54.7558067000354</v>
      </c>
      <c r="AA41">
        <v>55.4252508000354</v>
      </c>
      <c r="AB41" t="s">
        <v>63</v>
      </c>
      <c r="AC41">
        <v>1</v>
      </c>
      <c r="AD41">
        <v>0.66106340003898301</v>
      </c>
      <c r="AE41" t="s">
        <v>51</v>
      </c>
      <c r="AJ41">
        <v>3</v>
      </c>
      <c r="AK41">
        <v>1</v>
      </c>
      <c r="AL41" t="s">
        <v>82</v>
      </c>
      <c r="AM41" t="s">
        <v>43</v>
      </c>
      <c r="AO41" t="s">
        <v>44</v>
      </c>
      <c r="AP41">
        <v>60.124517886762398</v>
      </c>
      <c r="AQ41" t="s">
        <v>83</v>
      </c>
    </row>
    <row r="42" spans="1:43" x14ac:dyDescent="0.3">
      <c r="A42" t="s">
        <v>52</v>
      </c>
      <c r="B42" t="s">
        <v>47</v>
      </c>
      <c r="C42" t="s">
        <v>53</v>
      </c>
      <c r="D42" t="s">
        <v>49</v>
      </c>
      <c r="E42" t="s">
        <v>54</v>
      </c>
      <c r="F42">
        <v>39</v>
      </c>
      <c r="G42">
        <v>19</v>
      </c>
      <c r="H42">
        <v>1</v>
      </c>
      <c r="I42" t="s">
        <v>54</v>
      </c>
      <c r="J42">
        <v>1</v>
      </c>
      <c r="K42">
        <v>1.2780933000030901</v>
      </c>
      <c r="L42" t="s">
        <v>51</v>
      </c>
      <c r="M42">
        <v>1</v>
      </c>
      <c r="N42">
        <v>19</v>
      </c>
      <c r="O42">
        <v>39</v>
      </c>
      <c r="P42">
        <v>14</v>
      </c>
      <c r="Q42">
        <v>55.439096900052299</v>
      </c>
      <c r="V42">
        <v>55.4279975000536</v>
      </c>
      <c r="W42">
        <v>55.439096900052299</v>
      </c>
      <c r="X42">
        <v>55.939656700007603</v>
      </c>
      <c r="Y42">
        <v>55.939656700007603</v>
      </c>
      <c r="Z42">
        <v>55.939656700007603</v>
      </c>
      <c r="AA42">
        <v>57.226526400016098</v>
      </c>
      <c r="AB42" t="s">
        <v>54</v>
      </c>
      <c r="AC42">
        <v>1</v>
      </c>
      <c r="AD42">
        <v>1.2780933000030901</v>
      </c>
      <c r="AE42" t="s">
        <v>51</v>
      </c>
      <c r="AJ42">
        <v>3</v>
      </c>
      <c r="AK42">
        <v>1</v>
      </c>
      <c r="AL42" t="s">
        <v>82</v>
      </c>
      <c r="AM42" t="s">
        <v>43</v>
      </c>
      <c r="AO42" t="s">
        <v>44</v>
      </c>
      <c r="AP42">
        <v>60.124517886762398</v>
      </c>
      <c r="AQ42" t="s">
        <v>83</v>
      </c>
    </row>
    <row r="43" spans="1:43" x14ac:dyDescent="0.3">
      <c r="A43" t="s">
        <v>74</v>
      </c>
      <c r="B43" t="s">
        <v>47</v>
      </c>
      <c r="C43" t="s">
        <v>48</v>
      </c>
      <c r="D43" t="s">
        <v>49</v>
      </c>
      <c r="E43" t="s">
        <v>50</v>
      </c>
      <c r="F43">
        <v>40</v>
      </c>
      <c r="G43">
        <v>0</v>
      </c>
      <c r="H43">
        <v>2</v>
      </c>
      <c r="I43" t="s">
        <v>50</v>
      </c>
      <c r="J43">
        <v>1</v>
      </c>
      <c r="K43">
        <v>0.73011679999763102</v>
      </c>
      <c r="L43" t="s">
        <v>51</v>
      </c>
      <c r="M43">
        <v>2</v>
      </c>
      <c r="N43">
        <v>0</v>
      </c>
      <c r="O43">
        <v>40</v>
      </c>
      <c r="P43">
        <v>11</v>
      </c>
      <c r="Q43">
        <v>57.238953699998</v>
      </c>
      <c r="V43">
        <v>57.229889900016097</v>
      </c>
      <c r="W43">
        <v>57.238953699998</v>
      </c>
      <c r="X43">
        <v>57.738884999998803</v>
      </c>
      <c r="Y43">
        <v>57.738884999998803</v>
      </c>
      <c r="Z43">
        <v>57.738884999998803</v>
      </c>
      <c r="AA43">
        <v>58.476385800051503</v>
      </c>
      <c r="AB43" t="s">
        <v>50</v>
      </c>
      <c r="AC43">
        <v>1</v>
      </c>
      <c r="AD43">
        <v>0.73011679999763102</v>
      </c>
      <c r="AE43" t="s">
        <v>51</v>
      </c>
      <c r="AJ43">
        <v>3</v>
      </c>
      <c r="AK43">
        <v>1</v>
      </c>
      <c r="AL43" t="s">
        <v>82</v>
      </c>
      <c r="AM43" t="s">
        <v>43</v>
      </c>
      <c r="AO43" t="s">
        <v>44</v>
      </c>
      <c r="AP43">
        <v>60.124517886762398</v>
      </c>
      <c r="AQ43" t="s">
        <v>83</v>
      </c>
    </row>
    <row r="44" spans="1:43" x14ac:dyDescent="0.3">
      <c r="A44" t="s">
        <v>66</v>
      </c>
      <c r="B44" t="s">
        <v>47</v>
      </c>
      <c r="C44" t="s">
        <v>61</v>
      </c>
      <c r="D44" t="s">
        <v>49</v>
      </c>
      <c r="E44" t="s">
        <v>63</v>
      </c>
      <c r="F44">
        <v>41</v>
      </c>
      <c r="G44">
        <v>1</v>
      </c>
      <c r="H44">
        <v>2</v>
      </c>
      <c r="I44" t="s">
        <v>63</v>
      </c>
      <c r="J44">
        <v>1</v>
      </c>
      <c r="K44">
        <v>0.69005000003380701</v>
      </c>
      <c r="L44" t="s">
        <v>51</v>
      </c>
      <c r="M44">
        <v>2</v>
      </c>
      <c r="N44">
        <v>1</v>
      </c>
      <c r="O44">
        <v>41</v>
      </c>
      <c r="P44">
        <v>12</v>
      </c>
      <c r="Q44">
        <v>58.488955900014801</v>
      </c>
      <c r="V44">
        <v>58.479014500044201</v>
      </c>
      <c r="W44">
        <v>58.488955900014801</v>
      </c>
      <c r="X44">
        <v>58.989489100000299</v>
      </c>
      <c r="Y44">
        <v>58.989489100000299</v>
      </c>
      <c r="Z44">
        <v>58.989489100000299</v>
      </c>
      <c r="AA44">
        <v>59.693289000017103</v>
      </c>
      <c r="AB44" t="s">
        <v>63</v>
      </c>
      <c r="AC44">
        <v>1</v>
      </c>
      <c r="AD44">
        <v>0.69005000003380701</v>
      </c>
      <c r="AE44" t="s">
        <v>51</v>
      </c>
      <c r="AJ44">
        <v>3</v>
      </c>
      <c r="AK44">
        <v>1</v>
      </c>
      <c r="AL44" t="s">
        <v>82</v>
      </c>
      <c r="AM44" t="s">
        <v>43</v>
      </c>
      <c r="AO44" t="s">
        <v>44</v>
      </c>
      <c r="AP44">
        <v>60.124517886762398</v>
      </c>
      <c r="AQ44" t="s">
        <v>83</v>
      </c>
    </row>
    <row r="45" spans="1:43" x14ac:dyDescent="0.3">
      <c r="A45" t="s">
        <v>60</v>
      </c>
      <c r="B45" t="s">
        <v>59</v>
      </c>
      <c r="C45" t="s">
        <v>61</v>
      </c>
      <c r="D45" t="s">
        <v>62</v>
      </c>
      <c r="E45" t="s">
        <v>63</v>
      </c>
      <c r="F45">
        <v>42</v>
      </c>
      <c r="G45">
        <v>2</v>
      </c>
      <c r="H45">
        <v>2</v>
      </c>
      <c r="I45" t="s">
        <v>63</v>
      </c>
      <c r="J45">
        <v>1</v>
      </c>
      <c r="K45">
        <v>0.60991100000683196</v>
      </c>
      <c r="L45" t="s">
        <v>51</v>
      </c>
      <c r="M45">
        <v>2</v>
      </c>
      <c r="N45">
        <v>2</v>
      </c>
      <c r="O45">
        <v>42</v>
      </c>
      <c r="P45">
        <v>0</v>
      </c>
      <c r="Q45">
        <v>59.705644800036602</v>
      </c>
      <c r="V45">
        <v>59.697040900005902</v>
      </c>
      <c r="W45">
        <v>59.705644800036602</v>
      </c>
      <c r="X45">
        <v>60.2055936000542</v>
      </c>
      <c r="Y45">
        <v>60.2055936000542</v>
      </c>
      <c r="Z45">
        <v>60.2055936000542</v>
      </c>
      <c r="AA45">
        <v>60.825454900041201</v>
      </c>
      <c r="AB45" t="s">
        <v>63</v>
      </c>
      <c r="AC45">
        <v>1</v>
      </c>
      <c r="AD45">
        <v>0.60991100000683196</v>
      </c>
      <c r="AE45" t="s">
        <v>51</v>
      </c>
      <c r="AJ45">
        <v>3</v>
      </c>
      <c r="AK45">
        <v>1</v>
      </c>
      <c r="AL45" t="s">
        <v>82</v>
      </c>
      <c r="AM45" t="s">
        <v>43</v>
      </c>
      <c r="AO45" t="s">
        <v>44</v>
      </c>
      <c r="AP45">
        <v>60.124517886762398</v>
      </c>
      <c r="AQ45" t="s">
        <v>83</v>
      </c>
    </row>
    <row r="46" spans="1:43" x14ac:dyDescent="0.3">
      <c r="A46" t="s">
        <v>76</v>
      </c>
      <c r="B46" t="s">
        <v>59</v>
      </c>
      <c r="C46" t="s">
        <v>48</v>
      </c>
      <c r="D46" t="s">
        <v>49</v>
      </c>
      <c r="E46" t="s">
        <v>50</v>
      </c>
      <c r="F46">
        <v>43</v>
      </c>
      <c r="G46">
        <v>3</v>
      </c>
      <c r="H46">
        <v>2</v>
      </c>
      <c r="I46" t="s">
        <v>50</v>
      </c>
      <c r="J46">
        <v>1</v>
      </c>
      <c r="K46">
        <v>0.67160100000910405</v>
      </c>
      <c r="L46" t="s">
        <v>51</v>
      </c>
      <c r="M46">
        <v>2</v>
      </c>
      <c r="N46">
        <v>3</v>
      </c>
      <c r="O46">
        <v>43</v>
      </c>
      <c r="P46">
        <v>3</v>
      </c>
      <c r="Q46">
        <v>60.838879700051599</v>
      </c>
      <c r="V46">
        <v>60.828392099996499</v>
      </c>
      <c r="W46">
        <v>60.838879700051599</v>
      </c>
      <c r="X46">
        <v>61.338606500008602</v>
      </c>
      <c r="Y46">
        <v>61.338606500008602</v>
      </c>
      <c r="Z46">
        <v>61.338606500008602</v>
      </c>
      <c r="AA46">
        <v>62.025633900018804</v>
      </c>
      <c r="AB46" t="s">
        <v>50</v>
      </c>
      <c r="AC46">
        <v>1</v>
      </c>
      <c r="AD46">
        <v>0.67160100000910405</v>
      </c>
      <c r="AE46" t="s">
        <v>51</v>
      </c>
      <c r="AJ46">
        <v>3</v>
      </c>
      <c r="AK46">
        <v>1</v>
      </c>
      <c r="AL46" t="s">
        <v>82</v>
      </c>
      <c r="AM46" t="s">
        <v>43</v>
      </c>
      <c r="AO46" t="s">
        <v>44</v>
      </c>
      <c r="AP46">
        <v>60.124517886762398</v>
      </c>
      <c r="AQ46" t="s">
        <v>83</v>
      </c>
    </row>
    <row r="47" spans="1:43" x14ac:dyDescent="0.3">
      <c r="A47" t="s">
        <v>68</v>
      </c>
      <c r="B47" t="s">
        <v>59</v>
      </c>
      <c r="C47" t="s">
        <v>53</v>
      </c>
      <c r="D47" t="s">
        <v>49</v>
      </c>
      <c r="E47" t="s">
        <v>54</v>
      </c>
      <c r="F47">
        <v>44</v>
      </c>
      <c r="G47">
        <v>4</v>
      </c>
      <c r="H47">
        <v>2</v>
      </c>
      <c r="I47" t="s">
        <v>50</v>
      </c>
      <c r="J47">
        <v>0</v>
      </c>
      <c r="K47">
        <v>0.55173950002062999</v>
      </c>
      <c r="L47" t="s">
        <v>51</v>
      </c>
      <c r="M47">
        <v>2</v>
      </c>
      <c r="N47">
        <v>4</v>
      </c>
      <c r="O47">
        <v>44</v>
      </c>
      <c r="P47">
        <v>6</v>
      </c>
      <c r="Q47">
        <v>62.039000800053998</v>
      </c>
      <c r="V47">
        <v>62.029018400004098</v>
      </c>
      <c r="W47">
        <v>62.039000800053998</v>
      </c>
      <c r="X47">
        <v>62.538702300051199</v>
      </c>
      <c r="Y47">
        <v>62.538702300051199</v>
      </c>
      <c r="Z47">
        <v>62.538702300051199</v>
      </c>
      <c r="AA47">
        <v>63.092495000047997</v>
      </c>
      <c r="AB47" t="s">
        <v>50</v>
      </c>
      <c r="AC47">
        <v>0</v>
      </c>
      <c r="AD47">
        <v>0.55173950002062999</v>
      </c>
      <c r="AE47" t="s">
        <v>51</v>
      </c>
      <c r="AJ47">
        <v>3</v>
      </c>
      <c r="AK47">
        <v>1</v>
      </c>
      <c r="AL47" t="s">
        <v>82</v>
      </c>
      <c r="AM47" t="s">
        <v>43</v>
      </c>
      <c r="AO47" t="s">
        <v>44</v>
      </c>
      <c r="AP47">
        <v>60.124517886762398</v>
      </c>
      <c r="AQ47" t="s">
        <v>83</v>
      </c>
    </row>
    <row r="48" spans="1:43" x14ac:dyDescent="0.3">
      <c r="A48" t="s">
        <v>75</v>
      </c>
      <c r="B48" t="s">
        <v>47</v>
      </c>
      <c r="C48" t="s">
        <v>61</v>
      </c>
      <c r="D48" t="s">
        <v>49</v>
      </c>
      <c r="E48" t="s">
        <v>63</v>
      </c>
      <c r="F48">
        <v>45</v>
      </c>
      <c r="G48">
        <v>5</v>
      </c>
      <c r="H48">
        <v>2</v>
      </c>
      <c r="I48" t="s">
        <v>63</v>
      </c>
      <c r="J48">
        <v>1</v>
      </c>
      <c r="K48">
        <v>0.76676220004446805</v>
      </c>
      <c r="L48" t="s">
        <v>51</v>
      </c>
      <c r="M48">
        <v>2</v>
      </c>
      <c r="N48">
        <v>5</v>
      </c>
      <c r="O48">
        <v>45</v>
      </c>
      <c r="P48">
        <v>16</v>
      </c>
      <c r="Q48">
        <v>63.105273900029701</v>
      </c>
      <c r="V48">
        <v>63.095136600022599</v>
      </c>
      <c r="W48">
        <v>63.105273900029701</v>
      </c>
      <c r="X48">
        <v>63.605327400029601</v>
      </c>
      <c r="Y48">
        <v>63.605327400029601</v>
      </c>
      <c r="Z48">
        <v>63.605327400029601</v>
      </c>
      <c r="AA48">
        <v>64.376177099998998</v>
      </c>
      <c r="AB48" t="s">
        <v>63</v>
      </c>
      <c r="AC48">
        <v>1</v>
      </c>
      <c r="AD48">
        <v>0.76676220004446805</v>
      </c>
      <c r="AE48" t="s">
        <v>51</v>
      </c>
      <c r="AJ48">
        <v>3</v>
      </c>
      <c r="AK48">
        <v>1</v>
      </c>
      <c r="AL48" t="s">
        <v>82</v>
      </c>
      <c r="AM48" t="s">
        <v>43</v>
      </c>
      <c r="AO48" t="s">
        <v>44</v>
      </c>
      <c r="AP48">
        <v>60.124517886762398</v>
      </c>
      <c r="AQ48" t="s">
        <v>83</v>
      </c>
    </row>
    <row r="49" spans="1:43" x14ac:dyDescent="0.3">
      <c r="A49" t="s">
        <v>78</v>
      </c>
      <c r="B49" t="s">
        <v>47</v>
      </c>
      <c r="C49" t="s">
        <v>56</v>
      </c>
      <c r="D49" t="s">
        <v>49</v>
      </c>
      <c r="E49" t="s">
        <v>57</v>
      </c>
      <c r="F49">
        <v>46</v>
      </c>
      <c r="G49">
        <v>6</v>
      </c>
      <c r="H49">
        <v>2</v>
      </c>
      <c r="I49" t="s">
        <v>57</v>
      </c>
      <c r="J49">
        <v>1</v>
      </c>
      <c r="K49">
        <v>1.1928365000057899</v>
      </c>
      <c r="L49" t="s">
        <v>51</v>
      </c>
      <c r="M49">
        <v>2</v>
      </c>
      <c r="N49">
        <v>6</v>
      </c>
      <c r="O49">
        <v>46</v>
      </c>
      <c r="P49">
        <v>17</v>
      </c>
      <c r="Q49">
        <v>64.388409700011806</v>
      </c>
      <c r="V49">
        <v>64.378991400008005</v>
      </c>
      <c r="W49">
        <v>64.388409700011806</v>
      </c>
      <c r="X49">
        <v>64.888950400054398</v>
      </c>
      <c r="Y49">
        <v>64.888950400054398</v>
      </c>
      <c r="Z49">
        <v>64.888950400054398</v>
      </c>
      <c r="AA49">
        <v>66.092535900010205</v>
      </c>
      <c r="AB49" t="s">
        <v>57</v>
      </c>
      <c r="AC49">
        <v>1</v>
      </c>
      <c r="AD49">
        <v>1.1928365000057899</v>
      </c>
      <c r="AE49" t="s">
        <v>51</v>
      </c>
      <c r="AJ49">
        <v>3</v>
      </c>
      <c r="AK49">
        <v>1</v>
      </c>
      <c r="AL49" t="s">
        <v>82</v>
      </c>
      <c r="AM49" t="s">
        <v>43</v>
      </c>
      <c r="AO49" t="s">
        <v>44</v>
      </c>
      <c r="AP49">
        <v>60.124517886762398</v>
      </c>
      <c r="AQ49" t="s">
        <v>83</v>
      </c>
    </row>
    <row r="50" spans="1:43" x14ac:dyDescent="0.3">
      <c r="A50" t="s">
        <v>55</v>
      </c>
      <c r="B50" t="s">
        <v>47</v>
      </c>
      <c r="C50" t="s">
        <v>56</v>
      </c>
      <c r="D50" t="s">
        <v>49</v>
      </c>
      <c r="E50" t="s">
        <v>57</v>
      </c>
      <c r="F50">
        <v>47</v>
      </c>
      <c r="G50">
        <v>7</v>
      </c>
      <c r="H50">
        <v>2</v>
      </c>
      <c r="I50" t="s">
        <v>57</v>
      </c>
      <c r="J50">
        <v>1</v>
      </c>
      <c r="K50">
        <v>0.80164739995961998</v>
      </c>
      <c r="L50" t="s">
        <v>51</v>
      </c>
      <c r="M50">
        <v>2</v>
      </c>
      <c r="N50">
        <v>7</v>
      </c>
      <c r="O50">
        <v>47</v>
      </c>
      <c r="P50">
        <v>13</v>
      </c>
      <c r="Q50">
        <v>66.105545199999995</v>
      </c>
      <c r="V50">
        <v>66.095171000051707</v>
      </c>
      <c r="W50">
        <v>66.105545199999995</v>
      </c>
      <c r="X50">
        <v>66.606596500030705</v>
      </c>
      <c r="Y50">
        <v>66.606596500030705</v>
      </c>
      <c r="Z50">
        <v>66.606596500030705</v>
      </c>
      <c r="AA50">
        <v>67.409761500020906</v>
      </c>
      <c r="AB50" t="s">
        <v>57</v>
      </c>
      <c r="AC50">
        <v>1</v>
      </c>
      <c r="AD50">
        <v>0.80164739995961998</v>
      </c>
      <c r="AE50" t="s">
        <v>51</v>
      </c>
      <c r="AJ50">
        <v>3</v>
      </c>
      <c r="AK50">
        <v>1</v>
      </c>
      <c r="AL50" t="s">
        <v>82</v>
      </c>
      <c r="AM50" t="s">
        <v>43</v>
      </c>
      <c r="AO50" t="s">
        <v>44</v>
      </c>
      <c r="AP50">
        <v>60.124517886762398</v>
      </c>
      <c r="AQ50" t="s">
        <v>83</v>
      </c>
    </row>
    <row r="51" spans="1:43" x14ac:dyDescent="0.3">
      <c r="A51" t="s">
        <v>71</v>
      </c>
      <c r="B51" t="s">
        <v>47</v>
      </c>
      <c r="C51" t="s">
        <v>48</v>
      </c>
      <c r="D51" t="s">
        <v>49</v>
      </c>
      <c r="E51" t="s">
        <v>50</v>
      </c>
      <c r="F51">
        <v>48</v>
      </c>
      <c r="G51">
        <v>8</v>
      </c>
      <c r="H51">
        <v>2</v>
      </c>
      <c r="I51" t="s">
        <v>50</v>
      </c>
      <c r="J51">
        <v>1</v>
      </c>
      <c r="K51">
        <v>0.95463110000127904</v>
      </c>
      <c r="L51" t="s">
        <v>51</v>
      </c>
      <c r="M51">
        <v>2</v>
      </c>
      <c r="N51">
        <v>8</v>
      </c>
      <c r="O51">
        <v>48</v>
      </c>
      <c r="P51">
        <v>15</v>
      </c>
      <c r="Q51">
        <v>67.421294400002793</v>
      </c>
      <c r="V51">
        <v>67.412572100001796</v>
      </c>
      <c r="W51">
        <v>67.421294400002793</v>
      </c>
      <c r="X51">
        <v>67.921626700030103</v>
      </c>
      <c r="Y51">
        <v>67.921626700030103</v>
      </c>
      <c r="Z51">
        <v>67.921626700030103</v>
      </c>
      <c r="AA51">
        <v>68.892428100050793</v>
      </c>
      <c r="AB51" t="s">
        <v>50</v>
      </c>
      <c r="AC51">
        <v>1</v>
      </c>
      <c r="AD51">
        <v>0.95463110000127904</v>
      </c>
      <c r="AE51" t="s">
        <v>51</v>
      </c>
      <c r="AJ51">
        <v>3</v>
      </c>
      <c r="AK51">
        <v>1</v>
      </c>
      <c r="AL51" t="s">
        <v>82</v>
      </c>
      <c r="AM51" t="s">
        <v>43</v>
      </c>
      <c r="AO51" t="s">
        <v>44</v>
      </c>
      <c r="AP51">
        <v>60.124517886762398</v>
      </c>
      <c r="AQ51" t="s">
        <v>83</v>
      </c>
    </row>
    <row r="52" spans="1:43" x14ac:dyDescent="0.3">
      <c r="A52" t="s">
        <v>58</v>
      </c>
      <c r="B52" t="s">
        <v>59</v>
      </c>
      <c r="C52" t="s">
        <v>48</v>
      </c>
      <c r="D52" t="s">
        <v>49</v>
      </c>
      <c r="E52" t="s">
        <v>50</v>
      </c>
      <c r="F52">
        <v>49</v>
      </c>
      <c r="G52">
        <v>9</v>
      </c>
      <c r="H52">
        <v>2</v>
      </c>
      <c r="I52" t="s">
        <v>50</v>
      </c>
      <c r="J52">
        <v>1</v>
      </c>
      <c r="K52">
        <v>0.49165209999773601</v>
      </c>
      <c r="L52" t="s">
        <v>51</v>
      </c>
      <c r="M52">
        <v>2</v>
      </c>
      <c r="N52">
        <v>9</v>
      </c>
      <c r="O52">
        <v>49</v>
      </c>
      <c r="P52">
        <v>7</v>
      </c>
      <c r="Q52">
        <v>68.905076200026002</v>
      </c>
      <c r="V52">
        <v>68.896050500043202</v>
      </c>
      <c r="W52">
        <v>68.905076200026002</v>
      </c>
      <c r="X52">
        <v>69.405226500006293</v>
      </c>
      <c r="Y52">
        <v>69.405226500006293</v>
      </c>
      <c r="Z52">
        <v>69.405226500006293</v>
      </c>
      <c r="AA52">
        <v>69.909222700051004</v>
      </c>
      <c r="AB52" t="s">
        <v>50</v>
      </c>
      <c r="AC52">
        <v>1</v>
      </c>
      <c r="AD52">
        <v>0.49165209999773601</v>
      </c>
      <c r="AE52" t="s">
        <v>51</v>
      </c>
      <c r="AJ52">
        <v>3</v>
      </c>
      <c r="AK52">
        <v>1</v>
      </c>
      <c r="AL52" t="s">
        <v>82</v>
      </c>
      <c r="AM52" t="s">
        <v>43</v>
      </c>
      <c r="AO52" t="s">
        <v>44</v>
      </c>
      <c r="AP52">
        <v>60.124517886762398</v>
      </c>
      <c r="AQ52" t="s">
        <v>83</v>
      </c>
    </row>
    <row r="53" spans="1:43" x14ac:dyDescent="0.3">
      <c r="A53" t="s">
        <v>72</v>
      </c>
      <c r="B53" t="s">
        <v>59</v>
      </c>
      <c r="C53" t="s">
        <v>61</v>
      </c>
      <c r="D53" t="s">
        <v>62</v>
      </c>
      <c r="E53" t="s">
        <v>63</v>
      </c>
      <c r="F53">
        <v>50</v>
      </c>
      <c r="G53">
        <v>10</v>
      </c>
      <c r="H53">
        <v>2</v>
      </c>
      <c r="I53" t="s">
        <v>63</v>
      </c>
      <c r="J53">
        <v>1</v>
      </c>
      <c r="K53">
        <v>0.494083999947179</v>
      </c>
      <c r="L53" t="s">
        <v>51</v>
      </c>
      <c r="M53">
        <v>2</v>
      </c>
      <c r="N53">
        <v>10</v>
      </c>
      <c r="O53">
        <v>50</v>
      </c>
      <c r="P53">
        <v>8</v>
      </c>
      <c r="Q53">
        <v>69.921952900010993</v>
      </c>
      <c r="V53">
        <v>69.911916100012604</v>
      </c>
      <c r="W53">
        <v>69.921952900010993</v>
      </c>
      <c r="X53">
        <v>70.421462900005196</v>
      </c>
      <c r="Y53">
        <v>70.421462900005196</v>
      </c>
      <c r="Z53">
        <v>70.421462900005196</v>
      </c>
      <c r="AA53">
        <v>70.924829900031895</v>
      </c>
      <c r="AB53" t="s">
        <v>63</v>
      </c>
      <c r="AC53">
        <v>1</v>
      </c>
      <c r="AD53">
        <v>0.494083999947179</v>
      </c>
      <c r="AE53" t="s">
        <v>51</v>
      </c>
      <c r="AJ53">
        <v>3</v>
      </c>
      <c r="AK53">
        <v>1</v>
      </c>
      <c r="AL53" t="s">
        <v>82</v>
      </c>
      <c r="AM53" t="s">
        <v>43</v>
      </c>
      <c r="AO53" t="s">
        <v>44</v>
      </c>
      <c r="AP53">
        <v>60.124517886762398</v>
      </c>
      <c r="AQ53" t="s">
        <v>83</v>
      </c>
    </row>
    <row r="54" spans="1:43" x14ac:dyDescent="0.3">
      <c r="A54" t="s">
        <v>52</v>
      </c>
      <c r="B54" t="s">
        <v>47</v>
      </c>
      <c r="C54" t="s">
        <v>53</v>
      </c>
      <c r="D54" t="s">
        <v>49</v>
      </c>
      <c r="E54" t="s">
        <v>54</v>
      </c>
      <c r="F54">
        <v>51</v>
      </c>
      <c r="G54">
        <v>11</v>
      </c>
      <c r="H54">
        <v>2</v>
      </c>
      <c r="I54" t="s">
        <v>50</v>
      </c>
      <c r="J54">
        <v>0</v>
      </c>
      <c r="K54">
        <v>0.62676130002364505</v>
      </c>
      <c r="L54" t="s">
        <v>51</v>
      </c>
      <c r="M54">
        <v>2</v>
      </c>
      <c r="N54">
        <v>11</v>
      </c>
      <c r="O54">
        <v>51</v>
      </c>
      <c r="P54">
        <v>14</v>
      </c>
      <c r="Q54">
        <v>70.937891500012398</v>
      </c>
      <c r="V54">
        <v>70.927476000040699</v>
      </c>
      <c r="W54">
        <v>70.937891500012398</v>
      </c>
      <c r="X54">
        <v>71.438454300048704</v>
      </c>
      <c r="Y54">
        <v>71.438454300048704</v>
      </c>
      <c r="Z54">
        <v>71.438454300048704</v>
      </c>
      <c r="AA54">
        <v>72.074593500001299</v>
      </c>
      <c r="AB54" t="s">
        <v>50</v>
      </c>
      <c r="AC54">
        <v>0</v>
      </c>
      <c r="AD54">
        <v>0.62676130002364505</v>
      </c>
      <c r="AE54" t="s">
        <v>51</v>
      </c>
      <c r="AJ54">
        <v>3</v>
      </c>
      <c r="AK54">
        <v>1</v>
      </c>
      <c r="AL54" t="s">
        <v>82</v>
      </c>
      <c r="AM54" t="s">
        <v>43</v>
      </c>
      <c r="AO54" t="s">
        <v>44</v>
      </c>
      <c r="AP54">
        <v>60.124517886762398</v>
      </c>
      <c r="AQ54" t="s">
        <v>83</v>
      </c>
    </row>
    <row r="55" spans="1:43" x14ac:dyDescent="0.3">
      <c r="A55" t="s">
        <v>46</v>
      </c>
      <c r="B55" t="s">
        <v>47</v>
      </c>
      <c r="C55" t="s">
        <v>48</v>
      </c>
      <c r="D55" t="s">
        <v>49</v>
      </c>
      <c r="E55" t="s">
        <v>50</v>
      </c>
      <c r="F55">
        <v>52</v>
      </c>
      <c r="G55">
        <v>12</v>
      </c>
      <c r="H55">
        <v>2</v>
      </c>
      <c r="I55" t="s">
        <v>50</v>
      </c>
      <c r="J55">
        <v>1</v>
      </c>
      <c r="K55">
        <v>1.04389079997781</v>
      </c>
      <c r="L55" t="s">
        <v>51</v>
      </c>
      <c r="M55">
        <v>2</v>
      </c>
      <c r="N55">
        <v>12</v>
      </c>
      <c r="O55">
        <v>52</v>
      </c>
      <c r="P55">
        <v>19</v>
      </c>
      <c r="Q55">
        <v>72.088721900014207</v>
      </c>
      <c r="V55">
        <v>72.077659100003004</v>
      </c>
      <c r="W55">
        <v>72.088721900014207</v>
      </c>
      <c r="X55">
        <v>72.588565000041797</v>
      </c>
      <c r="Y55">
        <v>72.588565000041797</v>
      </c>
      <c r="Z55">
        <v>72.588565000041797</v>
      </c>
      <c r="AA55">
        <v>73.641599900030997</v>
      </c>
      <c r="AB55" t="s">
        <v>50</v>
      </c>
      <c r="AC55">
        <v>1</v>
      </c>
      <c r="AD55">
        <v>1.04389079997781</v>
      </c>
      <c r="AE55" t="s">
        <v>51</v>
      </c>
      <c r="AJ55">
        <v>3</v>
      </c>
      <c r="AK55">
        <v>1</v>
      </c>
      <c r="AL55" t="s">
        <v>82</v>
      </c>
      <c r="AM55" t="s">
        <v>43</v>
      </c>
      <c r="AO55" t="s">
        <v>44</v>
      </c>
      <c r="AP55">
        <v>60.124517886762398</v>
      </c>
      <c r="AQ55" t="s">
        <v>83</v>
      </c>
    </row>
    <row r="56" spans="1:43" x14ac:dyDescent="0.3">
      <c r="A56" t="s">
        <v>64</v>
      </c>
      <c r="B56" t="s">
        <v>47</v>
      </c>
      <c r="C56" t="s">
        <v>53</v>
      </c>
      <c r="D56" t="s">
        <v>49</v>
      </c>
      <c r="E56" t="s">
        <v>54</v>
      </c>
      <c r="F56">
        <v>53</v>
      </c>
      <c r="G56">
        <v>13</v>
      </c>
      <c r="H56">
        <v>2</v>
      </c>
      <c r="I56" t="s">
        <v>54</v>
      </c>
      <c r="J56">
        <v>1</v>
      </c>
      <c r="K56">
        <v>0.55901930003892597</v>
      </c>
      <c r="L56" t="s">
        <v>51</v>
      </c>
      <c r="M56">
        <v>2</v>
      </c>
      <c r="N56">
        <v>13</v>
      </c>
      <c r="O56">
        <v>53</v>
      </c>
      <c r="P56">
        <v>18</v>
      </c>
      <c r="Q56">
        <v>73.654747200023806</v>
      </c>
      <c r="V56">
        <v>73.644312700023804</v>
      </c>
      <c r="W56">
        <v>73.654747200023806</v>
      </c>
      <c r="X56">
        <v>74.154987700050697</v>
      </c>
      <c r="Y56">
        <v>74.154987700050697</v>
      </c>
      <c r="Z56">
        <v>74.154987700050697</v>
      </c>
      <c r="AA56">
        <v>74.725147700053597</v>
      </c>
      <c r="AB56" t="s">
        <v>54</v>
      </c>
      <c r="AC56">
        <v>1</v>
      </c>
      <c r="AD56">
        <v>0.55901930003892597</v>
      </c>
      <c r="AE56" t="s">
        <v>51</v>
      </c>
      <c r="AJ56">
        <v>3</v>
      </c>
      <c r="AK56">
        <v>1</v>
      </c>
      <c r="AL56" t="s">
        <v>82</v>
      </c>
      <c r="AM56" t="s">
        <v>43</v>
      </c>
      <c r="AO56" t="s">
        <v>44</v>
      </c>
      <c r="AP56">
        <v>60.124517886762398</v>
      </c>
      <c r="AQ56" t="s">
        <v>83</v>
      </c>
    </row>
    <row r="57" spans="1:43" x14ac:dyDescent="0.3">
      <c r="A57" t="s">
        <v>70</v>
      </c>
      <c r="B57" t="s">
        <v>59</v>
      </c>
      <c r="C57" t="s">
        <v>53</v>
      </c>
      <c r="D57" t="s">
        <v>49</v>
      </c>
      <c r="E57" t="s">
        <v>54</v>
      </c>
      <c r="F57">
        <v>54</v>
      </c>
      <c r="G57">
        <v>14</v>
      </c>
      <c r="H57">
        <v>2</v>
      </c>
      <c r="I57" t="s">
        <v>54</v>
      </c>
      <c r="J57">
        <v>1</v>
      </c>
      <c r="K57">
        <v>0.485643199994228</v>
      </c>
      <c r="L57" t="s">
        <v>51</v>
      </c>
      <c r="M57">
        <v>2</v>
      </c>
      <c r="N57">
        <v>14</v>
      </c>
      <c r="O57">
        <v>54</v>
      </c>
      <c r="P57">
        <v>2</v>
      </c>
      <c r="Q57">
        <v>74.738616500049801</v>
      </c>
      <c r="V57">
        <v>74.727750700025297</v>
      </c>
      <c r="W57">
        <v>74.738616500049801</v>
      </c>
      <c r="X57">
        <v>75.237823800009195</v>
      </c>
      <c r="Y57">
        <v>75.237823800009195</v>
      </c>
      <c r="Z57">
        <v>75.237823800009195</v>
      </c>
      <c r="AA57">
        <v>75.725489900039904</v>
      </c>
      <c r="AB57" t="s">
        <v>54</v>
      </c>
      <c r="AC57">
        <v>1</v>
      </c>
      <c r="AD57">
        <v>0.485643199994228</v>
      </c>
      <c r="AE57" t="s">
        <v>51</v>
      </c>
      <c r="AJ57">
        <v>3</v>
      </c>
      <c r="AK57">
        <v>1</v>
      </c>
      <c r="AL57" t="s">
        <v>82</v>
      </c>
      <c r="AM57" t="s">
        <v>43</v>
      </c>
      <c r="AO57" t="s">
        <v>44</v>
      </c>
      <c r="AP57">
        <v>60.124517886762398</v>
      </c>
      <c r="AQ57" t="s">
        <v>83</v>
      </c>
    </row>
    <row r="58" spans="1:43" x14ac:dyDescent="0.3">
      <c r="A58" t="s">
        <v>69</v>
      </c>
      <c r="B58" t="s">
        <v>59</v>
      </c>
      <c r="C58" t="s">
        <v>56</v>
      </c>
      <c r="D58" t="s">
        <v>49</v>
      </c>
      <c r="E58" t="s">
        <v>57</v>
      </c>
      <c r="F58">
        <v>55</v>
      </c>
      <c r="G58">
        <v>15</v>
      </c>
      <c r="H58">
        <v>2</v>
      </c>
      <c r="I58" t="s">
        <v>57</v>
      </c>
      <c r="J58">
        <v>1</v>
      </c>
      <c r="K58">
        <v>0.71044569998048201</v>
      </c>
      <c r="L58" t="s">
        <v>51</v>
      </c>
      <c r="M58">
        <v>2</v>
      </c>
      <c r="N58">
        <v>15</v>
      </c>
      <c r="O58">
        <v>55</v>
      </c>
      <c r="P58">
        <v>5</v>
      </c>
      <c r="Q58">
        <v>75.738038300012704</v>
      </c>
      <c r="V58">
        <v>75.728113100049001</v>
      </c>
      <c r="W58">
        <v>75.738038300012704</v>
      </c>
      <c r="X58">
        <v>76.238455800048499</v>
      </c>
      <c r="Y58">
        <v>76.238455800048499</v>
      </c>
      <c r="Z58">
        <v>76.238455800048499</v>
      </c>
      <c r="AA58">
        <v>76.958911399997305</v>
      </c>
      <c r="AB58" t="s">
        <v>57</v>
      </c>
      <c r="AC58">
        <v>1</v>
      </c>
      <c r="AD58">
        <v>0.71044569998048201</v>
      </c>
      <c r="AE58" t="s">
        <v>51</v>
      </c>
      <c r="AJ58">
        <v>3</v>
      </c>
      <c r="AK58">
        <v>1</v>
      </c>
      <c r="AL58" t="s">
        <v>82</v>
      </c>
      <c r="AM58" t="s">
        <v>43</v>
      </c>
      <c r="AO58" t="s">
        <v>44</v>
      </c>
      <c r="AP58">
        <v>60.124517886762398</v>
      </c>
      <c r="AQ58" t="s">
        <v>83</v>
      </c>
    </row>
    <row r="59" spans="1:43" x14ac:dyDescent="0.3">
      <c r="A59" t="s">
        <v>67</v>
      </c>
      <c r="B59" t="s">
        <v>47</v>
      </c>
      <c r="C59" t="s">
        <v>53</v>
      </c>
      <c r="D59" t="s">
        <v>49</v>
      </c>
      <c r="E59" t="s">
        <v>54</v>
      </c>
      <c r="F59">
        <v>56</v>
      </c>
      <c r="G59">
        <v>16</v>
      </c>
      <c r="H59">
        <v>2</v>
      </c>
      <c r="I59" t="s">
        <v>54</v>
      </c>
      <c r="J59">
        <v>1</v>
      </c>
      <c r="K59">
        <v>0.66724490001797598</v>
      </c>
      <c r="L59" t="s">
        <v>51</v>
      </c>
      <c r="M59">
        <v>2</v>
      </c>
      <c r="N59">
        <v>16</v>
      </c>
      <c r="O59">
        <v>56</v>
      </c>
      <c r="P59">
        <v>10</v>
      </c>
      <c r="Q59">
        <v>76.971556600008597</v>
      </c>
      <c r="V59">
        <v>76.962920200021401</v>
      </c>
      <c r="W59">
        <v>76.971556600008597</v>
      </c>
      <c r="X59">
        <v>77.471468300034701</v>
      </c>
      <c r="Y59">
        <v>77.471468300034701</v>
      </c>
      <c r="Z59">
        <v>77.471468300034701</v>
      </c>
      <c r="AA59">
        <v>78.141952900041304</v>
      </c>
      <c r="AB59" t="s">
        <v>54</v>
      </c>
      <c r="AC59">
        <v>1</v>
      </c>
      <c r="AD59">
        <v>0.66724490001797598</v>
      </c>
      <c r="AE59" t="s">
        <v>51</v>
      </c>
      <c r="AJ59">
        <v>3</v>
      </c>
      <c r="AK59">
        <v>1</v>
      </c>
      <c r="AL59" t="s">
        <v>82</v>
      </c>
      <c r="AM59" t="s">
        <v>43</v>
      </c>
      <c r="AO59" t="s">
        <v>44</v>
      </c>
      <c r="AP59">
        <v>60.124517886762398</v>
      </c>
      <c r="AQ59" t="s">
        <v>83</v>
      </c>
    </row>
    <row r="60" spans="1:43" x14ac:dyDescent="0.3">
      <c r="A60" t="s">
        <v>65</v>
      </c>
      <c r="B60" t="s">
        <v>59</v>
      </c>
      <c r="C60" t="s">
        <v>56</v>
      </c>
      <c r="D60" t="s">
        <v>49</v>
      </c>
      <c r="E60" t="s">
        <v>57</v>
      </c>
      <c r="F60">
        <v>57</v>
      </c>
      <c r="G60">
        <v>17</v>
      </c>
      <c r="H60">
        <v>2</v>
      </c>
      <c r="I60" t="s">
        <v>57</v>
      </c>
      <c r="J60">
        <v>1</v>
      </c>
      <c r="K60">
        <v>0.53454209998017099</v>
      </c>
      <c r="L60" t="s">
        <v>51</v>
      </c>
      <c r="M60">
        <v>2</v>
      </c>
      <c r="N60">
        <v>17</v>
      </c>
      <c r="O60">
        <v>57</v>
      </c>
      <c r="P60">
        <v>9</v>
      </c>
      <c r="Q60">
        <v>78.154588600038494</v>
      </c>
      <c r="V60">
        <v>78.145719400024902</v>
      </c>
      <c r="W60">
        <v>78.154588600038494</v>
      </c>
      <c r="X60">
        <v>78.654295600019395</v>
      </c>
      <c r="Y60">
        <v>78.654295600019395</v>
      </c>
      <c r="Z60">
        <v>78.654295600019395</v>
      </c>
      <c r="AA60">
        <v>79.192460500053102</v>
      </c>
      <c r="AB60" t="s">
        <v>57</v>
      </c>
      <c r="AC60">
        <v>1</v>
      </c>
      <c r="AD60">
        <v>0.53454209998017099</v>
      </c>
      <c r="AE60" t="s">
        <v>51</v>
      </c>
      <c r="AJ60">
        <v>3</v>
      </c>
      <c r="AK60">
        <v>1</v>
      </c>
      <c r="AL60" t="s">
        <v>82</v>
      </c>
      <c r="AM60" t="s">
        <v>43</v>
      </c>
      <c r="AO60" t="s">
        <v>44</v>
      </c>
      <c r="AP60">
        <v>60.124517886762398</v>
      </c>
      <c r="AQ60" t="s">
        <v>83</v>
      </c>
    </row>
    <row r="61" spans="1:43" x14ac:dyDescent="0.3">
      <c r="A61" t="s">
        <v>73</v>
      </c>
      <c r="B61" t="s">
        <v>59</v>
      </c>
      <c r="C61" t="s">
        <v>56</v>
      </c>
      <c r="D61" t="s">
        <v>49</v>
      </c>
      <c r="E61" t="s">
        <v>57</v>
      </c>
      <c r="F61">
        <v>58</v>
      </c>
      <c r="G61">
        <v>18</v>
      </c>
      <c r="H61">
        <v>2</v>
      </c>
      <c r="I61" t="s">
        <v>57</v>
      </c>
      <c r="J61">
        <v>1</v>
      </c>
      <c r="K61">
        <v>0.68026599998120196</v>
      </c>
      <c r="L61" t="s">
        <v>51</v>
      </c>
      <c r="M61">
        <v>2</v>
      </c>
      <c r="N61">
        <v>18</v>
      </c>
      <c r="O61">
        <v>58</v>
      </c>
      <c r="P61">
        <v>1</v>
      </c>
      <c r="Q61">
        <v>79.204597400035695</v>
      </c>
      <c r="V61">
        <v>79.196022700052694</v>
      </c>
      <c r="W61">
        <v>79.204597400035695</v>
      </c>
      <c r="X61">
        <v>79.704609400010597</v>
      </c>
      <c r="Y61">
        <v>79.704609400010597</v>
      </c>
      <c r="Z61">
        <v>79.704609400010597</v>
      </c>
      <c r="AA61">
        <v>80.391957200015895</v>
      </c>
      <c r="AB61" t="s">
        <v>57</v>
      </c>
      <c r="AC61">
        <v>1</v>
      </c>
      <c r="AD61">
        <v>0.68026599998120196</v>
      </c>
      <c r="AE61" t="s">
        <v>51</v>
      </c>
      <c r="AJ61">
        <v>3</v>
      </c>
      <c r="AK61">
        <v>1</v>
      </c>
      <c r="AL61" t="s">
        <v>82</v>
      </c>
      <c r="AM61" t="s">
        <v>43</v>
      </c>
      <c r="AO61" t="s">
        <v>44</v>
      </c>
      <c r="AP61">
        <v>60.124517886762398</v>
      </c>
      <c r="AQ61" t="s">
        <v>83</v>
      </c>
    </row>
    <row r="62" spans="1:43" x14ac:dyDescent="0.3">
      <c r="A62" t="s">
        <v>77</v>
      </c>
      <c r="B62" t="s">
        <v>59</v>
      </c>
      <c r="C62" t="s">
        <v>61</v>
      </c>
      <c r="D62" t="s">
        <v>62</v>
      </c>
      <c r="E62" t="s">
        <v>63</v>
      </c>
      <c r="F62">
        <v>59</v>
      </c>
      <c r="G62">
        <v>19</v>
      </c>
      <c r="H62">
        <v>2</v>
      </c>
      <c r="I62" t="s">
        <v>63</v>
      </c>
      <c r="J62">
        <v>1</v>
      </c>
      <c r="K62">
        <v>0.919698800018522</v>
      </c>
      <c r="L62" t="s">
        <v>51</v>
      </c>
      <c r="M62">
        <v>2</v>
      </c>
      <c r="N62">
        <v>19</v>
      </c>
      <c r="O62">
        <v>59</v>
      </c>
      <c r="P62">
        <v>4</v>
      </c>
      <c r="Q62">
        <v>80.404912500001899</v>
      </c>
      <c r="V62">
        <v>80.395591100037507</v>
      </c>
      <c r="W62">
        <v>80.404912500001899</v>
      </c>
      <c r="X62">
        <v>80.904831000021602</v>
      </c>
      <c r="Y62">
        <v>80.904831000021602</v>
      </c>
      <c r="Z62">
        <v>80.904831000021602</v>
      </c>
      <c r="AA62">
        <v>81.825772000011</v>
      </c>
      <c r="AB62" t="s">
        <v>63</v>
      </c>
      <c r="AC62">
        <v>1</v>
      </c>
      <c r="AD62">
        <v>0.919698800018522</v>
      </c>
      <c r="AE62" t="s">
        <v>51</v>
      </c>
      <c r="AJ62">
        <v>3</v>
      </c>
      <c r="AK62">
        <v>1</v>
      </c>
      <c r="AL62" t="s">
        <v>82</v>
      </c>
      <c r="AM62" t="s">
        <v>43</v>
      </c>
      <c r="AO62" t="s">
        <v>44</v>
      </c>
      <c r="AP62">
        <v>60.124517886762398</v>
      </c>
      <c r="AQ62" t="s">
        <v>83</v>
      </c>
    </row>
    <row r="63" spans="1:43" x14ac:dyDescent="0.3">
      <c r="A63" t="s">
        <v>68</v>
      </c>
      <c r="B63" t="s">
        <v>59</v>
      </c>
      <c r="C63" t="s">
        <v>53</v>
      </c>
      <c r="D63" t="s">
        <v>49</v>
      </c>
      <c r="E63" t="s">
        <v>54</v>
      </c>
      <c r="F63">
        <v>60</v>
      </c>
      <c r="G63">
        <v>0</v>
      </c>
      <c r="H63">
        <v>3</v>
      </c>
      <c r="I63" t="s">
        <v>54</v>
      </c>
      <c r="J63">
        <v>1</v>
      </c>
      <c r="K63">
        <v>1.5660389999975399</v>
      </c>
      <c r="L63" t="s">
        <v>51</v>
      </c>
      <c r="M63">
        <v>3</v>
      </c>
      <c r="N63">
        <v>0</v>
      </c>
      <c r="O63">
        <v>60</v>
      </c>
      <c r="P63">
        <v>6</v>
      </c>
      <c r="Q63">
        <v>81.837868800037498</v>
      </c>
      <c r="V63">
        <v>81.829185000038706</v>
      </c>
      <c r="W63">
        <v>81.837868800037498</v>
      </c>
      <c r="X63">
        <v>82.338538700016201</v>
      </c>
      <c r="Y63">
        <v>82.338538700016201</v>
      </c>
      <c r="Z63">
        <v>82.338538700016201</v>
      </c>
      <c r="AA63">
        <v>83.909141800017096</v>
      </c>
      <c r="AB63" t="s">
        <v>54</v>
      </c>
      <c r="AC63">
        <v>1</v>
      </c>
      <c r="AD63">
        <v>1.5660389999975399</v>
      </c>
      <c r="AE63" t="s">
        <v>51</v>
      </c>
      <c r="AJ63">
        <v>3</v>
      </c>
      <c r="AK63">
        <v>1</v>
      </c>
      <c r="AL63" t="s">
        <v>82</v>
      </c>
      <c r="AM63" t="s">
        <v>43</v>
      </c>
      <c r="AO63" t="s">
        <v>44</v>
      </c>
      <c r="AP63">
        <v>60.124517886762398</v>
      </c>
      <c r="AQ63" t="s">
        <v>83</v>
      </c>
    </row>
    <row r="64" spans="1:43" x14ac:dyDescent="0.3">
      <c r="A64" t="s">
        <v>67</v>
      </c>
      <c r="B64" t="s">
        <v>47</v>
      </c>
      <c r="C64" t="s">
        <v>53</v>
      </c>
      <c r="D64" t="s">
        <v>49</v>
      </c>
      <c r="E64" t="s">
        <v>54</v>
      </c>
      <c r="F64">
        <v>61</v>
      </c>
      <c r="G64">
        <v>1</v>
      </c>
      <c r="H64">
        <v>3</v>
      </c>
      <c r="I64" t="s">
        <v>54</v>
      </c>
      <c r="J64">
        <v>1</v>
      </c>
      <c r="K64">
        <v>0.54170629999134601</v>
      </c>
      <c r="L64" t="s">
        <v>51</v>
      </c>
      <c r="M64">
        <v>3</v>
      </c>
      <c r="N64">
        <v>1</v>
      </c>
      <c r="O64">
        <v>61</v>
      </c>
      <c r="P64">
        <v>10</v>
      </c>
      <c r="Q64">
        <v>83.920929800020502</v>
      </c>
      <c r="V64">
        <v>83.911696000024605</v>
      </c>
      <c r="W64">
        <v>83.920929800020502</v>
      </c>
      <c r="X64">
        <v>84.420818100043107</v>
      </c>
      <c r="Y64">
        <v>84.420818100043107</v>
      </c>
      <c r="Z64">
        <v>84.420818100043107</v>
      </c>
      <c r="AA64">
        <v>84.974446800013496</v>
      </c>
      <c r="AB64" t="s">
        <v>54</v>
      </c>
      <c r="AC64">
        <v>1</v>
      </c>
      <c r="AD64">
        <v>0.54170629999134601</v>
      </c>
      <c r="AE64" t="s">
        <v>51</v>
      </c>
      <c r="AJ64">
        <v>3</v>
      </c>
      <c r="AK64">
        <v>1</v>
      </c>
      <c r="AL64" t="s">
        <v>82</v>
      </c>
      <c r="AM64" t="s">
        <v>43</v>
      </c>
      <c r="AO64" t="s">
        <v>44</v>
      </c>
      <c r="AP64">
        <v>60.124517886762398</v>
      </c>
      <c r="AQ64" t="s">
        <v>83</v>
      </c>
    </row>
    <row r="65" spans="1:43" x14ac:dyDescent="0.3">
      <c r="A65" t="s">
        <v>64</v>
      </c>
      <c r="B65" t="s">
        <v>47</v>
      </c>
      <c r="C65" t="s">
        <v>53</v>
      </c>
      <c r="D65" t="s">
        <v>49</v>
      </c>
      <c r="E65" t="s">
        <v>54</v>
      </c>
      <c r="F65">
        <v>62</v>
      </c>
      <c r="G65">
        <v>2</v>
      </c>
      <c r="H65">
        <v>3</v>
      </c>
      <c r="I65" t="s">
        <v>54</v>
      </c>
      <c r="J65">
        <v>1</v>
      </c>
      <c r="K65">
        <v>0.60335910000139803</v>
      </c>
      <c r="L65" t="s">
        <v>51</v>
      </c>
      <c r="M65">
        <v>3</v>
      </c>
      <c r="N65">
        <v>2</v>
      </c>
      <c r="O65">
        <v>62</v>
      </c>
      <c r="P65">
        <v>18</v>
      </c>
      <c r="Q65">
        <v>84.9880592999979</v>
      </c>
      <c r="V65">
        <v>84.976888300035995</v>
      </c>
      <c r="W65">
        <v>84.9880592999979</v>
      </c>
      <c r="X65">
        <v>85.487569800054104</v>
      </c>
      <c r="Y65">
        <v>85.487569800054104</v>
      </c>
      <c r="Z65">
        <v>85.487569800054104</v>
      </c>
      <c r="AA65">
        <v>86.091517699998803</v>
      </c>
      <c r="AB65" t="s">
        <v>54</v>
      </c>
      <c r="AC65">
        <v>1</v>
      </c>
      <c r="AD65">
        <v>0.60335910000139803</v>
      </c>
      <c r="AE65" t="s">
        <v>51</v>
      </c>
      <c r="AJ65">
        <v>3</v>
      </c>
      <c r="AK65">
        <v>1</v>
      </c>
      <c r="AL65" t="s">
        <v>82</v>
      </c>
      <c r="AM65" t="s">
        <v>43</v>
      </c>
      <c r="AO65" t="s">
        <v>44</v>
      </c>
      <c r="AP65">
        <v>60.124517886762398</v>
      </c>
      <c r="AQ65" t="s">
        <v>83</v>
      </c>
    </row>
    <row r="66" spans="1:43" x14ac:dyDescent="0.3">
      <c r="A66" t="s">
        <v>60</v>
      </c>
      <c r="B66" t="s">
        <v>59</v>
      </c>
      <c r="C66" t="s">
        <v>61</v>
      </c>
      <c r="D66" t="s">
        <v>62</v>
      </c>
      <c r="E66" t="s">
        <v>63</v>
      </c>
      <c r="F66">
        <v>63</v>
      </c>
      <c r="G66">
        <v>3</v>
      </c>
      <c r="H66">
        <v>3</v>
      </c>
      <c r="I66" t="s">
        <v>63</v>
      </c>
      <c r="J66">
        <v>1</v>
      </c>
      <c r="K66">
        <v>1.2632963999640101</v>
      </c>
      <c r="L66" t="s">
        <v>51</v>
      </c>
      <c r="M66">
        <v>3</v>
      </c>
      <c r="N66">
        <v>3</v>
      </c>
      <c r="O66">
        <v>63</v>
      </c>
      <c r="P66">
        <v>0</v>
      </c>
      <c r="Q66">
        <v>86.104304100037496</v>
      </c>
      <c r="V66">
        <v>86.0940250999992</v>
      </c>
      <c r="W66">
        <v>86.104304100037496</v>
      </c>
      <c r="X66">
        <v>86.604641400044699</v>
      </c>
      <c r="Y66">
        <v>86.604641400044699</v>
      </c>
      <c r="Z66">
        <v>86.604641400044699</v>
      </c>
      <c r="AA66">
        <v>87.874770299997095</v>
      </c>
      <c r="AB66" t="s">
        <v>63</v>
      </c>
      <c r="AC66">
        <v>1</v>
      </c>
      <c r="AD66">
        <v>1.2632963999640101</v>
      </c>
      <c r="AE66" t="s">
        <v>51</v>
      </c>
      <c r="AJ66">
        <v>3</v>
      </c>
      <c r="AK66">
        <v>1</v>
      </c>
      <c r="AL66" t="s">
        <v>82</v>
      </c>
      <c r="AM66" t="s">
        <v>43</v>
      </c>
      <c r="AO66" t="s">
        <v>44</v>
      </c>
      <c r="AP66">
        <v>60.124517886762398</v>
      </c>
      <c r="AQ66" t="s">
        <v>83</v>
      </c>
    </row>
    <row r="67" spans="1:43" x14ac:dyDescent="0.3">
      <c r="A67" t="s">
        <v>76</v>
      </c>
      <c r="B67" t="s">
        <v>59</v>
      </c>
      <c r="C67" t="s">
        <v>48</v>
      </c>
      <c r="D67" t="s">
        <v>49</v>
      </c>
      <c r="E67" t="s">
        <v>50</v>
      </c>
      <c r="F67">
        <v>64</v>
      </c>
      <c r="G67">
        <v>4</v>
      </c>
      <c r="H67">
        <v>3</v>
      </c>
      <c r="I67" t="s">
        <v>50</v>
      </c>
      <c r="J67">
        <v>1</v>
      </c>
      <c r="K67">
        <v>1.06779140001162</v>
      </c>
      <c r="L67" t="s">
        <v>51</v>
      </c>
      <c r="M67">
        <v>3</v>
      </c>
      <c r="N67">
        <v>4</v>
      </c>
      <c r="O67">
        <v>64</v>
      </c>
      <c r="P67">
        <v>3</v>
      </c>
      <c r="Q67">
        <v>87.887412200041496</v>
      </c>
      <c r="V67">
        <v>87.877388600027103</v>
      </c>
      <c r="W67">
        <v>87.887412200041496</v>
      </c>
      <c r="X67">
        <v>88.388667799998004</v>
      </c>
      <c r="Y67">
        <v>88.388667799998004</v>
      </c>
      <c r="Z67">
        <v>88.388667799998004</v>
      </c>
      <c r="AA67">
        <v>89.459308400051597</v>
      </c>
      <c r="AB67" t="s">
        <v>50</v>
      </c>
      <c r="AC67">
        <v>1</v>
      </c>
      <c r="AD67">
        <v>1.06779140001162</v>
      </c>
      <c r="AE67" t="s">
        <v>51</v>
      </c>
      <c r="AJ67">
        <v>3</v>
      </c>
      <c r="AK67">
        <v>1</v>
      </c>
      <c r="AL67" t="s">
        <v>82</v>
      </c>
      <c r="AM67" t="s">
        <v>43</v>
      </c>
      <c r="AO67" t="s">
        <v>44</v>
      </c>
      <c r="AP67">
        <v>60.124517886762398</v>
      </c>
      <c r="AQ67" t="s">
        <v>83</v>
      </c>
    </row>
    <row r="68" spans="1:43" x14ac:dyDescent="0.3">
      <c r="A68" t="s">
        <v>58</v>
      </c>
      <c r="B68" t="s">
        <v>59</v>
      </c>
      <c r="C68" t="s">
        <v>48</v>
      </c>
      <c r="D68" t="s">
        <v>49</v>
      </c>
      <c r="E68" t="s">
        <v>50</v>
      </c>
      <c r="F68">
        <v>65</v>
      </c>
      <c r="G68">
        <v>5</v>
      </c>
      <c r="H68">
        <v>3</v>
      </c>
      <c r="I68" t="s">
        <v>50</v>
      </c>
      <c r="J68">
        <v>1</v>
      </c>
      <c r="K68">
        <v>0.82253559998935</v>
      </c>
      <c r="L68" t="s">
        <v>51</v>
      </c>
      <c r="M68">
        <v>3</v>
      </c>
      <c r="N68">
        <v>5</v>
      </c>
      <c r="O68">
        <v>65</v>
      </c>
      <c r="P68">
        <v>7</v>
      </c>
      <c r="Q68">
        <v>89.470972100039901</v>
      </c>
      <c r="V68">
        <v>89.462184000003603</v>
      </c>
      <c r="W68">
        <v>89.470972100039901</v>
      </c>
      <c r="X68">
        <v>89.971327000006497</v>
      </c>
      <c r="Y68">
        <v>89.971327000006497</v>
      </c>
      <c r="Z68">
        <v>89.971327000006497</v>
      </c>
      <c r="AA68">
        <v>90.808151800010805</v>
      </c>
      <c r="AB68" t="s">
        <v>50</v>
      </c>
      <c r="AC68">
        <v>1</v>
      </c>
      <c r="AD68">
        <v>0.82253559998935</v>
      </c>
      <c r="AE68" t="s">
        <v>51</v>
      </c>
      <c r="AJ68">
        <v>3</v>
      </c>
      <c r="AK68">
        <v>1</v>
      </c>
      <c r="AL68" t="s">
        <v>82</v>
      </c>
      <c r="AM68" t="s">
        <v>43</v>
      </c>
      <c r="AO68" t="s">
        <v>44</v>
      </c>
      <c r="AP68">
        <v>60.124517886762398</v>
      </c>
      <c r="AQ68" t="s">
        <v>83</v>
      </c>
    </row>
    <row r="69" spans="1:43" x14ac:dyDescent="0.3">
      <c r="A69" t="s">
        <v>69</v>
      </c>
      <c r="B69" t="s">
        <v>59</v>
      </c>
      <c r="C69" t="s">
        <v>56</v>
      </c>
      <c r="D69" t="s">
        <v>49</v>
      </c>
      <c r="E69" t="s">
        <v>57</v>
      </c>
      <c r="F69">
        <v>66</v>
      </c>
      <c r="G69">
        <v>6</v>
      </c>
      <c r="H69">
        <v>3</v>
      </c>
      <c r="I69" t="s">
        <v>57</v>
      </c>
      <c r="J69">
        <v>1</v>
      </c>
      <c r="K69">
        <v>0.80548260000068606</v>
      </c>
      <c r="L69" t="s">
        <v>51</v>
      </c>
      <c r="M69">
        <v>3</v>
      </c>
      <c r="N69">
        <v>6</v>
      </c>
      <c r="O69">
        <v>66</v>
      </c>
      <c r="P69">
        <v>5</v>
      </c>
      <c r="Q69">
        <v>90.820987700019003</v>
      </c>
      <c r="V69">
        <v>90.812659400049597</v>
      </c>
      <c r="W69">
        <v>90.820987700019003</v>
      </c>
      <c r="X69">
        <v>91.320811300014597</v>
      </c>
      <c r="Y69">
        <v>91.320811300014597</v>
      </c>
      <c r="Z69">
        <v>91.320811300014597</v>
      </c>
      <c r="AA69">
        <v>92.141974900034199</v>
      </c>
      <c r="AB69" t="s">
        <v>57</v>
      </c>
      <c r="AC69">
        <v>1</v>
      </c>
      <c r="AD69">
        <v>0.80548260000068606</v>
      </c>
      <c r="AE69" t="s">
        <v>51</v>
      </c>
      <c r="AJ69">
        <v>3</v>
      </c>
      <c r="AK69">
        <v>1</v>
      </c>
      <c r="AL69" t="s">
        <v>82</v>
      </c>
      <c r="AM69" t="s">
        <v>43</v>
      </c>
      <c r="AO69" t="s">
        <v>44</v>
      </c>
      <c r="AP69">
        <v>60.124517886762398</v>
      </c>
      <c r="AQ69" t="s">
        <v>83</v>
      </c>
    </row>
    <row r="70" spans="1:43" x14ac:dyDescent="0.3">
      <c r="A70" t="s">
        <v>46</v>
      </c>
      <c r="B70" t="s">
        <v>47</v>
      </c>
      <c r="C70" t="s">
        <v>48</v>
      </c>
      <c r="D70" t="s">
        <v>49</v>
      </c>
      <c r="E70" t="s">
        <v>50</v>
      </c>
      <c r="F70">
        <v>67</v>
      </c>
      <c r="G70">
        <v>7</v>
      </c>
      <c r="H70">
        <v>3</v>
      </c>
      <c r="I70" t="s">
        <v>50</v>
      </c>
      <c r="J70">
        <v>1</v>
      </c>
      <c r="K70">
        <v>0.75240990001475405</v>
      </c>
      <c r="L70" t="s">
        <v>51</v>
      </c>
      <c r="M70">
        <v>3</v>
      </c>
      <c r="N70">
        <v>7</v>
      </c>
      <c r="O70">
        <v>67</v>
      </c>
      <c r="P70">
        <v>19</v>
      </c>
      <c r="Q70">
        <v>92.1544869000208</v>
      </c>
      <c r="V70">
        <v>92.144865700043695</v>
      </c>
      <c r="W70">
        <v>92.1544869000208</v>
      </c>
      <c r="X70">
        <v>92.654383400047607</v>
      </c>
      <c r="Y70">
        <v>92.654383400047607</v>
      </c>
      <c r="Z70">
        <v>92.654383400047607</v>
      </c>
      <c r="AA70">
        <v>93.409337200049706</v>
      </c>
      <c r="AB70" t="s">
        <v>50</v>
      </c>
      <c r="AC70">
        <v>1</v>
      </c>
      <c r="AD70">
        <v>0.75240990001475405</v>
      </c>
      <c r="AE70" t="s">
        <v>51</v>
      </c>
      <c r="AJ70">
        <v>3</v>
      </c>
      <c r="AK70">
        <v>1</v>
      </c>
      <c r="AL70" t="s">
        <v>82</v>
      </c>
      <c r="AM70" t="s">
        <v>43</v>
      </c>
      <c r="AO70" t="s">
        <v>44</v>
      </c>
      <c r="AP70">
        <v>60.124517886762398</v>
      </c>
      <c r="AQ70" t="s">
        <v>83</v>
      </c>
    </row>
    <row r="71" spans="1:43" x14ac:dyDescent="0.3">
      <c r="A71" t="s">
        <v>78</v>
      </c>
      <c r="B71" t="s">
        <v>47</v>
      </c>
      <c r="C71" t="s">
        <v>56</v>
      </c>
      <c r="D71" t="s">
        <v>49</v>
      </c>
      <c r="E71" t="s">
        <v>57</v>
      </c>
      <c r="F71">
        <v>68</v>
      </c>
      <c r="G71">
        <v>8</v>
      </c>
      <c r="H71">
        <v>3</v>
      </c>
      <c r="I71" t="s">
        <v>57</v>
      </c>
      <c r="J71">
        <v>1</v>
      </c>
      <c r="K71">
        <v>0.78341789997648403</v>
      </c>
      <c r="L71" t="s">
        <v>51</v>
      </c>
      <c r="M71">
        <v>3</v>
      </c>
      <c r="N71">
        <v>8</v>
      </c>
      <c r="O71">
        <v>68</v>
      </c>
      <c r="P71">
        <v>17</v>
      </c>
      <c r="Q71">
        <v>93.420686700031993</v>
      </c>
      <c r="V71">
        <v>93.4135289000114</v>
      </c>
      <c r="W71">
        <v>93.420686700031993</v>
      </c>
      <c r="X71">
        <v>93.920552900002804</v>
      </c>
      <c r="Y71">
        <v>93.920552900002804</v>
      </c>
      <c r="Z71">
        <v>93.920552900002804</v>
      </c>
      <c r="AA71">
        <v>94.708270600007296</v>
      </c>
      <c r="AB71" t="s">
        <v>57</v>
      </c>
      <c r="AC71">
        <v>1</v>
      </c>
      <c r="AD71">
        <v>0.78341789997648403</v>
      </c>
      <c r="AE71" t="s">
        <v>51</v>
      </c>
      <c r="AJ71">
        <v>3</v>
      </c>
      <c r="AK71">
        <v>1</v>
      </c>
      <c r="AL71" t="s">
        <v>82</v>
      </c>
      <c r="AM71" t="s">
        <v>43</v>
      </c>
      <c r="AO71" t="s">
        <v>44</v>
      </c>
      <c r="AP71">
        <v>60.124517886762398</v>
      </c>
      <c r="AQ71" t="s">
        <v>83</v>
      </c>
    </row>
    <row r="72" spans="1:43" x14ac:dyDescent="0.3">
      <c r="A72" t="s">
        <v>72</v>
      </c>
      <c r="B72" t="s">
        <v>59</v>
      </c>
      <c r="C72" t="s">
        <v>61</v>
      </c>
      <c r="D72" t="s">
        <v>62</v>
      </c>
      <c r="E72" t="s">
        <v>63</v>
      </c>
      <c r="F72">
        <v>69</v>
      </c>
      <c r="G72">
        <v>9</v>
      </c>
      <c r="H72">
        <v>3</v>
      </c>
      <c r="I72" t="s">
        <v>63</v>
      </c>
      <c r="J72">
        <v>1</v>
      </c>
      <c r="K72">
        <v>0.51703049999196005</v>
      </c>
      <c r="L72" t="s">
        <v>51</v>
      </c>
      <c r="M72">
        <v>3</v>
      </c>
      <c r="N72">
        <v>9</v>
      </c>
      <c r="O72">
        <v>69</v>
      </c>
      <c r="P72">
        <v>8</v>
      </c>
      <c r="Q72">
        <v>94.720521600043796</v>
      </c>
      <c r="V72">
        <v>94.712106400053003</v>
      </c>
      <c r="W72">
        <v>94.720521600043796</v>
      </c>
      <c r="X72">
        <v>95.2209194000461</v>
      </c>
      <c r="Y72">
        <v>95.2209194000461</v>
      </c>
      <c r="Z72">
        <v>95.2209194000461</v>
      </c>
      <c r="AA72">
        <v>95.741244300035703</v>
      </c>
      <c r="AB72" t="s">
        <v>63</v>
      </c>
      <c r="AC72">
        <v>1</v>
      </c>
      <c r="AD72">
        <v>0.51703049999196005</v>
      </c>
      <c r="AE72" t="s">
        <v>51</v>
      </c>
      <c r="AJ72">
        <v>3</v>
      </c>
      <c r="AK72">
        <v>1</v>
      </c>
      <c r="AL72" t="s">
        <v>82</v>
      </c>
      <c r="AM72" t="s">
        <v>43</v>
      </c>
      <c r="AO72" t="s">
        <v>44</v>
      </c>
      <c r="AP72">
        <v>60.124517886762398</v>
      </c>
      <c r="AQ72" t="s">
        <v>83</v>
      </c>
    </row>
    <row r="73" spans="1:43" x14ac:dyDescent="0.3">
      <c r="A73" t="s">
        <v>55</v>
      </c>
      <c r="B73" t="s">
        <v>47</v>
      </c>
      <c r="C73" t="s">
        <v>56</v>
      </c>
      <c r="D73" t="s">
        <v>49</v>
      </c>
      <c r="E73" t="s">
        <v>57</v>
      </c>
      <c r="F73">
        <v>70</v>
      </c>
      <c r="G73">
        <v>10</v>
      </c>
      <c r="H73">
        <v>3</v>
      </c>
      <c r="I73" t="s">
        <v>57</v>
      </c>
      <c r="J73">
        <v>1</v>
      </c>
      <c r="K73">
        <v>0.64455289999023002</v>
      </c>
      <c r="L73" t="s">
        <v>51</v>
      </c>
      <c r="M73">
        <v>3</v>
      </c>
      <c r="N73">
        <v>10</v>
      </c>
      <c r="O73">
        <v>70</v>
      </c>
      <c r="P73">
        <v>13</v>
      </c>
      <c r="Q73">
        <v>95.753973100043297</v>
      </c>
      <c r="V73">
        <v>95.744392800028393</v>
      </c>
      <c r="W73">
        <v>95.753973100043297</v>
      </c>
      <c r="X73">
        <v>96.2535549000022</v>
      </c>
      <c r="Y73">
        <v>96.2535549000022</v>
      </c>
      <c r="Z73">
        <v>96.2535549000022</v>
      </c>
      <c r="AA73">
        <v>96.907713500026105</v>
      </c>
      <c r="AB73" t="s">
        <v>57</v>
      </c>
      <c r="AC73">
        <v>1</v>
      </c>
      <c r="AD73">
        <v>0.64455289999023002</v>
      </c>
      <c r="AE73" t="s">
        <v>51</v>
      </c>
      <c r="AJ73">
        <v>3</v>
      </c>
      <c r="AK73">
        <v>1</v>
      </c>
      <c r="AL73" t="s">
        <v>82</v>
      </c>
      <c r="AM73" t="s">
        <v>43</v>
      </c>
      <c r="AO73" t="s">
        <v>44</v>
      </c>
      <c r="AP73">
        <v>60.124517886762398</v>
      </c>
      <c r="AQ73" t="s">
        <v>83</v>
      </c>
    </row>
    <row r="74" spans="1:43" x14ac:dyDescent="0.3">
      <c r="A74" t="s">
        <v>66</v>
      </c>
      <c r="B74" t="s">
        <v>47</v>
      </c>
      <c r="C74" t="s">
        <v>61</v>
      </c>
      <c r="D74" t="s">
        <v>49</v>
      </c>
      <c r="E74" t="s">
        <v>63</v>
      </c>
      <c r="F74">
        <v>71</v>
      </c>
      <c r="G74">
        <v>11</v>
      </c>
      <c r="H74">
        <v>3</v>
      </c>
      <c r="I74" t="s">
        <v>63</v>
      </c>
      <c r="J74">
        <v>1</v>
      </c>
      <c r="K74">
        <v>0.78342449996853203</v>
      </c>
      <c r="L74" t="s">
        <v>51</v>
      </c>
      <c r="M74">
        <v>3</v>
      </c>
      <c r="N74">
        <v>11</v>
      </c>
      <c r="O74">
        <v>71</v>
      </c>
      <c r="P74">
        <v>12</v>
      </c>
      <c r="Q74">
        <v>96.921074800018602</v>
      </c>
      <c r="V74">
        <v>96.910783300001597</v>
      </c>
      <c r="W74">
        <v>96.921074800018602</v>
      </c>
      <c r="X74">
        <v>97.422254400036707</v>
      </c>
      <c r="Y74">
        <v>97.422254400036707</v>
      </c>
      <c r="Z74">
        <v>97.422254400036707</v>
      </c>
      <c r="AA74">
        <v>98.207728700013803</v>
      </c>
      <c r="AB74" t="s">
        <v>63</v>
      </c>
      <c r="AC74">
        <v>1</v>
      </c>
      <c r="AD74">
        <v>0.78342449996853203</v>
      </c>
      <c r="AE74" t="s">
        <v>51</v>
      </c>
      <c r="AJ74">
        <v>3</v>
      </c>
      <c r="AK74">
        <v>1</v>
      </c>
      <c r="AL74" t="s">
        <v>82</v>
      </c>
      <c r="AM74" t="s">
        <v>43</v>
      </c>
      <c r="AO74" t="s">
        <v>44</v>
      </c>
      <c r="AP74">
        <v>60.124517886762398</v>
      </c>
      <c r="AQ74" t="s">
        <v>83</v>
      </c>
    </row>
    <row r="75" spans="1:43" x14ac:dyDescent="0.3">
      <c r="A75" t="s">
        <v>52</v>
      </c>
      <c r="B75" t="s">
        <v>47</v>
      </c>
      <c r="C75" t="s">
        <v>53</v>
      </c>
      <c r="D75" t="s">
        <v>49</v>
      </c>
      <c r="E75" t="s">
        <v>54</v>
      </c>
      <c r="F75">
        <v>72</v>
      </c>
      <c r="G75">
        <v>12</v>
      </c>
      <c r="H75">
        <v>3</v>
      </c>
      <c r="I75" t="s">
        <v>54</v>
      </c>
      <c r="J75">
        <v>1</v>
      </c>
      <c r="K75">
        <v>0.63477539998711996</v>
      </c>
      <c r="L75" t="s">
        <v>51</v>
      </c>
      <c r="M75">
        <v>3</v>
      </c>
      <c r="N75">
        <v>12</v>
      </c>
      <c r="O75">
        <v>72</v>
      </c>
      <c r="P75">
        <v>14</v>
      </c>
      <c r="Q75">
        <v>98.220582600042604</v>
      </c>
      <c r="V75">
        <v>98.210821300046504</v>
      </c>
      <c r="W75">
        <v>98.220582600042604</v>
      </c>
      <c r="X75">
        <v>98.720455800008494</v>
      </c>
      <c r="Y75">
        <v>98.720455800008494</v>
      </c>
      <c r="Z75">
        <v>98.720455800008494</v>
      </c>
      <c r="AA75">
        <v>99.357617600005995</v>
      </c>
      <c r="AB75" t="s">
        <v>54</v>
      </c>
      <c r="AC75">
        <v>1</v>
      </c>
      <c r="AD75">
        <v>0.63477539998711996</v>
      </c>
      <c r="AE75" t="s">
        <v>51</v>
      </c>
      <c r="AJ75">
        <v>3</v>
      </c>
      <c r="AK75">
        <v>1</v>
      </c>
      <c r="AL75" t="s">
        <v>82</v>
      </c>
      <c r="AM75" t="s">
        <v>43</v>
      </c>
      <c r="AO75" t="s">
        <v>44</v>
      </c>
      <c r="AP75">
        <v>60.124517886762398</v>
      </c>
      <c r="AQ75" t="s">
        <v>83</v>
      </c>
    </row>
    <row r="76" spans="1:43" x14ac:dyDescent="0.3">
      <c r="A76" t="s">
        <v>73</v>
      </c>
      <c r="B76" t="s">
        <v>59</v>
      </c>
      <c r="C76" t="s">
        <v>56</v>
      </c>
      <c r="D76" t="s">
        <v>49</v>
      </c>
      <c r="E76" t="s">
        <v>57</v>
      </c>
      <c r="F76">
        <v>73</v>
      </c>
      <c r="G76">
        <v>13</v>
      </c>
      <c r="H76">
        <v>3</v>
      </c>
      <c r="I76" t="s">
        <v>63</v>
      </c>
      <c r="J76">
        <v>0</v>
      </c>
      <c r="K76">
        <v>0.58853479998651803</v>
      </c>
      <c r="L76" t="s">
        <v>51</v>
      </c>
      <c r="M76">
        <v>3</v>
      </c>
      <c r="N76">
        <v>13</v>
      </c>
      <c r="O76">
        <v>73</v>
      </c>
      <c r="P76">
        <v>1</v>
      </c>
      <c r="Q76">
        <v>99.370783100021001</v>
      </c>
      <c r="V76">
        <v>99.360204800031994</v>
      </c>
      <c r="W76">
        <v>99.370783100021001</v>
      </c>
      <c r="X76">
        <v>99.871154100051996</v>
      </c>
      <c r="Y76">
        <v>99.871154100051996</v>
      </c>
      <c r="Z76">
        <v>99.871154100051996</v>
      </c>
      <c r="AA76">
        <v>100.47448900004299</v>
      </c>
      <c r="AB76" t="s">
        <v>63</v>
      </c>
      <c r="AC76">
        <v>0</v>
      </c>
      <c r="AD76">
        <v>0.58853479998651803</v>
      </c>
      <c r="AE76" t="s">
        <v>51</v>
      </c>
      <c r="AJ76">
        <v>3</v>
      </c>
      <c r="AK76">
        <v>1</v>
      </c>
      <c r="AL76" t="s">
        <v>82</v>
      </c>
      <c r="AM76" t="s">
        <v>43</v>
      </c>
      <c r="AO76" t="s">
        <v>44</v>
      </c>
      <c r="AP76">
        <v>60.124517886762398</v>
      </c>
      <c r="AQ76" t="s">
        <v>83</v>
      </c>
    </row>
    <row r="77" spans="1:43" x14ac:dyDescent="0.3">
      <c r="A77" t="s">
        <v>70</v>
      </c>
      <c r="B77" t="s">
        <v>59</v>
      </c>
      <c r="C77" t="s">
        <v>53</v>
      </c>
      <c r="D77" t="s">
        <v>49</v>
      </c>
      <c r="E77" t="s">
        <v>54</v>
      </c>
      <c r="F77">
        <v>74</v>
      </c>
      <c r="G77">
        <v>14</v>
      </c>
      <c r="H77">
        <v>3</v>
      </c>
      <c r="I77" t="s">
        <v>50</v>
      </c>
      <c r="J77">
        <v>0</v>
      </c>
      <c r="K77">
        <v>1.3914404999813901</v>
      </c>
      <c r="L77" t="s">
        <v>51</v>
      </c>
      <c r="M77">
        <v>3</v>
      </c>
      <c r="N77">
        <v>14</v>
      </c>
      <c r="O77">
        <v>74</v>
      </c>
      <c r="P77">
        <v>2</v>
      </c>
      <c r="Q77">
        <v>100.48693150002499</v>
      </c>
      <c r="V77">
        <v>100.477231400029</v>
      </c>
      <c r="W77">
        <v>100.48693150002499</v>
      </c>
      <c r="X77">
        <v>100.9870888</v>
      </c>
      <c r="Y77">
        <v>100.9870888</v>
      </c>
      <c r="Z77">
        <v>100.9870888</v>
      </c>
      <c r="AA77">
        <v>102.392223900009</v>
      </c>
      <c r="AB77" t="s">
        <v>50</v>
      </c>
      <c r="AC77">
        <v>0</v>
      </c>
      <c r="AD77">
        <v>1.3914404999813901</v>
      </c>
      <c r="AE77" t="s">
        <v>51</v>
      </c>
      <c r="AJ77">
        <v>3</v>
      </c>
      <c r="AK77">
        <v>1</v>
      </c>
      <c r="AL77" t="s">
        <v>82</v>
      </c>
      <c r="AM77" t="s">
        <v>43</v>
      </c>
      <c r="AO77" t="s">
        <v>44</v>
      </c>
      <c r="AP77">
        <v>60.124517886762398</v>
      </c>
      <c r="AQ77" t="s">
        <v>83</v>
      </c>
    </row>
    <row r="78" spans="1:43" x14ac:dyDescent="0.3">
      <c r="A78" t="s">
        <v>75</v>
      </c>
      <c r="B78" t="s">
        <v>47</v>
      </c>
      <c r="C78" t="s">
        <v>61</v>
      </c>
      <c r="D78" t="s">
        <v>49</v>
      </c>
      <c r="E78" t="s">
        <v>63</v>
      </c>
      <c r="F78">
        <v>75</v>
      </c>
      <c r="G78">
        <v>15</v>
      </c>
      <c r="H78">
        <v>3</v>
      </c>
      <c r="I78" t="s">
        <v>63</v>
      </c>
      <c r="J78">
        <v>1</v>
      </c>
      <c r="K78">
        <v>1.03322800004389</v>
      </c>
      <c r="L78" t="s">
        <v>51</v>
      </c>
      <c r="M78">
        <v>3</v>
      </c>
      <c r="N78">
        <v>15</v>
      </c>
      <c r="O78">
        <v>75</v>
      </c>
      <c r="P78">
        <v>16</v>
      </c>
      <c r="Q78">
        <v>102.40441460005199</v>
      </c>
      <c r="V78">
        <v>102.39579030004001</v>
      </c>
      <c r="W78">
        <v>102.40441460005199</v>
      </c>
      <c r="X78">
        <v>102.904279300011</v>
      </c>
      <c r="Y78">
        <v>102.904279300011</v>
      </c>
      <c r="Z78">
        <v>102.904279300011</v>
      </c>
      <c r="AA78">
        <v>103.940876700042</v>
      </c>
      <c r="AB78" t="s">
        <v>63</v>
      </c>
      <c r="AC78">
        <v>1</v>
      </c>
      <c r="AD78">
        <v>1.03322800004389</v>
      </c>
      <c r="AE78" t="s">
        <v>51</v>
      </c>
      <c r="AJ78">
        <v>3</v>
      </c>
      <c r="AK78">
        <v>1</v>
      </c>
      <c r="AL78" t="s">
        <v>82</v>
      </c>
      <c r="AM78" t="s">
        <v>43</v>
      </c>
      <c r="AO78" t="s">
        <v>44</v>
      </c>
      <c r="AP78">
        <v>60.124517886762398</v>
      </c>
      <c r="AQ78" t="s">
        <v>83</v>
      </c>
    </row>
    <row r="79" spans="1:43" x14ac:dyDescent="0.3">
      <c r="A79" t="s">
        <v>65</v>
      </c>
      <c r="B79" t="s">
        <v>59</v>
      </c>
      <c r="C79" t="s">
        <v>56</v>
      </c>
      <c r="D79" t="s">
        <v>49</v>
      </c>
      <c r="E79" t="s">
        <v>57</v>
      </c>
      <c r="F79">
        <v>76</v>
      </c>
      <c r="G79">
        <v>16</v>
      </c>
      <c r="H79">
        <v>3</v>
      </c>
      <c r="I79" t="s">
        <v>57</v>
      </c>
      <c r="J79">
        <v>1</v>
      </c>
      <c r="K79">
        <v>0.75509890000102997</v>
      </c>
      <c r="L79" t="s">
        <v>51</v>
      </c>
      <c r="M79">
        <v>3</v>
      </c>
      <c r="N79">
        <v>16</v>
      </c>
      <c r="O79">
        <v>76</v>
      </c>
      <c r="P79">
        <v>9</v>
      </c>
      <c r="Q79">
        <v>103.953439300006</v>
      </c>
      <c r="V79">
        <v>103.943761300004</v>
      </c>
      <c r="W79">
        <v>103.953439300006</v>
      </c>
      <c r="X79">
        <v>104.45334270002699</v>
      </c>
      <c r="Y79">
        <v>104.45334270002699</v>
      </c>
      <c r="Z79">
        <v>104.45334270002699</v>
      </c>
      <c r="AA79">
        <v>105.223953200038</v>
      </c>
      <c r="AB79" t="s">
        <v>57</v>
      </c>
      <c r="AC79">
        <v>1</v>
      </c>
      <c r="AD79">
        <v>0.75509890000102997</v>
      </c>
      <c r="AE79" t="s">
        <v>51</v>
      </c>
      <c r="AJ79">
        <v>3</v>
      </c>
      <c r="AK79">
        <v>1</v>
      </c>
      <c r="AL79" t="s">
        <v>82</v>
      </c>
      <c r="AM79" t="s">
        <v>43</v>
      </c>
      <c r="AO79" t="s">
        <v>44</v>
      </c>
      <c r="AP79">
        <v>60.124517886762398</v>
      </c>
      <c r="AQ79" t="s">
        <v>83</v>
      </c>
    </row>
    <row r="80" spans="1:43" x14ac:dyDescent="0.3">
      <c r="A80" t="s">
        <v>77</v>
      </c>
      <c r="B80" t="s">
        <v>59</v>
      </c>
      <c r="C80" t="s">
        <v>61</v>
      </c>
      <c r="D80" t="s">
        <v>62</v>
      </c>
      <c r="E80" t="s">
        <v>63</v>
      </c>
      <c r="F80">
        <v>77</v>
      </c>
      <c r="G80">
        <v>17</v>
      </c>
      <c r="H80">
        <v>3</v>
      </c>
      <c r="I80" t="s">
        <v>63</v>
      </c>
      <c r="J80">
        <v>1</v>
      </c>
      <c r="K80">
        <v>0.635764800012111</v>
      </c>
      <c r="L80" t="s">
        <v>51</v>
      </c>
      <c r="M80">
        <v>3</v>
      </c>
      <c r="N80">
        <v>17</v>
      </c>
      <c r="O80">
        <v>77</v>
      </c>
      <c r="P80">
        <v>4</v>
      </c>
      <c r="Q80">
        <v>105.23705130000501</v>
      </c>
      <c r="V80">
        <v>105.227293600037</v>
      </c>
      <c r="W80">
        <v>105.23705130000501</v>
      </c>
      <c r="X80">
        <v>105.737805700046</v>
      </c>
      <c r="Y80">
        <v>105.737805700046</v>
      </c>
      <c r="Z80">
        <v>105.737805700046</v>
      </c>
      <c r="AA80">
        <v>106.375233000027</v>
      </c>
      <c r="AB80" t="s">
        <v>63</v>
      </c>
      <c r="AC80">
        <v>1</v>
      </c>
      <c r="AD80">
        <v>0.635764800012111</v>
      </c>
      <c r="AE80" t="s">
        <v>51</v>
      </c>
      <c r="AJ80">
        <v>3</v>
      </c>
      <c r="AK80">
        <v>1</v>
      </c>
      <c r="AL80" t="s">
        <v>82</v>
      </c>
      <c r="AM80" t="s">
        <v>43</v>
      </c>
      <c r="AO80" t="s">
        <v>44</v>
      </c>
      <c r="AP80">
        <v>60.124517886762398</v>
      </c>
      <c r="AQ80" t="s">
        <v>83</v>
      </c>
    </row>
    <row r="81" spans="1:43" x14ac:dyDescent="0.3">
      <c r="A81" t="s">
        <v>71</v>
      </c>
      <c r="B81" t="s">
        <v>47</v>
      </c>
      <c r="C81" t="s">
        <v>48</v>
      </c>
      <c r="D81" t="s">
        <v>49</v>
      </c>
      <c r="E81" t="s">
        <v>50</v>
      </c>
      <c r="F81">
        <v>78</v>
      </c>
      <c r="G81">
        <v>18</v>
      </c>
      <c r="H81">
        <v>3</v>
      </c>
      <c r="I81" t="s">
        <v>50</v>
      </c>
      <c r="J81">
        <v>1</v>
      </c>
      <c r="K81">
        <v>0.95504380000056699</v>
      </c>
      <c r="L81" t="s">
        <v>51</v>
      </c>
      <c r="M81">
        <v>3</v>
      </c>
      <c r="N81">
        <v>18</v>
      </c>
      <c r="O81">
        <v>78</v>
      </c>
      <c r="P81">
        <v>15</v>
      </c>
      <c r="Q81">
        <v>106.386674600013</v>
      </c>
      <c r="V81">
        <v>106.37914220005</v>
      </c>
      <c r="W81">
        <v>106.386674600013</v>
      </c>
      <c r="X81">
        <v>106.887138999998</v>
      </c>
      <c r="Y81">
        <v>106.887138999998</v>
      </c>
      <c r="Z81">
        <v>106.887138999998</v>
      </c>
      <c r="AA81">
        <v>107.85750280000499</v>
      </c>
      <c r="AB81" t="s">
        <v>50</v>
      </c>
      <c r="AC81">
        <v>1</v>
      </c>
      <c r="AD81">
        <v>0.95504380000056699</v>
      </c>
      <c r="AE81" t="s">
        <v>51</v>
      </c>
      <c r="AJ81">
        <v>3</v>
      </c>
      <c r="AK81">
        <v>1</v>
      </c>
      <c r="AL81" t="s">
        <v>82</v>
      </c>
      <c r="AM81" t="s">
        <v>43</v>
      </c>
      <c r="AO81" t="s">
        <v>44</v>
      </c>
      <c r="AP81">
        <v>60.124517886762398</v>
      </c>
      <c r="AQ81" t="s">
        <v>83</v>
      </c>
    </row>
    <row r="82" spans="1:43" x14ac:dyDescent="0.3">
      <c r="A82" t="s">
        <v>74</v>
      </c>
      <c r="B82" t="s">
        <v>47</v>
      </c>
      <c r="C82" t="s">
        <v>48</v>
      </c>
      <c r="D82" t="s">
        <v>49</v>
      </c>
      <c r="E82" t="s">
        <v>50</v>
      </c>
      <c r="F82">
        <v>79</v>
      </c>
      <c r="G82">
        <v>19</v>
      </c>
      <c r="H82">
        <v>3</v>
      </c>
      <c r="I82" t="s">
        <v>50</v>
      </c>
      <c r="J82">
        <v>1</v>
      </c>
      <c r="K82">
        <v>0.53102150000631798</v>
      </c>
      <c r="L82" t="s">
        <v>51</v>
      </c>
      <c r="M82">
        <v>3</v>
      </c>
      <c r="N82">
        <v>19</v>
      </c>
      <c r="O82">
        <v>79</v>
      </c>
      <c r="P82">
        <v>11</v>
      </c>
      <c r="Q82">
        <v>107.86994750000299</v>
      </c>
      <c r="V82">
        <v>107.860444799996</v>
      </c>
      <c r="W82">
        <v>107.86994750000299</v>
      </c>
      <c r="X82">
        <v>108.37043230002701</v>
      </c>
      <c r="Y82">
        <v>108.37043230002701</v>
      </c>
      <c r="Z82">
        <v>108.37043230002701</v>
      </c>
      <c r="AA82">
        <v>108.907247900031</v>
      </c>
      <c r="AB82" t="s">
        <v>50</v>
      </c>
      <c r="AC82">
        <v>1</v>
      </c>
      <c r="AD82">
        <v>0.53102150000631798</v>
      </c>
      <c r="AE82" t="s">
        <v>51</v>
      </c>
      <c r="AJ82">
        <v>3</v>
      </c>
      <c r="AK82">
        <v>1</v>
      </c>
      <c r="AL82" t="s">
        <v>82</v>
      </c>
      <c r="AM82" t="s">
        <v>43</v>
      </c>
      <c r="AO82" t="s">
        <v>44</v>
      </c>
      <c r="AP82">
        <v>60.124517886762398</v>
      </c>
      <c r="AQ82" t="s">
        <v>83</v>
      </c>
    </row>
    <row r="83" spans="1:43" x14ac:dyDescent="0.3">
      <c r="A83" t="s">
        <v>68</v>
      </c>
      <c r="B83" t="s">
        <v>59</v>
      </c>
      <c r="C83" t="s">
        <v>53</v>
      </c>
      <c r="D83" t="s">
        <v>49</v>
      </c>
      <c r="E83" t="s">
        <v>54</v>
      </c>
      <c r="F83">
        <v>80</v>
      </c>
      <c r="G83">
        <v>0</v>
      </c>
      <c r="H83">
        <v>4</v>
      </c>
      <c r="I83" t="s">
        <v>54</v>
      </c>
      <c r="J83">
        <v>1</v>
      </c>
      <c r="K83">
        <v>0.80804380000336096</v>
      </c>
      <c r="L83" t="s">
        <v>51</v>
      </c>
      <c r="M83">
        <v>4</v>
      </c>
      <c r="N83">
        <v>0</v>
      </c>
      <c r="O83">
        <v>80</v>
      </c>
      <c r="P83">
        <v>6</v>
      </c>
      <c r="Q83">
        <v>108.92058780003499</v>
      </c>
      <c r="V83">
        <v>108.910216100048</v>
      </c>
      <c r="W83">
        <v>108.92058780003499</v>
      </c>
      <c r="X83">
        <v>109.420181100023</v>
      </c>
      <c r="Y83">
        <v>109.420181100023</v>
      </c>
      <c r="Z83">
        <v>109.420181100023</v>
      </c>
      <c r="AA83">
        <v>110.240773500001</v>
      </c>
      <c r="AB83" t="s">
        <v>54</v>
      </c>
      <c r="AC83">
        <v>1</v>
      </c>
      <c r="AD83">
        <v>0.80804380000336096</v>
      </c>
      <c r="AE83" t="s">
        <v>51</v>
      </c>
      <c r="AJ83">
        <v>3</v>
      </c>
      <c r="AK83">
        <v>1</v>
      </c>
      <c r="AL83" t="s">
        <v>82</v>
      </c>
      <c r="AM83" t="s">
        <v>43</v>
      </c>
      <c r="AO83" t="s">
        <v>44</v>
      </c>
      <c r="AP83">
        <v>60.124517886762398</v>
      </c>
      <c r="AQ83" t="s">
        <v>83</v>
      </c>
    </row>
    <row r="84" spans="1:43" x14ac:dyDescent="0.3">
      <c r="A84" t="s">
        <v>70</v>
      </c>
      <c r="B84" t="s">
        <v>59</v>
      </c>
      <c r="C84" t="s">
        <v>53</v>
      </c>
      <c r="D84" t="s">
        <v>49</v>
      </c>
      <c r="E84" t="s">
        <v>54</v>
      </c>
      <c r="F84">
        <v>81</v>
      </c>
      <c r="G84">
        <v>1</v>
      </c>
      <c r="H84">
        <v>4</v>
      </c>
      <c r="I84" t="s">
        <v>54</v>
      </c>
      <c r="J84">
        <v>1</v>
      </c>
      <c r="K84">
        <v>0.60465769999427699</v>
      </c>
      <c r="L84" t="s">
        <v>51</v>
      </c>
      <c r="M84">
        <v>4</v>
      </c>
      <c r="N84">
        <v>1</v>
      </c>
      <c r="O84">
        <v>81</v>
      </c>
      <c r="P84">
        <v>2</v>
      </c>
      <c r="Q84">
        <v>110.254299900028</v>
      </c>
      <c r="V84">
        <v>110.244442499999</v>
      </c>
      <c r="W84">
        <v>110.254299900028</v>
      </c>
      <c r="X84">
        <v>110.75317380001</v>
      </c>
      <c r="Y84">
        <v>110.75317380001</v>
      </c>
      <c r="Z84">
        <v>110.75317380001</v>
      </c>
      <c r="AA84">
        <v>111.35893000004501</v>
      </c>
      <c r="AB84" t="s">
        <v>54</v>
      </c>
      <c r="AC84">
        <v>1</v>
      </c>
      <c r="AD84">
        <v>0.60465769999427699</v>
      </c>
      <c r="AE84" t="s">
        <v>51</v>
      </c>
      <c r="AJ84">
        <v>3</v>
      </c>
      <c r="AK84">
        <v>1</v>
      </c>
      <c r="AL84" t="s">
        <v>82</v>
      </c>
      <c r="AM84" t="s">
        <v>43</v>
      </c>
      <c r="AO84" t="s">
        <v>44</v>
      </c>
      <c r="AP84">
        <v>60.124517886762398</v>
      </c>
      <c r="AQ84" t="s">
        <v>83</v>
      </c>
    </row>
    <row r="85" spans="1:43" x14ac:dyDescent="0.3">
      <c r="A85" t="s">
        <v>74</v>
      </c>
      <c r="B85" t="s">
        <v>47</v>
      </c>
      <c r="C85" t="s">
        <v>48</v>
      </c>
      <c r="D85" t="s">
        <v>49</v>
      </c>
      <c r="E85" t="s">
        <v>50</v>
      </c>
      <c r="F85">
        <v>82</v>
      </c>
      <c r="G85">
        <v>2</v>
      </c>
      <c r="H85">
        <v>4</v>
      </c>
      <c r="I85" t="s">
        <v>50</v>
      </c>
      <c r="J85">
        <v>1</v>
      </c>
      <c r="K85">
        <v>1.3249778999597699</v>
      </c>
      <c r="L85" t="s">
        <v>51</v>
      </c>
      <c r="M85">
        <v>4</v>
      </c>
      <c r="N85">
        <v>2</v>
      </c>
      <c r="O85">
        <v>82</v>
      </c>
      <c r="P85">
        <v>11</v>
      </c>
      <c r="Q85">
        <v>111.37011270003801</v>
      </c>
      <c r="V85">
        <v>111.36239510000399</v>
      </c>
      <c r="W85">
        <v>111.37011270003801</v>
      </c>
      <c r="X85">
        <v>111.870435800054</v>
      </c>
      <c r="Y85">
        <v>111.870435800054</v>
      </c>
      <c r="Z85">
        <v>111.870435800054</v>
      </c>
      <c r="AA85">
        <v>113.206622300029</v>
      </c>
      <c r="AB85" t="s">
        <v>50</v>
      </c>
      <c r="AC85">
        <v>1</v>
      </c>
      <c r="AD85">
        <v>1.3249778999597699</v>
      </c>
      <c r="AE85" t="s">
        <v>51</v>
      </c>
      <c r="AJ85">
        <v>3</v>
      </c>
      <c r="AK85">
        <v>1</v>
      </c>
      <c r="AL85" t="s">
        <v>82</v>
      </c>
      <c r="AM85" t="s">
        <v>43</v>
      </c>
      <c r="AO85" t="s">
        <v>44</v>
      </c>
      <c r="AP85">
        <v>60.124517886762398</v>
      </c>
      <c r="AQ85" t="s">
        <v>83</v>
      </c>
    </row>
    <row r="86" spans="1:43" x14ac:dyDescent="0.3">
      <c r="A86" t="s">
        <v>77</v>
      </c>
      <c r="B86" t="s">
        <v>59</v>
      </c>
      <c r="C86" t="s">
        <v>61</v>
      </c>
      <c r="D86" t="s">
        <v>62</v>
      </c>
      <c r="E86" t="s">
        <v>63</v>
      </c>
      <c r="F86">
        <v>83</v>
      </c>
      <c r="G86">
        <v>3</v>
      </c>
      <c r="H86">
        <v>4</v>
      </c>
      <c r="I86" t="s">
        <v>57</v>
      </c>
      <c r="J86">
        <v>0</v>
      </c>
      <c r="K86">
        <v>0.78039930004160796</v>
      </c>
      <c r="L86" t="s">
        <v>51</v>
      </c>
      <c r="M86">
        <v>4</v>
      </c>
      <c r="N86">
        <v>3</v>
      </c>
      <c r="O86">
        <v>83</v>
      </c>
      <c r="P86">
        <v>4</v>
      </c>
      <c r="Q86">
        <v>113.219560700003</v>
      </c>
      <c r="V86">
        <v>113.210244000016</v>
      </c>
      <c r="W86">
        <v>113.219560700003</v>
      </c>
      <c r="X86">
        <v>113.720532600011</v>
      </c>
      <c r="Y86">
        <v>113.720532600011</v>
      </c>
      <c r="Z86">
        <v>113.720532600011</v>
      </c>
      <c r="AA86">
        <v>114.506904100009</v>
      </c>
      <c r="AB86" t="s">
        <v>57</v>
      </c>
      <c r="AC86">
        <v>0</v>
      </c>
      <c r="AD86">
        <v>0.78039930004160796</v>
      </c>
      <c r="AE86" t="s">
        <v>51</v>
      </c>
      <c r="AJ86">
        <v>3</v>
      </c>
      <c r="AK86">
        <v>1</v>
      </c>
      <c r="AL86" t="s">
        <v>82</v>
      </c>
      <c r="AM86" t="s">
        <v>43</v>
      </c>
      <c r="AO86" t="s">
        <v>44</v>
      </c>
      <c r="AP86">
        <v>60.124517886762398</v>
      </c>
      <c r="AQ86" t="s">
        <v>83</v>
      </c>
    </row>
    <row r="87" spans="1:43" x14ac:dyDescent="0.3">
      <c r="A87" t="s">
        <v>72</v>
      </c>
      <c r="B87" t="s">
        <v>59</v>
      </c>
      <c r="C87" t="s">
        <v>61</v>
      </c>
      <c r="D87" t="s">
        <v>62</v>
      </c>
      <c r="E87" t="s">
        <v>63</v>
      </c>
      <c r="F87">
        <v>84</v>
      </c>
      <c r="G87">
        <v>4</v>
      </c>
      <c r="H87">
        <v>4</v>
      </c>
      <c r="I87" t="s">
        <v>57</v>
      </c>
      <c r="J87">
        <v>0</v>
      </c>
      <c r="K87">
        <v>0.58661230001598597</v>
      </c>
      <c r="L87" t="s">
        <v>51</v>
      </c>
      <c r="M87">
        <v>4</v>
      </c>
      <c r="N87">
        <v>4</v>
      </c>
      <c r="O87">
        <v>84</v>
      </c>
      <c r="P87">
        <v>8</v>
      </c>
      <c r="Q87">
        <v>114.519821399997</v>
      </c>
      <c r="V87">
        <v>114.510063800029</v>
      </c>
      <c r="W87">
        <v>114.519821399997</v>
      </c>
      <c r="X87">
        <v>115.01968470000401</v>
      </c>
      <c r="Y87">
        <v>115.01968470000401</v>
      </c>
      <c r="Z87">
        <v>115.01968470000401</v>
      </c>
      <c r="AA87">
        <v>115.607865300029</v>
      </c>
      <c r="AB87" t="s">
        <v>57</v>
      </c>
      <c r="AC87">
        <v>0</v>
      </c>
      <c r="AD87">
        <v>0.58661230001598597</v>
      </c>
      <c r="AE87" t="s">
        <v>51</v>
      </c>
      <c r="AJ87">
        <v>3</v>
      </c>
      <c r="AK87">
        <v>1</v>
      </c>
      <c r="AL87" t="s">
        <v>82</v>
      </c>
      <c r="AM87" t="s">
        <v>43</v>
      </c>
      <c r="AO87" t="s">
        <v>44</v>
      </c>
      <c r="AP87">
        <v>60.124517886762398</v>
      </c>
      <c r="AQ87" t="s">
        <v>83</v>
      </c>
    </row>
    <row r="88" spans="1:43" x14ac:dyDescent="0.3">
      <c r="A88" t="s">
        <v>75</v>
      </c>
      <c r="B88" t="s">
        <v>47</v>
      </c>
      <c r="C88" t="s">
        <v>61</v>
      </c>
      <c r="D88" t="s">
        <v>49</v>
      </c>
      <c r="E88" t="s">
        <v>63</v>
      </c>
      <c r="F88">
        <v>85</v>
      </c>
      <c r="G88">
        <v>5</v>
      </c>
      <c r="H88">
        <v>4</v>
      </c>
      <c r="I88" t="s">
        <v>57</v>
      </c>
      <c r="J88">
        <v>0</v>
      </c>
      <c r="K88">
        <v>0.85966500005451896</v>
      </c>
      <c r="L88" t="s">
        <v>51</v>
      </c>
      <c r="M88">
        <v>4</v>
      </c>
      <c r="N88">
        <v>5</v>
      </c>
      <c r="O88">
        <v>85</v>
      </c>
      <c r="P88">
        <v>16</v>
      </c>
      <c r="Q88">
        <v>115.61955040000601</v>
      </c>
      <c r="V88">
        <v>115.610897000005</v>
      </c>
      <c r="W88">
        <v>115.61955040000601</v>
      </c>
      <c r="X88">
        <v>116.120136700046</v>
      </c>
      <c r="Y88">
        <v>116.120136700046</v>
      </c>
      <c r="Z88">
        <v>116.120136700046</v>
      </c>
      <c r="AA88">
        <v>116.99001090001499</v>
      </c>
      <c r="AB88" t="s">
        <v>57</v>
      </c>
      <c r="AC88">
        <v>0</v>
      </c>
      <c r="AD88">
        <v>0.85966500005451896</v>
      </c>
      <c r="AE88" t="s">
        <v>51</v>
      </c>
      <c r="AJ88">
        <v>3</v>
      </c>
      <c r="AK88">
        <v>1</v>
      </c>
      <c r="AL88" t="s">
        <v>82</v>
      </c>
      <c r="AM88" t="s">
        <v>43</v>
      </c>
      <c r="AO88" t="s">
        <v>44</v>
      </c>
      <c r="AP88">
        <v>60.124517886762398</v>
      </c>
      <c r="AQ88" t="s">
        <v>83</v>
      </c>
    </row>
    <row r="89" spans="1:43" x14ac:dyDescent="0.3">
      <c r="A89" t="s">
        <v>55</v>
      </c>
      <c r="B89" t="s">
        <v>47</v>
      </c>
      <c r="C89" t="s">
        <v>56</v>
      </c>
      <c r="D89" t="s">
        <v>49</v>
      </c>
      <c r="E89" t="s">
        <v>57</v>
      </c>
      <c r="F89">
        <v>86</v>
      </c>
      <c r="G89">
        <v>6</v>
      </c>
      <c r="H89">
        <v>4</v>
      </c>
      <c r="I89" t="s">
        <v>57</v>
      </c>
      <c r="J89">
        <v>1</v>
      </c>
      <c r="K89">
        <v>1.52910440001869</v>
      </c>
      <c r="L89" t="s">
        <v>51</v>
      </c>
      <c r="M89">
        <v>4</v>
      </c>
      <c r="N89">
        <v>6</v>
      </c>
      <c r="O89">
        <v>86</v>
      </c>
      <c r="P89">
        <v>13</v>
      </c>
      <c r="Q89">
        <v>117.003159900021</v>
      </c>
      <c r="V89">
        <v>116.993457000004</v>
      </c>
      <c r="W89">
        <v>117.003159900021</v>
      </c>
      <c r="X89">
        <v>117.50329720001901</v>
      </c>
      <c r="Y89">
        <v>117.50329720001901</v>
      </c>
      <c r="Z89">
        <v>117.50329720001901</v>
      </c>
      <c r="AA89">
        <v>119.039924600045</v>
      </c>
      <c r="AB89" t="s">
        <v>57</v>
      </c>
      <c r="AC89">
        <v>1</v>
      </c>
      <c r="AD89">
        <v>1.52910440001869</v>
      </c>
      <c r="AE89" t="s">
        <v>51</v>
      </c>
      <c r="AJ89">
        <v>3</v>
      </c>
      <c r="AK89">
        <v>1</v>
      </c>
      <c r="AL89" t="s">
        <v>82</v>
      </c>
      <c r="AM89" t="s">
        <v>43</v>
      </c>
      <c r="AO89" t="s">
        <v>44</v>
      </c>
      <c r="AP89">
        <v>60.124517886762398</v>
      </c>
      <c r="AQ89" t="s">
        <v>83</v>
      </c>
    </row>
    <row r="90" spans="1:43" x14ac:dyDescent="0.3">
      <c r="A90" t="s">
        <v>52</v>
      </c>
      <c r="B90" t="s">
        <v>47</v>
      </c>
      <c r="C90" t="s">
        <v>53</v>
      </c>
      <c r="D90" t="s">
        <v>49</v>
      </c>
      <c r="E90" t="s">
        <v>54</v>
      </c>
      <c r="F90">
        <v>87</v>
      </c>
      <c r="G90">
        <v>7</v>
      </c>
      <c r="H90">
        <v>4</v>
      </c>
      <c r="I90" t="s">
        <v>54</v>
      </c>
      <c r="J90">
        <v>1</v>
      </c>
      <c r="K90">
        <v>0.92707370000425704</v>
      </c>
      <c r="L90" t="s">
        <v>51</v>
      </c>
      <c r="M90">
        <v>4</v>
      </c>
      <c r="N90">
        <v>7</v>
      </c>
      <c r="O90">
        <v>87</v>
      </c>
      <c r="P90">
        <v>14</v>
      </c>
      <c r="Q90">
        <v>119.053284100024</v>
      </c>
      <c r="V90">
        <v>119.043236600002</v>
      </c>
      <c r="W90">
        <v>119.053284100024</v>
      </c>
      <c r="X90">
        <v>119.552915800013</v>
      </c>
      <c r="Y90">
        <v>119.552915800013</v>
      </c>
      <c r="Z90">
        <v>119.552915800013</v>
      </c>
      <c r="AA90">
        <v>120.489744100021</v>
      </c>
      <c r="AB90" t="s">
        <v>54</v>
      </c>
      <c r="AC90">
        <v>1</v>
      </c>
      <c r="AD90">
        <v>0.92707370000425704</v>
      </c>
      <c r="AE90" t="s">
        <v>51</v>
      </c>
      <c r="AJ90">
        <v>3</v>
      </c>
      <c r="AK90">
        <v>1</v>
      </c>
      <c r="AL90" t="s">
        <v>82</v>
      </c>
      <c r="AM90" t="s">
        <v>43</v>
      </c>
      <c r="AO90" t="s">
        <v>44</v>
      </c>
      <c r="AP90">
        <v>60.124517886762398</v>
      </c>
      <c r="AQ90" t="s">
        <v>83</v>
      </c>
    </row>
    <row r="91" spans="1:43" x14ac:dyDescent="0.3">
      <c r="A91" t="s">
        <v>60</v>
      </c>
      <c r="B91" t="s">
        <v>59</v>
      </c>
      <c r="C91" t="s">
        <v>61</v>
      </c>
      <c r="D91" t="s">
        <v>62</v>
      </c>
      <c r="E91" t="s">
        <v>63</v>
      </c>
      <c r="F91">
        <v>88</v>
      </c>
      <c r="G91">
        <v>8</v>
      </c>
      <c r="H91">
        <v>4</v>
      </c>
      <c r="I91" t="s">
        <v>63</v>
      </c>
      <c r="J91">
        <v>1</v>
      </c>
      <c r="K91">
        <v>0.81331209995551002</v>
      </c>
      <c r="L91" t="s">
        <v>51</v>
      </c>
      <c r="M91">
        <v>4</v>
      </c>
      <c r="N91">
        <v>8</v>
      </c>
      <c r="O91">
        <v>88</v>
      </c>
      <c r="P91">
        <v>0</v>
      </c>
      <c r="Q91">
        <v>120.503184500033</v>
      </c>
      <c r="V91">
        <v>120.49368770001399</v>
      </c>
      <c r="W91">
        <v>120.503184500033</v>
      </c>
      <c r="X91">
        <v>121.00279020000001</v>
      </c>
      <c r="Y91">
        <v>121.00279020000001</v>
      </c>
      <c r="Z91">
        <v>121.00279020000001</v>
      </c>
      <c r="AA91">
        <v>121.82329349999701</v>
      </c>
      <c r="AB91" t="s">
        <v>63</v>
      </c>
      <c r="AC91">
        <v>1</v>
      </c>
      <c r="AD91">
        <v>0.81331209995551002</v>
      </c>
      <c r="AE91" t="s">
        <v>51</v>
      </c>
      <c r="AJ91">
        <v>3</v>
      </c>
      <c r="AK91">
        <v>1</v>
      </c>
      <c r="AL91" t="s">
        <v>82</v>
      </c>
      <c r="AM91" t="s">
        <v>43</v>
      </c>
      <c r="AO91" t="s">
        <v>44</v>
      </c>
      <c r="AP91">
        <v>60.124517886762398</v>
      </c>
      <c r="AQ91" t="s">
        <v>83</v>
      </c>
    </row>
    <row r="92" spans="1:43" x14ac:dyDescent="0.3">
      <c r="A92" t="s">
        <v>64</v>
      </c>
      <c r="B92" t="s">
        <v>47</v>
      </c>
      <c r="C92" t="s">
        <v>53</v>
      </c>
      <c r="D92" t="s">
        <v>49</v>
      </c>
      <c r="E92" t="s">
        <v>54</v>
      </c>
      <c r="F92">
        <v>89</v>
      </c>
      <c r="G92">
        <v>9</v>
      </c>
      <c r="H92">
        <v>4</v>
      </c>
      <c r="I92" t="s">
        <v>54</v>
      </c>
      <c r="J92">
        <v>1</v>
      </c>
      <c r="K92">
        <v>0.63282990001607597</v>
      </c>
      <c r="L92" t="s">
        <v>51</v>
      </c>
      <c r="M92">
        <v>4</v>
      </c>
      <c r="N92">
        <v>9</v>
      </c>
      <c r="O92">
        <v>89</v>
      </c>
      <c r="P92">
        <v>18</v>
      </c>
      <c r="Q92">
        <v>121.836541700002</v>
      </c>
      <c r="V92">
        <v>121.826375100004</v>
      </c>
      <c r="W92">
        <v>121.836541700002</v>
      </c>
      <c r="X92">
        <v>122.336349999997</v>
      </c>
      <c r="Y92">
        <v>122.336349999997</v>
      </c>
      <c r="Z92">
        <v>122.336349999997</v>
      </c>
      <c r="AA92">
        <v>122.972986000007</v>
      </c>
      <c r="AB92" t="s">
        <v>54</v>
      </c>
      <c r="AC92">
        <v>1</v>
      </c>
      <c r="AD92">
        <v>0.63282990001607597</v>
      </c>
      <c r="AE92" t="s">
        <v>51</v>
      </c>
      <c r="AJ92">
        <v>3</v>
      </c>
      <c r="AK92">
        <v>1</v>
      </c>
      <c r="AL92" t="s">
        <v>82</v>
      </c>
      <c r="AM92" t="s">
        <v>43</v>
      </c>
      <c r="AO92" t="s">
        <v>44</v>
      </c>
      <c r="AP92">
        <v>60.124517886762398</v>
      </c>
      <c r="AQ92" t="s">
        <v>83</v>
      </c>
    </row>
    <row r="93" spans="1:43" x14ac:dyDescent="0.3">
      <c r="A93" t="s">
        <v>66</v>
      </c>
      <c r="B93" t="s">
        <v>47</v>
      </c>
      <c r="C93" t="s">
        <v>61</v>
      </c>
      <c r="D93" t="s">
        <v>49</v>
      </c>
      <c r="E93" t="s">
        <v>63</v>
      </c>
      <c r="F93">
        <v>90</v>
      </c>
      <c r="G93">
        <v>10</v>
      </c>
      <c r="H93">
        <v>4</v>
      </c>
      <c r="I93" t="s">
        <v>63</v>
      </c>
      <c r="J93">
        <v>1</v>
      </c>
      <c r="K93">
        <v>0.52545050001936</v>
      </c>
      <c r="L93" t="s">
        <v>51</v>
      </c>
      <c r="M93">
        <v>4</v>
      </c>
      <c r="N93">
        <v>10</v>
      </c>
      <c r="O93">
        <v>90</v>
      </c>
      <c r="P93">
        <v>12</v>
      </c>
      <c r="Q93">
        <v>122.98649979999701</v>
      </c>
      <c r="V93">
        <v>122.976021500013</v>
      </c>
      <c r="W93">
        <v>122.98649979999701</v>
      </c>
      <c r="X93">
        <v>123.486424200003</v>
      </c>
      <c r="Y93">
        <v>123.486424200003</v>
      </c>
      <c r="Z93">
        <v>123.486424200003</v>
      </c>
      <c r="AA93">
        <v>124.02310560003301</v>
      </c>
      <c r="AB93" t="s">
        <v>63</v>
      </c>
      <c r="AC93">
        <v>1</v>
      </c>
      <c r="AD93">
        <v>0.52545050001936</v>
      </c>
      <c r="AE93" t="s">
        <v>51</v>
      </c>
      <c r="AJ93">
        <v>3</v>
      </c>
      <c r="AK93">
        <v>1</v>
      </c>
      <c r="AL93" t="s">
        <v>82</v>
      </c>
      <c r="AM93" t="s">
        <v>43</v>
      </c>
      <c r="AO93" t="s">
        <v>44</v>
      </c>
      <c r="AP93">
        <v>60.124517886762398</v>
      </c>
      <c r="AQ93" t="s">
        <v>83</v>
      </c>
    </row>
    <row r="94" spans="1:43" x14ac:dyDescent="0.3">
      <c r="A94" t="s">
        <v>78</v>
      </c>
      <c r="B94" t="s">
        <v>47</v>
      </c>
      <c r="C94" t="s">
        <v>56</v>
      </c>
      <c r="D94" t="s">
        <v>49</v>
      </c>
      <c r="E94" t="s">
        <v>57</v>
      </c>
      <c r="F94">
        <v>91</v>
      </c>
      <c r="G94">
        <v>11</v>
      </c>
      <c r="H94">
        <v>4</v>
      </c>
      <c r="I94" t="s">
        <v>57</v>
      </c>
      <c r="J94">
        <v>1</v>
      </c>
      <c r="K94">
        <v>0.70810100005473897</v>
      </c>
      <c r="L94" t="s">
        <v>51</v>
      </c>
      <c r="M94">
        <v>4</v>
      </c>
      <c r="N94">
        <v>11</v>
      </c>
      <c r="O94">
        <v>91</v>
      </c>
      <c r="P94">
        <v>17</v>
      </c>
      <c r="Q94">
        <v>124.035906200006</v>
      </c>
      <c r="V94">
        <v>124.025946500012</v>
      </c>
      <c r="W94">
        <v>124.035906200006</v>
      </c>
      <c r="X94">
        <v>124.536041900049</v>
      </c>
      <c r="Y94">
        <v>124.536041900049</v>
      </c>
      <c r="Z94">
        <v>124.536041900049</v>
      </c>
      <c r="AA94">
        <v>125.25587870000101</v>
      </c>
      <c r="AB94" t="s">
        <v>57</v>
      </c>
      <c r="AC94">
        <v>1</v>
      </c>
      <c r="AD94">
        <v>0.70810100005473897</v>
      </c>
      <c r="AE94" t="s">
        <v>51</v>
      </c>
      <c r="AJ94">
        <v>3</v>
      </c>
      <c r="AK94">
        <v>1</v>
      </c>
      <c r="AL94" t="s">
        <v>82</v>
      </c>
      <c r="AM94" t="s">
        <v>43</v>
      </c>
      <c r="AO94" t="s">
        <v>44</v>
      </c>
      <c r="AP94">
        <v>60.124517886762398</v>
      </c>
      <c r="AQ94" t="s">
        <v>83</v>
      </c>
    </row>
    <row r="95" spans="1:43" x14ac:dyDescent="0.3">
      <c r="A95" t="s">
        <v>69</v>
      </c>
      <c r="B95" t="s">
        <v>59</v>
      </c>
      <c r="C95" t="s">
        <v>56</v>
      </c>
      <c r="D95" t="s">
        <v>49</v>
      </c>
      <c r="E95" t="s">
        <v>57</v>
      </c>
      <c r="F95">
        <v>92</v>
      </c>
      <c r="G95">
        <v>12</v>
      </c>
      <c r="H95">
        <v>4</v>
      </c>
      <c r="I95" t="s">
        <v>57</v>
      </c>
      <c r="J95">
        <v>1</v>
      </c>
      <c r="K95">
        <v>0.768085299991071</v>
      </c>
      <c r="L95" t="s">
        <v>51</v>
      </c>
      <c r="M95">
        <v>4</v>
      </c>
      <c r="N95">
        <v>12</v>
      </c>
      <c r="O95">
        <v>92</v>
      </c>
      <c r="P95">
        <v>5</v>
      </c>
      <c r="Q95">
        <v>125.269148999999</v>
      </c>
      <c r="V95">
        <v>125.258586700016</v>
      </c>
      <c r="W95">
        <v>125.269148999999</v>
      </c>
      <c r="X95">
        <v>125.76929550000899</v>
      </c>
      <c r="Y95">
        <v>125.76929550000899</v>
      </c>
      <c r="Z95">
        <v>125.76929550000899</v>
      </c>
      <c r="AA95">
        <v>126.540446099999</v>
      </c>
      <c r="AB95" t="s">
        <v>57</v>
      </c>
      <c r="AC95">
        <v>1</v>
      </c>
      <c r="AD95">
        <v>0.768085299991071</v>
      </c>
      <c r="AE95" t="s">
        <v>51</v>
      </c>
      <c r="AJ95">
        <v>3</v>
      </c>
      <c r="AK95">
        <v>1</v>
      </c>
      <c r="AL95" t="s">
        <v>82</v>
      </c>
      <c r="AM95" t="s">
        <v>43</v>
      </c>
      <c r="AO95" t="s">
        <v>44</v>
      </c>
      <c r="AP95">
        <v>60.124517886762398</v>
      </c>
      <c r="AQ95" t="s">
        <v>83</v>
      </c>
    </row>
    <row r="96" spans="1:43" x14ac:dyDescent="0.3">
      <c r="A96" t="s">
        <v>73</v>
      </c>
      <c r="B96" t="s">
        <v>59</v>
      </c>
      <c r="C96" t="s">
        <v>56</v>
      </c>
      <c r="D96" t="s">
        <v>49</v>
      </c>
      <c r="E96" t="s">
        <v>57</v>
      </c>
      <c r="F96">
        <v>93</v>
      </c>
      <c r="G96">
        <v>13</v>
      </c>
      <c r="H96">
        <v>4</v>
      </c>
      <c r="I96" t="s">
        <v>57</v>
      </c>
      <c r="J96">
        <v>1</v>
      </c>
      <c r="K96">
        <v>0.39590020000468901</v>
      </c>
      <c r="L96" t="s">
        <v>51</v>
      </c>
      <c r="M96">
        <v>4</v>
      </c>
      <c r="N96">
        <v>13</v>
      </c>
      <c r="O96">
        <v>93</v>
      </c>
      <c r="P96">
        <v>1</v>
      </c>
      <c r="Q96">
        <v>126.553059600002</v>
      </c>
      <c r="V96">
        <v>126.54291790002</v>
      </c>
      <c r="W96">
        <v>126.553059600002</v>
      </c>
      <c r="X96">
        <v>127.052886700024</v>
      </c>
      <c r="Y96">
        <v>127.052886700024</v>
      </c>
      <c r="Z96">
        <v>127.052886700024</v>
      </c>
      <c r="AA96">
        <v>127.457005000032</v>
      </c>
      <c r="AB96" t="s">
        <v>57</v>
      </c>
      <c r="AC96">
        <v>1</v>
      </c>
      <c r="AD96">
        <v>0.39590020000468901</v>
      </c>
      <c r="AE96" t="s">
        <v>51</v>
      </c>
      <c r="AJ96">
        <v>3</v>
      </c>
      <c r="AK96">
        <v>1</v>
      </c>
      <c r="AL96" t="s">
        <v>82</v>
      </c>
      <c r="AM96" t="s">
        <v>43</v>
      </c>
      <c r="AO96" t="s">
        <v>44</v>
      </c>
      <c r="AP96">
        <v>60.124517886762398</v>
      </c>
      <c r="AQ96" t="s">
        <v>83</v>
      </c>
    </row>
    <row r="97" spans="1:43" x14ac:dyDescent="0.3">
      <c r="A97" t="s">
        <v>71</v>
      </c>
      <c r="B97" t="s">
        <v>47</v>
      </c>
      <c r="C97" t="s">
        <v>48</v>
      </c>
      <c r="D97" t="s">
        <v>49</v>
      </c>
      <c r="E97" t="s">
        <v>50</v>
      </c>
      <c r="F97">
        <v>94</v>
      </c>
      <c r="G97">
        <v>14</v>
      </c>
      <c r="H97">
        <v>4</v>
      </c>
      <c r="I97" t="s">
        <v>50</v>
      </c>
      <c r="J97">
        <v>1</v>
      </c>
      <c r="K97">
        <v>0.70921070000622399</v>
      </c>
      <c r="L97" t="s">
        <v>51</v>
      </c>
      <c r="M97">
        <v>4</v>
      </c>
      <c r="N97">
        <v>14</v>
      </c>
      <c r="O97">
        <v>94</v>
      </c>
      <c r="P97">
        <v>15</v>
      </c>
      <c r="Q97">
        <v>127.469595200032</v>
      </c>
      <c r="V97">
        <v>127.460208200034</v>
      </c>
      <c r="W97">
        <v>127.469595200032</v>
      </c>
      <c r="X97">
        <v>127.96953900001201</v>
      </c>
      <c r="Y97">
        <v>127.96953900001201</v>
      </c>
      <c r="Z97">
        <v>127.96953900001201</v>
      </c>
      <c r="AA97">
        <v>128.690941800014</v>
      </c>
      <c r="AB97" t="s">
        <v>50</v>
      </c>
      <c r="AC97">
        <v>1</v>
      </c>
      <c r="AD97">
        <v>0.70921070000622399</v>
      </c>
      <c r="AE97" t="s">
        <v>51</v>
      </c>
      <c r="AJ97">
        <v>3</v>
      </c>
      <c r="AK97">
        <v>1</v>
      </c>
      <c r="AL97" t="s">
        <v>82</v>
      </c>
      <c r="AM97" t="s">
        <v>43</v>
      </c>
      <c r="AO97" t="s">
        <v>44</v>
      </c>
      <c r="AP97">
        <v>60.124517886762398</v>
      </c>
      <c r="AQ97" t="s">
        <v>83</v>
      </c>
    </row>
    <row r="98" spans="1:43" x14ac:dyDescent="0.3">
      <c r="A98" t="s">
        <v>76</v>
      </c>
      <c r="B98" t="s">
        <v>59</v>
      </c>
      <c r="C98" t="s">
        <v>48</v>
      </c>
      <c r="D98" t="s">
        <v>49</v>
      </c>
      <c r="E98" t="s">
        <v>50</v>
      </c>
      <c r="F98">
        <v>95</v>
      </c>
      <c r="G98">
        <v>15</v>
      </c>
      <c r="H98">
        <v>4</v>
      </c>
      <c r="I98" t="s">
        <v>50</v>
      </c>
      <c r="J98">
        <v>1</v>
      </c>
      <c r="K98">
        <v>0.52612180000869502</v>
      </c>
      <c r="L98" t="s">
        <v>51</v>
      </c>
      <c r="M98">
        <v>4</v>
      </c>
      <c r="N98">
        <v>15</v>
      </c>
      <c r="O98">
        <v>95</v>
      </c>
      <c r="P98">
        <v>3</v>
      </c>
      <c r="Q98">
        <v>128.70237290003499</v>
      </c>
      <c r="V98">
        <v>128.694602200004</v>
      </c>
      <c r="W98">
        <v>128.70237290003499</v>
      </c>
      <c r="X98">
        <v>129.202620199997</v>
      </c>
      <c r="Y98">
        <v>129.202620199997</v>
      </c>
      <c r="Z98">
        <v>129.202620199997</v>
      </c>
      <c r="AA98">
        <v>129.73940100002801</v>
      </c>
      <c r="AB98" t="s">
        <v>50</v>
      </c>
      <c r="AC98">
        <v>1</v>
      </c>
      <c r="AD98">
        <v>0.52612180000869502</v>
      </c>
      <c r="AE98" t="s">
        <v>51</v>
      </c>
      <c r="AJ98">
        <v>3</v>
      </c>
      <c r="AK98">
        <v>1</v>
      </c>
      <c r="AL98" t="s">
        <v>82</v>
      </c>
      <c r="AM98" t="s">
        <v>43</v>
      </c>
      <c r="AO98" t="s">
        <v>44</v>
      </c>
      <c r="AP98">
        <v>60.124517886762398</v>
      </c>
      <c r="AQ98" t="s">
        <v>83</v>
      </c>
    </row>
    <row r="99" spans="1:43" x14ac:dyDescent="0.3">
      <c r="A99" t="s">
        <v>65</v>
      </c>
      <c r="B99" t="s">
        <v>59</v>
      </c>
      <c r="C99" t="s">
        <v>56</v>
      </c>
      <c r="D99" t="s">
        <v>49</v>
      </c>
      <c r="E99" t="s">
        <v>57</v>
      </c>
      <c r="F99">
        <v>96</v>
      </c>
      <c r="G99">
        <v>16</v>
      </c>
      <c r="H99">
        <v>4</v>
      </c>
      <c r="I99" t="s">
        <v>57</v>
      </c>
      <c r="J99">
        <v>1</v>
      </c>
      <c r="K99">
        <v>0.68214809999335502</v>
      </c>
      <c r="L99" t="s">
        <v>51</v>
      </c>
      <c r="M99">
        <v>4</v>
      </c>
      <c r="N99">
        <v>16</v>
      </c>
      <c r="O99">
        <v>96</v>
      </c>
      <c r="P99">
        <v>9</v>
      </c>
      <c r="Q99">
        <v>129.75252650002901</v>
      </c>
      <c r="V99">
        <v>129.74264380004001</v>
      </c>
      <c r="W99">
        <v>129.75252650002901</v>
      </c>
      <c r="X99">
        <v>130.252492200001</v>
      </c>
      <c r="Y99">
        <v>130.252492200001</v>
      </c>
      <c r="Z99">
        <v>130.252492200001</v>
      </c>
      <c r="AA99">
        <v>130.940575300017</v>
      </c>
      <c r="AB99" t="s">
        <v>57</v>
      </c>
      <c r="AC99">
        <v>1</v>
      </c>
      <c r="AD99">
        <v>0.68214809999335502</v>
      </c>
      <c r="AE99" t="s">
        <v>51</v>
      </c>
      <c r="AJ99">
        <v>3</v>
      </c>
      <c r="AK99">
        <v>1</v>
      </c>
      <c r="AL99" t="s">
        <v>82</v>
      </c>
      <c r="AM99" t="s">
        <v>43</v>
      </c>
      <c r="AO99" t="s">
        <v>44</v>
      </c>
      <c r="AP99">
        <v>60.124517886762398</v>
      </c>
      <c r="AQ99" t="s">
        <v>83</v>
      </c>
    </row>
    <row r="100" spans="1:43" x14ac:dyDescent="0.3">
      <c r="A100" t="s">
        <v>67</v>
      </c>
      <c r="B100" t="s">
        <v>47</v>
      </c>
      <c r="C100" t="s">
        <v>53</v>
      </c>
      <c r="D100" t="s">
        <v>49</v>
      </c>
      <c r="E100" t="s">
        <v>54</v>
      </c>
      <c r="F100">
        <v>97</v>
      </c>
      <c r="G100">
        <v>17</v>
      </c>
      <c r="H100">
        <v>4</v>
      </c>
      <c r="I100" t="s">
        <v>54</v>
      </c>
      <c r="J100">
        <v>1</v>
      </c>
      <c r="K100">
        <v>0.51121460000285801</v>
      </c>
      <c r="L100" t="s">
        <v>51</v>
      </c>
      <c r="M100">
        <v>4</v>
      </c>
      <c r="N100">
        <v>17</v>
      </c>
      <c r="O100">
        <v>97</v>
      </c>
      <c r="P100">
        <v>10</v>
      </c>
      <c r="Q100">
        <v>130.953138400043</v>
      </c>
      <c r="V100">
        <v>130.944216100033</v>
      </c>
      <c r="W100">
        <v>130.953138400043</v>
      </c>
      <c r="X100">
        <v>131.45249740005201</v>
      </c>
      <c r="Y100">
        <v>131.45249740005201</v>
      </c>
      <c r="Z100">
        <v>131.45249740005201</v>
      </c>
      <c r="AA100">
        <v>131.97243320004699</v>
      </c>
      <c r="AB100" t="s">
        <v>54</v>
      </c>
      <c r="AC100">
        <v>1</v>
      </c>
      <c r="AD100">
        <v>0.51121460000285801</v>
      </c>
      <c r="AE100" t="s">
        <v>51</v>
      </c>
      <c r="AJ100">
        <v>3</v>
      </c>
      <c r="AK100">
        <v>1</v>
      </c>
      <c r="AL100" t="s">
        <v>82</v>
      </c>
      <c r="AM100" t="s">
        <v>43</v>
      </c>
      <c r="AO100" t="s">
        <v>44</v>
      </c>
      <c r="AP100">
        <v>60.124517886762398</v>
      </c>
      <c r="AQ100" t="s">
        <v>83</v>
      </c>
    </row>
    <row r="101" spans="1:43" x14ac:dyDescent="0.3">
      <c r="A101" t="s">
        <v>46</v>
      </c>
      <c r="B101" t="s">
        <v>47</v>
      </c>
      <c r="C101" t="s">
        <v>48</v>
      </c>
      <c r="D101" t="s">
        <v>49</v>
      </c>
      <c r="E101" t="s">
        <v>50</v>
      </c>
      <c r="F101">
        <v>98</v>
      </c>
      <c r="G101">
        <v>18</v>
      </c>
      <c r="H101">
        <v>4</v>
      </c>
      <c r="I101" t="s">
        <v>50</v>
      </c>
      <c r="J101">
        <v>1</v>
      </c>
      <c r="K101">
        <v>0.65317210002103798</v>
      </c>
      <c r="L101" t="s">
        <v>51</v>
      </c>
      <c r="M101">
        <v>4</v>
      </c>
      <c r="N101">
        <v>18</v>
      </c>
      <c r="O101">
        <v>98</v>
      </c>
      <c r="P101">
        <v>19</v>
      </c>
      <c r="Q101">
        <v>131.98573640000501</v>
      </c>
      <c r="V101">
        <v>131.97591730003401</v>
      </c>
      <c r="W101">
        <v>131.98573640000501</v>
      </c>
      <c r="X101">
        <v>132.486633400025</v>
      </c>
      <c r="Y101">
        <v>132.486633400025</v>
      </c>
      <c r="Z101">
        <v>132.486633400025</v>
      </c>
      <c r="AA101">
        <v>133.156341599999</v>
      </c>
      <c r="AB101" t="s">
        <v>50</v>
      </c>
      <c r="AC101">
        <v>1</v>
      </c>
      <c r="AD101">
        <v>0.65317210002103798</v>
      </c>
      <c r="AE101" t="s">
        <v>51</v>
      </c>
      <c r="AJ101">
        <v>3</v>
      </c>
      <c r="AK101">
        <v>1</v>
      </c>
      <c r="AL101" t="s">
        <v>82</v>
      </c>
      <c r="AM101" t="s">
        <v>43</v>
      </c>
      <c r="AO101" t="s">
        <v>44</v>
      </c>
      <c r="AP101">
        <v>60.124517886762398</v>
      </c>
      <c r="AQ101" t="s">
        <v>83</v>
      </c>
    </row>
    <row r="102" spans="1:43" x14ac:dyDescent="0.3">
      <c r="A102" t="s">
        <v>58</v>
      </c>
      <c r="B102" t="s">
        <v>59</v>
      </c>
      <c r="C102" t="s">
        <v>48</v>
      </c>
      <c r="D102" t="s">
        <v>49</v>
      </c>
      <c r="E102" t="s">
        <v>50</v>
      </c>
      <c r="F102">
        <v>99</v>
      </c>
      <c r="G102">
        <v>19</v>
      </c>
      <c r="H102">
        <v>4</v>
      </c>
      <c r="I102" t="s">
        <v>50</v>
      </c>
      <c r="J102">
        <v>1</v>
      </c>
      <c r="K102">
        <v>0.50976139999693204</v>
      </c>
      <c r="L102" t="s">
        <v>51</v>
      </c>
      <c r="M102">
        <v>4</v>
      </c>
      <c r="N102">
        <v>19</v>
      </c>
      <c r="O102">
        <v>99</v>
      </c>
      <c r="P102">
        <v>7</v>
      </c>
      <c r="Q102">
        <v>133.16898590000301</v>
      </c>
      <c r="V102">
        <v>133.15967280004401</v>
      </c>
      <c r="W102">
        <v>133.16898590000301</v>
      </c>
      <c r="X102">
        <v>133.668966800032</v>
      </c>
      <c r="Y102">
        <v>133.668966800032</v>
      </c>
      <c r="Z102">
        <v>133.668966800032</v>
      </c>
      <c r="AA102">
        <v>134.18940290005401</v>
      </c>
      <c r="AB102" t="s">
        <v>50</v>
      </c>
      <c r="AC102">
        <v>1</v>
      </c>
      <c r="AD102">
        <v>0.50976139999693204</v>
      </c>
      <c r="AE102" t="s">
        <v>51</v>
      </c>
      <c r="AJ102">
        <v>3</v>
      </c>
      <c r="AK102">
        <v>1</v>
      </c>
      <c r="AL102" t="s">
        <v>82</v>
      </c>
      <c r="AM102" t="s">
        <v>43</v>
      </c>
      <c r="AO102" t="s">
        <v>44</v>
      </c>
      <c r="AP102">
        <v>60.124517886762398</v>
      </c>
      <c r="AQ102" t="s">
        <v>83</v>
      </c>
    </row>
    <row r="103" spans="1:43" x14ac:dyDescent="0.3">
      <c r="A103" t="s">
        <v>65</v>
      </c>
      <c r="B103" t="s">
        <v>59</v>
      </c>
      <c r="C103" t="s">
        <v>56</v>
      </c>
      <c r="D103" t="s">
        <v>49</v>
      </c>
      <c r="E103" t="s">
        <v>57</v>
      </c>
      <c r="F103">
        <v>100</v>
      </c>
      <c r="G103">
        <v>0</v>
      </c>
      <c r="H103">
        <v>5</v>
      </c>
      <c r="I103" t="s">
        <v>57</v>
      </c>
      <c r="J103">
        <v>1</v>
      </c>
      <c r="K103">
        <v>0.65856449998682298</v>
      </c>
      <c r="L103" t="s">
        <v>51</v>
      </c>
      <c r="M103">
        <v>5</v>
      </c>
      <c r="N103">
        <v>0</v>
      </c>
      <c r="O103">
        <v>100</v>
      </c>
      <c r="P103">
        <v>9</v>
      </c>
      <c r="Q103">
        <v>134.202428600052</v>
      </c>
      <c r="V103">
        <v>134.192567600053</v>
      </c>
      <c r="W103">
        <v>134.202428600052</v>
      </c>
      <c r="X103">
        <v>134.70189340005101</v>
      </c>
      <c r="Y103">
        <v>134.70189340005101</v>
      </c>
      <c r="Z103">
        <v>134.70189340005101</v>
      </c>
      <c r="AA103">
        <v>135.37295099999699</v>
      </c>
      <c r="AB103" t="s">
        <v>57</v>
      </c>
      <c r="AC103">
        <v>1</v>
      </c>
      <c r="AD103">
        <v>0.65856449998682298</v>
      </c>
      <c r="AE103" t="s">
        <v>51</v>
      </c>
      <c r="AJ103">
        <v>3</v>
      </c>
      <c r="AK103">
        <v>1</v>
      </c>
      <c r="AL103" t="s">
        <v>82</v>
      </c>
      <c r="AM103" t="s">
        <v>43</v>
      </c>
      <c r="AO103" t="s">
        <v>44</v>
      </c>
      <c r="AP103">
        <v>60.124517886762398</v>
      </c>
      <c r="AQ103" t="s">
        <v>83</v>
      </c>
    </row>
    <row r="104" spans="1:43" x14ac:dyDescent="0.3">
      <c r="A104" t="s">
        <v>72</v>
      </c>
      <c r="B104" t="s">
        <v>59</v>
      </c>
      <c r="C104" t="s">
        <v>61</v>
      </c>
      <c r="D104" t="s">
        <v>62</v>
      </c>
      <c r="E104" t="s">
        <v>63</v>
      </c>
      <c r="F104">
        <v>101</v>
      </c>
      <c r="G104">
        <v>1</v>
      </c>
      <c r="H104">
        <v>5</v>
      </c>
      <c r="I104" t="s">
        <v>63</v>
      </c>
      <c r="J104">
        <v>1</v>
      </c>
      <c r="K104">
        <v>0.58950890001142398</v>
      </c>
      <c r="L104" t="s">
        <v>51</v>
      </c>
      <c r="M104">
        <v>5</v>
      </c>
      <c r="N104">
        <v>1</v>
      </c>
      <c r="O104">
        <v>101</v>
      </c>
      <c r="P104">
        <v>8</v>
      </c>
      <c r="Q104">
        <v>135.385339900036</v>
      </c>
      <c r="V104">
        <v>135.376028800033</v>
      </c>
      <c r="W104">
        <v>135.385339900036</v>
      </c>
      <c r="X104">
        <v>135.88568570005</v>
      </c>
      <c r="Y104">
        <v>135.88568570005</v>
      </c>
      <c r="Z104">
        <v>135.88568570005</v>
      </c>
      <c r="AA104">
        <v>136.48970289999801</v>
      </c>
      <c r="AB104" t="s">
        <v>63</v>
      </c>
      <c r="AC104">
        <v>1</v>
      </c>
      <c r="AD104">
        <v>0.58950890001142398</v>
      </c>
      <c r="AE104" t="s">
        <v>51</v>
      </c>
      <c r="AJ104">
        <v>3</v>
      </c>
      <c r="AK104">
        <v>1</v>
      </c>
      <c r="AL104" t="s">
        <v>82</v>
      </c>
      <c r="AM104" t="s">
        <v>43</v>
      </c>
      <c r="AO104" t="s">
        <v>44</v>
      </c>
      <c r="AP104">
        <v>60.124517886762398</v>
      </c>
      <c r="AQ104" t="s">
        <v>83</v>
      </c>
    </row>
    <row r="105" spans="1:43" x14ac:dyDescent="0.3">
      <c r="A105" t="s">
        <v>75</v>
      </c>
      <c r="B105" t="s">
        <v>47</v>
      </c>
      <c r="C105" t="s">
        <v>61</v>
      </c>
      <c r="D105" t="s">
        <v>49</v>
      </c>
      <c r="E105" t="s">
        <v>63</v>
      </c>
      <c r="F105">
        <v>102</v>
      </c>
      <c r="G105">
        <v>2</v>
      </c>
      <c r="H105">
        <v>5</v>
      </c>
      <c r="I105" t="s">
        <v>63</v>
      </c>
      <c r="J105">
        <v>1</v>
      </c>
      <c r="K105">
        <v>0.43174880003789401</v>
      </c>
      <c r="L105" t="s">
        <v>51</v>
      </c>
      <c r="M105">
        <v>5</v>
      </c>
      <c r="N105">
        <v>2</v>
      </c>
      <c r="O105">
        <v>102</v>
      </c>
      <c r="P105">
        <v>16</v>
      </c>
      <c r="Q105">
        <v>136.50197500002099</v>
      </c>
      <c r="V105">
        <v>136.493225600046</v>
      </c>
      <c r="W105">
        <v>136.50197500002099</v>
      </c>
      <c r="X105">
        <v>137.00218910002101</v>
      </c>
      <c r="Y105">
        <v>137.00218910002101</v>
      </c>
      <c r="Z105">
        <v>137.00218910002101</v>
      </c>
      <c r="AA105">
        <v>137.43970320001199</v>
      </c>
      <c r="AB105" t="s">
        <v>63</v>
      </c>
      <c r="AC105">
        <v>1</v>
      </c>
      <c r="AD105">
        <v>0.43174880003789401</v>
      </c>
      <c r="AE105" t="s">
        <v>51</v>
      </c>
      <c r="AJ105">
        <v>3</v>
      </c>
      <c r="AK105">
        <v>1</v>
      </c>
      <c r="AL105" t="s">
        <v>82</v>
      </c>
      <c r="AM105" t="s">
        <v>43</v>
      </c>
      <c r="AO105" t="s">
        <v>44</v>
      </c>
      <c r="AP105">
        <v>60.124517886762398</v>
      </c>
      <c r="AQ105" t="s">
        <v>83</v>
      </c>
    </row>
    <row r="106" spans="1:43" x14ac:dyDescent="0.3">
      <c r="A106" t="s">
        <v>77</v>
      </c>
      <c r="B106" t="s">
        <v>59</v>
      </c>
      <c r="C106" t="s">
        <v>61</v>
      </c>
      <c r="D106" t="s">
        <v>62</v>
      </c>
      <c r="E106" t="s">
        <v>63</v>
      </c>
      <c r="F106">
        <v>103</v>
      </c>
      <c r="G106">
        <v>3</v>
      </c>
      <c r="H106">
        <v>5</v>
      </c>
      <c r="I106" t="s">
        <v>63</v>
      </c>
      <c r="J106">
        <v>1</v>
      </c>
      <c r="K106">
        <v>0.40446829999564199</v>
      </c>
      <c r="L106" t="s">
        <v>51</v>
      </c>
      <c r="M106">
        <v>5</v>
      </c>
      <c r="N106">
        <v>3</v>
      </c>
      <c r="O106">
        <v>103</v>
      </c>
      <c r="P106">
        <v>4</v>
      </c>
      <c r="Q106">
        <v>137.45254970004299</v>
      </c>
      <c r="V106">
        <v>137.44234180002201</v>
      </c>
      <c r="W106">
        <v>137.45254970004299</v>
      </c>
      <c r="X106">
        <v>137.95228050003001</v>
      </c>
      <c r="Y106">
        <v>137.95228050003001</v>
      </c>
      <c r="Z106">
        <v>137.95228050003001</v>
      </c>
      <c r="AA106">
        <v>138.372730300005</v>
      </c>
      <c r="AB106" t="s">
        <v>63</v>
      </c>
      <c r="AC106">
        <v>1</v>
      </c>
      <c r="AD106">
        <v>0.40446829999564199</v>
      </c>
      <c r="AE106" t="s">
        <v>51</v>
      </c>
      <c r="AJ106">
        <v>3</v>
      </c>
      <c r="AK106">
        <v>1</v>
      </c>
      <c r="AL106" t="s">
        <v>82</v>
      </c>
      <c r="AM106" t="s">
        <v>43</v>
      </c>
      <c r="AO106" t="s">
        <v>44</v>
      </c>
      <c r="AP106">
        <v>60.124517886762398</v>
      </c>
      <c r="AQ106" t="s">
        <v>83</v>
      </c>
    </row>
    <row r="107" spans="1:43" x14ac:dyDescent="0.3">
      <c r="A107" t="s">
        <v>69</v>
      </c>
      <c r="B107" t="s">
        <v>59</v>
      </c>
      <c r="C107" t="s">
        <v>56</v>
      </c>
      <c r="D107" t="s">
        <v>49</v>
      </c>
      <c r="E107" t="s">
        <v>57</v>
      </c>
      <c r="F107">
        <v>104</v>
      </c>
      <c r="G107">
        <v>4</v>
      </c>
      <c r="H107">
        <v>5</v>
      </c>
      <c r="I107" t="s">
        <v>57</v>
      </c>
      <c r="J107">
        <v>1</v>
      </c>
      <c r="K107">
        <v>0.87903090001782402</v>
      </c>
      <c r="L107" t="s">
        <v>51</v>
      </c>
      <c r="M107">
        <v>5</v>
      </c>
      <c r="N107">
        <v>4</v>
      </c>
      <c r="O107">
        <v>104</v>
      </c>
      <c r="P107">
        <v>5</v>
      </c>
      <c r="Q107">
        <v>138.38539100001799</v>
      </c>
      <c r="V107">
        <v>138.37561300001099</v>
      </c>
      <c r="W107">
        <v>138.38539100001799</v>
      </c>
      <c r="X107">
        <v>138.88601960003101</v>
      </c>
      <c r="Y107">
        <v>138.88601960003101</v>
      </c>
      <c r="Z107">
        <v>138.88601960003101</v>
      </c>
      <c r="AA107">
        <v>139.77368320000801</v>
      </c>
      <c r="AB107" t="s">
        <v>57</v>
      </c>
      <c r="AC107">
        <v>1</v>
      </c>
      <c r="AD107">
        <v>0.87903090001782402</v>
      </c>
      <c r="AE107" t="s">
        <v>51</v>
      </c>
      <c r="AJ107">
        <v>3</v>
      </c>
      <c r="AK107">
        <v>1</v>
      </c>
      <c r="AL107" t="s">
        <v>82</v>
      </c>
      <c r="AM107" t="s">
        <v>43</v>
      </c>
      <c r="AO107" t="s">
        <v>44</v>
      </c>
      <c r="AP107">
        <v>60.124517886762398</v>
      </c>
      <c r="AQ107" t="s">
        <v>83</v>
      </c>
    </row>
    <row r="108" spans="1:43" x14ac:dyDescent="0.3">
      <c r="A108" t="s">
        <v>74</v>
      </c>
      <c r="B108" t="s">
        <v>47</v>
      </c>
      <c r="C108" t="s">
        <v>48</v>
      </c>
      <c r="D108" t="s">
        <v>49</v>
      </c>
      <c r="E108" t="s">
        <v>50</v>
      </c>
      <c r="F108">
        <v>105</v>
      </c>
      <c r="G108">
        <v>5</v>
      </c>
      <c r="H108">
        <v>5</v>
      </c>
      <c r="I108" t="s">
        <v>54</v>
      </c>
      <c r="J108">
        <v>0</v>
      </c>
      <c r="K108">
        <v>0.66430850001052</v>
      </c>
      <c r="L108" t="s">
        <v>51</v>
      </c>
      <c r="M108">
        <v>5</v>
      </c>
      <c r="N108">
        <v>5</v>
      </c>
      <c r="O108">
        <v>105</v>
      </c>
      <c r="P108">
        <v>11</v>
      </c>
      <c r="Q108">
        <v>139.785182500025</v>
      </c>
      <c r="V108">
        <v>139.77738660003499</v>
      </c>
      <c r="W108">
        <v>139.785182500025</v>
      </c>
      <c r="X108">
        <v>140.285908500023</v>
      </c>
      <c r="Y108">
        <v>140.285908500023</v>
      </c>
      <c r="Z108">
        <v>140.285908500023</v>
      </c>
      <c r="AA108">
        <v>140.956414300017</v>
      </c>
      <c r="AB108" t="s">
        <v>54</v>
      </c>
      <c r="AC108">
        <v>0</v>
      </c>
      <c r="AD108">
        <v>0.66430850001052</v>
      </c>
      <c r="AE108" t="s">
        <v>51</v>
      </c>
      <c r="AJ108">
        <v>3</v>
      </c>
      <c r="AK108">
        <v>1</v>
      </c>
      <c r="AL108" t="s">
        <v>82</v>
      </c>
      <c r="AM108" t="s">
        <v>43</v>
      </c>
      <c r="AO108" t="s">
        <v>44</v>
      </c>
      <c r="AP108">
        <v>60.124517886762398</v>
      </c>
      <c r="AQ108" t="s">
        <v>83</v>
      </c>
    </row>
    <row r="109" spans="1:43" x14ac:dyDescent="0.3">
      <c r="A109" t="s">
        <v>70</v>
      </c>
      <c r="B109" t="s">
        <v>59</v>
      </c>
      <c r="C109" t="s">
        <v>53</v>
      </c>
      <c r="D109" t="s">
        <v>49</v>
      </c>
      <c r="E109" t="s">
        <v>54</v>
      </c>
      <c r="F109">
        <v>106</v>
      </c>
      <c r="G109">
        <v>6</v>
      </c>
      <c r="H109">
        <v>5</v>
      </c>
      <c r="I109" t="s">
        <v>54</v>
      </c>
      <c r="J109">
        <v>1</v>
      </c>
      <c r="K109">
        <v>0.53589310002280399</v>
      </c>
      <c r="L109" t="s">
        <v>51</v>
      </c>
      <c r="M109">
        <v>5</v>
      </c>
      <c r="N109">
        <v>6</v>
      </c>
      <c r="O109">
        <v>106</v>
      </c>
      <c r="P109">
        <v>2</v>
      </c>
      <c r="Q109">
        <v>140.968948399997</v>
      </c>
      <c r="V109">
        <v>140.95950250001599</v>
      </c>
      <c r="W109">
        <v>140.968948399997</v>
      </c>
      <c r="X109">
        <v>141.46928940003201</v>
      </c>
      <c r="Y109">
        <v>141.46928940003201</v>
      </c>
      <c r="Z109">
        <v>141.46928940003201</v>
      </c>
      <c r="AA109">
        <v>142.005606600025</v>
      </c>
      <c r="AB109" t="s">
        <v>54</v>
      </c>
      <c r="AC109">
        <v>1</v>
      </c>
      <c r="AD109">
        <v>0.53589310002280399</v>
      </c>
      <c r="AE109" t="s">
        <v>51</v>
      </c>
      <c r="AJ109">
        <v>3</v>
      </c>
      <c r="AK109">
        <v>1</v>
      </c>
      <c r="AL109" t="s">
        <v>82</v>
      </c>
      <c r="AM109" t="s">
        <v>43</v>
      </c>
      <c r="AO109" t="s">
        <v>44</v>
      </c>
      <c r="AP109">
        <v>60.124517886762398</v>
      </c>
      <c r="AQ109" t="s">
        <v>83</v>
      </c>
    </row>
    <row r="110" spans="1:43" x14ac:dyDescent="0.3">
      <c r="A110" t="s">
        <v>58</v>
      </c>
      <c r="B110" t="s">
        <v>59</v>
      </c>
      <c r="C110" t="s">
        <v>48</v>
      </c>
      <c r="D110" t="s">
        <v>49</v>
      </c>
      <c r="E110" t="s">
        <v>50</v>
      </c>
      <c r="F110">
        <v>107</v>
      </c>
      <c r="G110">
        <v>7</v>
      </c>
      <c r="H110">
        <v>5</v>
      </c>
      <c r="I110" t="s">
        <v>50</v>
      </c>
      <c r="J110">
        <v>1</v>
      </c>
      <c r="K110">
        <v>0.57908399996813298</v>
      </c>
      <c r="L110" t="s">
        <v>51</v>
      </c>
      <c r="M110">
        <v>5</v>
      </c>
      <c r="N110">
        <v>7</v>
      </c>
      <c r="O110">
        <v>107</v>
      </c>
      <c r="P110">
        <v>7</v>
      </c>
      <c r="Q110">
        <v>142.01885890000199</v>
      </c>
      <c r="V110">
        <v>142.00932720000799</v>
      </c>
      <c r="W110">
        <v>142.01885890000199</v>
      </c>
      <c r="X110">
        <v>142.51850689999901</v>
      </c>
      <c r="Y110">
        <v>142.51850689999901</v>
      </c>
      <c r="Z110">
        <v>142.51850689999901</v>
      </c>
      <c r="AA110">
        <v>143.105427300033</v>
      </c>
      <c r="AB110" t="s">
        <v>50</v>
      </c>
      <c r="AC110">
        <v>1</v>
      </c>
      <c r="AD110">
        <v>0.57908399996813298</v>
      </c>
      <c r="AE110" t="s">
        <v>51</v>
      </c>
      <c r="AJ110">
        <v>3</v>
      </c>
      <c r="AK110">
        <v>1</v>
      </c>
      <c r="AL110" t="s">
        <v>82</v>
      </c>
      <c r="AM110" t="s">
        <v>43</v>
      </c>
      <c r="AO110" t="s">
        <v>44</v>
      </c>
      <c r="AP110">
        <v>60.124517886762398</v>
      </c>
      <c r="AQ110" t="s">
        <v>83</v>
      </c>
    </row>
    <row r="111" spans="1:43" x14ac:dyDescent="0.3">
      <c r="A111" t="s">
        <v>55</v>
      </c>
      <c r="B111" t="s">
        <v>47</v>
      </c>
      <c r="C111" t="s">
        <v>56</v>
      </c>
      <c r="D111" t="s">
        <v>49</v>
      </c>
      <c r="E111" t="s">
        <v>57</v>
      </c>
      <c r="F111">
        <v>108</v>
      </c>
      <c r="G111">
        <v>8</v>
      </c>
      <c r="H111">
        <v>5</v>
      </c>
      <c r="I111" t="s">
        <v>57</v>
      </c>
      <c r="J111">
        <v>1</v>
      </c>
      <c r="K111">
        <v>0.61515029997099102</v>
      </c>
      <c r="L111" t="s">
        <v>51</v>
      </c>
      <c r="M111">
        <v>5</v>
      </c>
      <c r="N111">
        <v>8</v>
      </c>
      <c r="O111">
        <v>108</v>
      </c>
      <c r="P111">
        <v>13</v>
      </c>
      <c r="Q111">
        <v>143.118610800011</v>
      </c>
      <c r="V111">
        <v>143.10839560005101</v>
      </c>
      <c r="W111">
        <v>143.118610800011</v>
      </c>
      <c r="X111">
        <v>143.618946400005</v>
      </c>
      <c r="Y111">
        <v>143.618946400005</v>
      </c>
      <c r="Z111">
        <v>143.618946400005</v>
      </c>
      <c r="AA111">
        <v>144.23938220000099</v>
      </c>
      <c r="AB111" t="s">
        <v>57</v>
      </c>
      <c r="AC111">
        <v>1</v>
      </c>
      <c r="AD111">
        <v>0.61515029997099102</v>
      </c>
      <c r="AE111" t="s">
        <v>51</v>
      </c>
      <c r="AJ111">
        <v>3</v>
      </c>
      <c r="AK111">
        <v>1</v>
      </c>
      <c r="AL111" t="s">
        <v>82</v>
      </c>
      <c r="AM111" t="s">
        <v>43</v>
      </c>
      <c r="AO111" t="s">
        <v>44</v>
      </c>
      <c r="AP111">
        <v>60.124517886762398</v>
      </c>
      <c r="AQ111" t="s">
        <v>83</v>
      </c>
    </row>
    <row r="112" spans="1:43" x14ac:dyDescent="0.3">
      <c r="A112" t="s">
        <v>71</v>
      </c>
      <c r="B112" t="s">
        <v>47</v>
      </c>
      <c r="C112" t="s">
        <v>48</v>
      </c>
      <c r="D112" t="s">
        <v>49</v>
      </c>
      <c r="E112" t="s">
        <v>50</v>
      </c>
      <c r="F112">
        <v>109</v>
      </c>
      <c r="G112">
        <v>9</v>
      </c>
      <c r="H112">
        <v>5</v>
      </c>
      <c r="I112" t="s">
        <v>50</v>
      </c>
      <c r="J112">
        <v>1</v>
      </c>
      <c r="K112">
        <v>0.88420260004932005</v>
      </c>
      <c r="L112" t="s">
        <v>51</v>
      </c>
      <c r="M112">
        <v>5</v>
      </c>
      <c r="N112">
        <v>9</v>
      </c>
      <c r="O112">
        <v>109</v>
      </c>
      <c r="P112">
        <v>15</v>
      </c>
      <c r="Q112">
        <v>144.252052300027</v>
      </c>
      <c r="V112">
        <v>144.243186500039</v>
      </c>
      <c r="W112">
        <v>144.252052300027</v>
      </c>
      <c r="X112">
        <v>144.75259730004399</v>
      </c>
      <c r="Y112">
        <v>144.75259730004399</v>
      </c>
      <c r="Z112">
        <v>144.75259730004399</v>
      </c>
      <c r="AA112">
        <v>145.639186500047</v>
      </c>
      <c r="AB112" t="s">
        <v>50</v>
      </c>
      <c r="AC112">
        <v>1</v>
      </c>
      <c r="AD112">
        <v>0.88420260004932005</v>
      </c>
      <c r="AE112" t="s">
        <v>51</v>
      </c>
      <c r="AJ112">
        <v>3</v>
      </c>
      <c r="AK112">
        <v>1</v>
      </c>
      <c r="AL112" t="s">
        <v>82</v>
      </c>
      <c r="AM112" t="s">
        <v>43</v>
      </c>
      <c r="AO112" t="s">
        <v>44</v>
      </c>
      <c r="AP112">
        <v>60.124517886762398</v>
      </c>
      <c r="AQ112" t="s">
        <v>83</v>
      </c>
    </row>
    <row r="113" spans="1:43" x14ac:dyDescent="0.3">
      <c r="A113" t="s">
        <v>60</v>
      </c>
      <c r="B113" t="s">
        <v>59</v>
      </c>
      <c r="C113" t="s">
        <v>61</v>
      </c>
      <c r="D113" t="s">
        <v>62</v>
      </c>
      <c r="E113" t="s">
        <v>63</v>
      </c>
      <c r="F113">
        <v>110</v>
      </c>
      <c r="G113">
        <v>10</v>
      </c>
      <c r="H113">
        <v>5</v>
      </c>
      <c r="I113" t="s">
        <v>63</v>
      </c>
      <c r="J113">
        <v>1</v>
      </c>
      <c r="K113">
        <v>0.64070019999053296</v>
      </c>
      <c r="L113" t="s">
        <v>51</v>
      </c>
      <c r="M113">
        <v>5</v>
      </c>
      <c r="N113">
        <v>10</v>
      </c>
      <c r="O113">
        <v>110</v>
      </c>
      <c r="P113">
        <v>0</v>
      </c>
      <c r="Q113">
        <v>145.65182930003999</v>
      </c>
      <c r="V113">
        <v>145.641704800014</v>
      </c>
      <c r="W113">
        <v>145.65182930003999</v>
      </c>
      <c r="X113">
        <v>146.150910200027</v>
      </c>
      <c r="Y113">
        <v>146.150910200027</v>
      </c>
      <c r="Z113">
        <v>146.150910200027</v>
      </c>
      <c r="AA113">
        <v>146.80450620001599</v>
      </c>
      <c r="AB113" t="s">
        <v>63</v>
      </c>
      <c r="AC113">
        <v>1</v>
      </c>
      <c r="AD113">
        <v>0.64070019999053296</v>
      </c>
      <c r="AE113" t="s">
        <v>51</v>
      </c>
      <c r="AJ113">
        <v>3</v>
      </c>
      <c r="AK113">
        <v>1</v>
      </c>
      <c r="AL113" t="s">
        <v>82</v>
      </c>
      <c r="AM113" t="s">
        <v>43</v>
      </c>
      <c r="AO113" t="s">
        <v>44</v>
      </c>
      <c r="AP113">
        <v>60.124517886762398</v>
      </c>
      <c r="AQ113" t="s">
        <v>83</v>
      </c>
    </row>
    <row r="114" spans="1:43" x14ac:dyDescent="0.3">
      <c r="A114" t="s">
        <v>67</v>
      </c>
      <c r="B114" t="s">
        <v>47</v>
      </c>
      <c r="C114" t="s">
        <v>53</v>
      </c>
      <c r="D114" t="s">
        <v>49</v>
      </c>
      <c r="E114" t="s">
        <v>54</v>
      </c>
      <c r="F114">
        <v>111</v>
      </c>
      <c r="G114">
        <v>11</v>
      </c>
      <c r="H114">
        <v>5</v>
      </c>
      <c r="I114" t="s">
        <v>54</v>
      </c>
      <c r="J114">
        <v>1</v>
      </c>
      <c r="K114">
        <v>0.94751010002801195</v>
      </c>
      <c r="L114" t="s">
        <v>51</v>
      </c>
      <c r="M114">
        <v>5</v>
      </c>
      <c r="N114">
        <v>11</v>
      </c>
      <c r="O114">
        <v>111</v>
      </c>
      <c r="P114">
        <v>10</v>
      </c>
      <c r="Q114">
        <v>146.81730890000401</v>
      </c>
      <c r="V114">
        <v>146.80775220005299</v>
      </c>
      <c r="W114">
        <v>146.81730890000401</v>
      </c>
      <c r="X114">
        <v>147.31956700002701</v>
      </c>
      <c r="Y114">
        <v>147.31956700002701</v>
      </c>
      <c r="Z114">
        <v>147.31956700002701</v>
      </c>
      <c r="AA114">
        <v>148.27081060002001</v>
      </c>
      <c r="AB114" t="s">
        <v>54</v>
      </c>
      <c r="AC114">
        <v>1</v>
      </c>
      <c r="AD114">
        <v>0.94751010002801195</v>
      </c>
      <c r="AE114" t="s">
        <v>51</v>
      </c>
      <c r="AJ114">
        <v>3</v>
      </c>
      <c r="AK114">
        <v>1</v>
      </c>
      <c r="AL114" t="s">
        <v>82</v>
      </c>
      <c r="AM114" t="s">
        <v>43</v>
      </c>
      <c r="AO114" t="s">
        <v>44</v>
      </c>
      <c r="AP114">
        <v>60.124517886762398</v>
      </c>
      <c r="AQ114" t="s">
        <v>83</v>
      </c>
    </row>
    <row r="115" spans="1:43" x14ac:dyDescent="0.3">
      <c r="A115" t="s">
        <v>76</v>
      </c>
      <c r="B115" t="s">
        <v>59</v>
      </c>
      <c r="C115" t="s">
        <v>48</v>
      </c>
      <c r="D115" t="s">
        <v>49</v>
      </c>
      <c r="E115" t="s">
        <v>50</v>
      </c>
      <c r="F115">
        <v>112</v>
      </c>
      <c r="G115">
        <v>12</v>
      </c>
      <c r="H115">
        <v>5</v>
      </c>
      <c r="I115" t="s">
        <v>50</v>
      </c>
      <c r="J115">
        <v>1</v>
      </c>
      <c r="K115">
        <v>1.0612978999852201</v>
      </c>
      <c r="L115" t="s">
        <v>51</v>
      </c>
      <c r="M115">
        <v>5</v>
      </c>
      <c r="N115">
        <v>12</v>
      </c>
      <c r="O115">
        <v>112</v>
      </c>
      <c r="P115">
        <v>3</v>
      </c>
      <c r="Q115">
        <v>148.28448600001801</v>
      </c>
      <c r="V115">
        <v>148.27352470002299</v>
      </c>
      <c r="W115">
        <v>148.28448600001801</v>
      </c>
      <c r="X115">
        <v>148.78373880003301</v>
      </c>
      <c r="Y115">
        <v>148.78373880003301</v>
      </c>
      <c r="Z115">
        <v>148.78373880003301</v>
      </c>
      <c r="AA115">
        <v>149.85470720002101</v>
      </c>
      <c r="AB115" t="s">
        <v>50</v>
      </c>
      <c r="AC115">
        <v>1</v>
      </c>
      <c r="AD115">
        <v>1.0612978999852201</v>
      </c>
      <c r="AE115" t="s">
        <v>51</v>
      </c>
      <c r="AJ115">
        <v>3</v>
      </c>
      <c r="AK115">
        <v>1</v>
      </c>
      <c r="AL115" t="s">
        <v>82</v>
      </c>
      <c r="AM115" t="s">
        <v>43</v>
      </c>
      <c r="AO115" t="s">
        <v>44</v>
      </c>
      <c r="AP115">
        <v>60.124517886762398</v>
      </c>
      <c r="AQ115" t="s">
        <v>83</v>
      </c>
    </row>
    <row r="116" spans="1:43" x14ac:dyDescent="0.3">
      <c r="A116" t="s">
        <v>46</v>
      </c>
      <c r="B116" t="s">
        <v>47</v>
      </c>
      <c r="C116" t="s">
        <v>48</v>
      </c>
      <c r="D116" t="s">
        <v>49</v>
      </c>
      <c r="E116" t="s">
        <v>50</v>
      </c>
      <c r="F116">
        <v>113</v>
      </c>
      <c r="G116">
        <v>13</v>
      </c>
      <c r="H116">
        <v>5</v>
      </c>
      <c r="I116" t="s">
        <v>50</v>
      </c>
      <c r="J116">
        <v>1</v>
      </c>
      <c r="K116">
        <v>0.44341379997786101</v>
      </c>
      <c r="L116" t="s">
        <v>51</v>
      </c>
      <c r="M116">
        <v>5</v>
      </c>
      <c r="N116">
        <v>13</v>
      </c>
      <c r="O116">
        <v>113</v>
      </c>
      <c r="P116">
        <v>19</v>
      </c>
      <c r="Q116">
        <v>149.86728130001501</v>
      </c>
      <c r="V116">
        <v>149.857595800014</v>
      </c>
      <c r="W116">
        <v>149.86728130001501</v>
      </c>
      <c r="X116">
        <v>150.36730480002001</v>
      </c>
      <c r="Y116">
        <v>150.36730480002001</v>
      </c>
      <c r="Z116">
        <v>150.36730480002001</v>
      </c>
      <c r="AA116">
        <v>150.82110220001701</v>
      </c>
      <c r="AB116" t="s">
        <v>50</v>
      </c>
      <c r="AC116">
        <v>1</v>
      </c>
      <c r="AD116">
        <v>0.44341379997786101</v>
      </c>
      <c r="AE116" t="s">
        <v>51</v>
      </c>
      <c r="AJ116">
        <v>3</v>
      </c>
      <c r="AK116">
        <v>1</v>
      </c>
      <c r="AL116" t="s">
        <v>82</v>
      </c>
      <c r="AM116" t="s">
        <v>43</v>
      </c>
      <c r="AO116" t="s">
        <v>44</v>
      </c>
      <c r="AP116">
        <v>60.124517886762398</v>
      </c>
      <c r="AQ116" t="s">
        <v>83</v>
      </c>
    </row>
    <row r="117" spans="1:43" x14ac:dyDescent="0.3">
      <c r="A117" t="s">
        <v>66</v>
      </c>
      <c r="B117" t="s">
        <v>47</v>
      </c>
      <c r="C117" t="s">
        <v>61</v>
      </c>
      <c r="D117" t="s">
        <v>49</v>
      </c>
      <c r="E117" t="s">
        <v>63</v>
      </c>
      <c r="F117">
        <v>114</v>
      </c>
      <c r="G117">
        <v>14</v>
      </c>
      <c r="H117">
        <v>5</v>
      </c>
      <c r="I117" t="s">
        <v>63</v>
      </c>
      <c r="J117">
        <v>1</v>
      </c>
      <c r="K117">
        <v>1.34193769999546</v>
      </c>
      <c r="L117" t="s">
        <v>51</v>
      </c>
      <c r="M117">
        <v>5</v>
      </c>
      <c r="N117">
        <v>14</v>
      </c>
      <c r="O117">
        <v>114</v>
      </c>
      <c r="P117">
        <v>12</v>
      </c>
      <c r="Q117">
        <v>150.83406290004399</v>
      </c>
      <c r="V117">
        <v>150.823476600053</v>
      </c>
      <c r="W117">
        <v>150.83406290004399</v>
      </c>
      <c r="X117">
        <v>151.334182700025</v>
      </c>
      <c r="Y117">
        <v>151.334182700025</v>
      </c>
      <c r="Z117">
        <v>151.334182700025</v>
      </c>
      <c r="AA117">
        <v>152.68847900000401</v>
      </c>
      <c r="AB117" t="s">
        <v>63</v>
      </c>
      <c r="AC117">
        <v>1</v>
      </c>
      <c r="AD117">
        <v>1.34193769999546</v>
      </c>
      <c r="AE117" t="s">
        <v>51</v>
      </c>
      <c r="AJ117">
        <v>3</v>
      </c>
      <c r="AK117">
        <v>1</v>
      </c>
      <c r="AL117" t="s">
        <v>82</v>
      </c>
      <c r="AM117" t="s">
        <v>43</v>
      </c>
      <c r="AO117" t="s">
        <v>44</v>
      </c>
      <c r="AP117">
        <v>60.124517886762398</v>
      </c>
      <c r="AQ117" t="s">
        <v>83</v>
      </c>
    </row>
    <row r="118" spans="1:43" x14ac:dyDescent="0.3">
      <c r="A118" t="s">
        <v>68</v>
      </c>
      <c r="B118" t="s">
        <v>59</v>
      </c>
      <c r="C118" t="s">
        <v>53</v>
      </c>
      <c r="D118" t="s">
        <v>49</v>
      </c>
      <c r="E118" t="s">
        <v>54</v>
      </c>
      <c r="F118">
        <v>115</v>
      </c>
      <c r="G118">
        <v>15</v>
      </c>
      <c r="H118">
        <v>5</v>
      </c>
      <c r="I118" t="s">
        <v>57</v>
      </c>
      <c r="J118">
        <v>0</v>
      </c>
      <c r="K118">
        <v>0.71817649999866195</v>
      </c>
      <c r="L118" t="s">
        <v>51</v>
      </c>
      <c r="M118">
        <v>5</v>
      </c>
      <c r="N118">
        <v>15</v>
      </c>
      <c r="O118">
        <v>115</v>
      </c>
      <c r="P118">
        <v>6</v>
      </c>
      <c r="Q118">
        <v>152.701880100008</v>
      </c>
      <c r="V118">
        <v>152.69104540004599</v>
      </c>
      <c r="W118">
        <v>152.701880100008</v>
      </c>
      <c r="X118">
        <v>153.20305599999801</v>
      </c>
      <c r="Y118">
        <v>153.20305599999801</v>
      </c>
      <c r="Z118">
        <v>153.20305599999801</v>
      </c>
      <c r="AA118">
        <v>153.92172240000201</v>
      </c>
      <c r="AB118" t="s">
        <v>57</v>
      </c>
      <c r="AC118">
        <v>0</v>
      </c>
      <c r="AD118">
        <v>0.71817649999866195</v>
      </c>
      <c r="AE118" t="s">
        <v>51</v>
      </c>
      <c r="AJ118">
        <v>3</v>
      </c>
      <c r="AK118">
        <v>1</v>
      </c>
      <c r="AL118" t="s">
        <v>82</v>
      </c>
      <c r="AM118" t="s">
        <v>43</v>
      </c>
      <c r="AO118" t="s">
        <v>44</v>
      </c>
      <c r="AP118">
        <v>60.124517886762398</v>
      </c>
      <c r="AQ118" t="s">
        <v>83</v>
      </c>
    </row>
    <row r="119" spans="1:43" x14ac:dyDescent="0.3">
      <c r="A119" t="s">
        <v>73</v>
      </c>
      <c r="B119" t="s">
        <v>59</v>
      </c>
      <c r="C119" t="s">
        <v>56</v>
      </c>
      <c r="D119" t="s">
        <v>49</v>
      </c>
      <c r="E119" t="s">
        <v>57</v>
      </c>
      <c r="F119">
        <v>116</v>
      </c>
      <c r="G119">
        <v>16</v>
      </c>
      <c r="H119">
        <v>5</v>
      </c>
      <c r="I119" t="s">
        <v>57</v>
      </c>
      <c r="J119">
        <v>1</v>
      </c>
      <c r="K119">
        <v>0.45578850002493698</v>
      </c>
      <c r="L119" t="s">
        <v>51</v>
      </c>
      <c r="M119">
        <v>5</v>
      </c>
      <c r="N119">
        <v>16</v>
      </c>
      <c r="O119">
        <v>116</v>
      </c>
      <c r="P119">
        <v>1</v>
      </c>
      <c r="Q119">
        <v>153.93467490002499</v>
      </c>
      <c r="V119">
        <v>153.924359900003</v>
      </c>
      <c r="W119">
        <v>153.93467490002499</v>
      </c>
      <c r="X119">
        <v>154.43481780000701</v>
      </c>
      <c r="Y119">
        <v>154.43481780000701</v>
      </c>
      <c r="Z119">
        <v>154.43481780000701</v>
      </c>
      <c r="AA119">
        <v>154.90612260001899</v>
      </c>
      <c r="AB119" t="s">
        <v>57</v>
      </c>
      <c r="AC119">
        <v>1</v>
      </c>
      <c r="AD119">
        <v>0.45578850002493698</v>
      </c>
      <c r="AE119" t="s">
        <v>51</v>
      </c>
      <c r="AJ119">
        <v>3</v>
      </c>
      <c r="AK119">
        <v>1</v>
      </c>
      <c r="AL119" t="s">
        <v>82</v>
      </c>
      <c r="AM119" t="s">
        <v>43</v>
      </c>
      <c r="AO119" t="s">
        <v>44</v>
      </c>
      <c r="AP119">
        <v>60.124517886762398</v>
      </c>
      <c r="AQ119" t="s">
        <v>83</v>
      </c>
    </row>
    <row r="120" spans="1:43" x14ac:dyDescent="0.3">
      <c r="A120" t="s">
        <v>64</v>
      </c>
      <c r="B120" t="s">
        <v>47</v>
      </c>
      <c r="C120" t="s">
        <v>53</v>
      </c>
      <c r="D120" t="s">
        <v>49</v>
      </c>
      <c r="E120" t="s">
        <v>54</v>
      </c>
      <c r="F120">
        <v>117</v>
      </c>
      <c r="G120">
        <v>17</v>
      </c>
      <c r="H120">
        <v>5</v>
      </c>
      <c r="I120" t="s">
        <v>54</v>
      </c>
      <c r="J120">
        <v>1</v>
      </c>
      <c r="K120">
        <v>1.3771563000045699</v>
      </c>
      <c r="L120" t="s">
        <v>51</v>
      </c>
      <c r="M120">
        <v>5</v>
      </c>
      <c r="N120">
        <v>17</v>
      </c>
      <c r="O120">
        <v>117</v>
      </c>
      <c r="P120">
        <v>18</v>
      </c>
      <c r="Q120">
        <v>154.918179600033</v>
      </c>
      <c r="V120">
        <v>154.91045360005199</v>
      </c>
      <c r="W120">
        <v>154.918179600033</v>
      </c>
      <c r="X120">
        <v>155.418170800025</v>
      </c>
      <c r="Y120">
        <v>155.418170800025</v>
      </c>
      <c r="Z120">
        <v>155.418170800025</v>
      </c>
      <c r="AA120">
        <v>156.80329190002499</v>
      </c>
      <c r="AB120" t="s">
        <v>54</v>
      </c>
      <c r="AC120">
        <v>1</v>
      </c>
      <c r="AD120">
        <v>1.3771563000045699</v>
      </c>
      <c r="AE120" t="s">
        <v>51</v>
      </c>
      <c r="AJ120">
        <v>3</v>
      </c>
      <c r="AK120">
        <v>1</v>
      </c>
      <c r="AL120" t="s">
        <v>82</v>
      </c>
      <c r="AM120" t="s">
        <v>43</v>
      </c>
      <c r="AO120" t="s">
        <v>44</v>
      </c>
      <c r="AP120">
        <v>60.124517886762398</v>
      </c>
      <c r="AQ120" t="s">
        <v>83</v>
      </c>
    </row>
    <row r="121" spans="1:43" x14ac:dyDescent="0.3">
      <c r="A121" t="s">
        <v>78</v>
      </c>
      <c r="B121" t="s">
        <v>47</v>
      </c>
      <c r="C121" t="s">
        <v>56</v>
      </c>
      <c r="D121" t="s">
        <v>49</v>
      </c>
      <c r="E121" t="s">
        <v>57</v>
      </c>
      <c r="F121">
        <v>118</v>
      </c>
      <c r="G121">
        <v>18</v>
      </c>
      <c r="H121">
        <v>5</v>
      </c>
      <c r="I121" t="s">
        <v>57</v>
      </c>
      <c r="J121">
        <v>1</v>
      </c>
      <c r="K121">
        <v>0.88113860000157695</v>
      </c>
      <c r="L121" t="s">
        <v>51</v>
      </c>
      <c r="M121">
        <v>5</v>
      </c>
      <c r="N121">
        <v>18</v>
      </c>
      <c r="O121">
        <v>118</v>
      </c>
      <c r="P121">
        <v>17</v>
      </c>
      <c r="Q121">
        <v>156.816724200034</v>
      </c>
      <c r="V121">
        <v>156.80573960003599</v>
      </c>
      <c r="W121">
        <v>156.816724200034</v>
      </c>
      <c r="X121">
        <v>157.31669440004001</v>
      </c>
      <c r="Y121">
        <v>157.31669440004001</v>
      </c>
      <c r="Z121">
        <v>157.31669440004001</v>
      </c>
      <c r="AA121">
        <v>158.20308639999701</v>
      </c>
      <c r="AB121" t="s">
        <v>57</v>
      </c>
      <c r="AC121">
        <v>1</v>
      </c>
      <c r="AD121">
        <v>0.88113860000157695</v>
      </c>
      <c r="AE121" t="s">
        <v>51</v>
      </c>
      <c r="AJ121">
        <v>3</v>
      </c>
      <c r="AK121">
        <v>1</v>
      </c>
      <c r="AL121" t="s">
        <v>82</v>
      </c>
      <c r="AM121" t="s">
        <v>43</v>
      </c>
      <c r="AO121" t="s">
        <v>44</v>
      </c>
      <c r="AP121">
        <v>60.124517886762398</v>
      </c>
      <c r="AQ121" t="s">
        <v>83</v>
      </c>
    </row>
    <row r="122" spans="1:43" x14ac:dyDescent="0.3">
      <c r="A122" t="s">
        <v>52</v>
      </c>
      <c r="B122" t="s">
        <v>47</v>
      </c>
      <c r="C122" t="s">
        <v>53</v>
      </c>
      <c r="D122" t="s">
        <v>49</v>
      </c>
      <c r="E122" t="s">
        <v>54</v>
      </c>
      <c r="F122">
        <v>119</v>
      </c>
      <c r="G122">
        <v>19</v>
      </c>
      <c r="H122">
        <v>5</v>
      </c>
      <c r="I122" t="s">
        <v>54</v>
      </c>
      <c r="J122">
        <v>1</v>
      </c>
      <c r="K122">
        <v>1.3046284000156401</v>
      </c>
      <c r="L122" t="s">
        <v>51</v>
      </c>
      <c r="M122">
        <v>5</v>
      </c>
      <c r="N122">
        <v>19</v>
      </c>
      <c r="O122">
        <v>119</v>
      </c>
      <c r="P122">
        <v>14</v>
      </c>
      <c r="Q122">
        <v>158.216641700011</v>
      </c>
      <c r="V122">
        <v>158.20541920000599</v>
      </c>
      <c r="W122">
        <v>158.216641700011</v>
      </c>
      <c r="X122">
        <v>158.71699640003499</v>
      </c>
      <c r="Y122">
        <v>158.71699640003499</v>
      </c>
      <c r="Z122">
        <v>158.71699640003499</v>
      </c>
      <c r="AA122">
        <v>160.03793849999701</v>
      </c>
      <c r="AB122" t="s">
        <v>54</v>
      </c>
      <c r="AC122">
        <v>1</v>
      </c>
      <c r="AD122">
        <v>1.3046284000156401</v>
      </c>
      <c r="AE122" t="s">
        <v>51</v>
      </c>
      <c r="AJ122">
        <v>3</v>
      </c>
      <c r="AK122">
        <v>1</v>
      </c>
      <c r="AL122" t="s">
        <v>82</v>
      </c>
      <c r="AM122" t="s">
        <v>43</v>
      </c>
      <c r="AO122" t="s">
        <v>44</v>
      </c>
      <c r="AP122">
        <v>60.124517886762398</v>
      </c>
      <c r="AQ122" t="s">
        <v>83</v>
      </c>
    </row>
    <row r="123" spans="1:43" x14ac:dyDescent="0.3">
      <c r="A123" t="s">
        <v>66</v>
      </c>
      <c r="B123" t="s">
        <v>47</v>
      </c>
      <c r="C123" t="s">
        <v>61</v>
      </c>
      <c r="D123" t="s">
        <v>49</v>
      </c>
      <c r="E123" t="s">
        <v>63</v>
      </c>
      <c r="F123">
        <v>120</v>
      </c>
      <c r="G123">
        <v>0</v>
      </c>
      <c r="H123">
        <v>6</v>
      </c>
      <c r="I123" t="s">
        <v>63</v>
      </c>
      <c r="J123">
        <v>1</v>
      </c>
      <c r="K123">
        <v>0.87399380002170801</v>
      </c>
      <c r="L123" t="s">
        <v>51</v>
      </c>
      <c r="M123">
        <v>6</v>
      </c>
      <c r="N123">
        <v>0</v>
      </c>
      <c r="O123">
        <v>120</v>
      </c>
      <c r="P123">
        <v>12</v>
      </c>
      <c r="Q123">
        <v>160.05096960003701</v>
      </c>
      <c r="V123">
        <v>160.040430300054</v>
      </c>
      <c r="W123">
        <v>160.05096960003701</v>
      </c>
      <c r="X123">
        <v>160.55141800001701</v>
      </c>
      <c r="Y123">
        <v>160.55141800001701</v>
      </c>
      <c r="Z123">
        <v>160.55141800001701</v>
      </c>
      <c r="AA123">
        <v>161.43788760004099</v>
      </c>
      <c r="AB123" t="s">
        <v>63</v>
      </c>
      <c r="AC123">
        <v>1</v>
      </c>
      <c r="AD123">
        <v>0.87399380002170801</v>
      </c>
      <c r="AE123" t="s">
        <v>51</v>
      </c>
      <c r="AJ123">
        <v>3</v>
      </c>
      <c r="AK123">
        <v>1</v>
      </c>
      <c r="AL123" t="s">
        <v>82</v>
      </c>
      <c r="AM123" t="s">
        <v>43</v>
      </c>
      <c r="AO123" t="s">
        <v>44</v>
      </c>
      <c r="AP123">
        <v>60.124517886762398</v>
      </c>
      <c r="AQ123" t="s">
        <v>83</v>
      </c>
    </row>
    <row r="124" spans="1:43" x14ac:dyDescent="0.3">
      <c r="A124" t="s">
        <v>60</v>
      </c>
      <c r="B124" t="s">
        <v>59</v>
      </c>
      <c r="C124" t="s">
        <v>61</v>
      </c>
      <c r="D124" t="s">
        <v>62</v>
      </c>
      <c r="E124" t="s">
        <v>63</v>
      </c>
      <c r="F124">
        <v>121</v>
      </c>
      <c r="G124">
        <v>1</v>
      </c>
      <c r="H124">
        <v>6</v>
      </c>
      <c r="I124" t="s">
        <v>63</v>
      </c>
      <c r="J124">
        <v>1</v>
      </c>
      <c r="K124">
        <v>0.45316889998503002</v>
      </c>
      <c r="L124" t="s">
        <v>51</v>
      </c>
      <c r="M124">
        <v>6</v>
      </c>
      <c r="N124">
        <v>1</v>
      </c>
      <c r="O124">
        <v>121</v>
      </c>
      <c r="P124">
        <v>0</v>
      </c>
      <c r="Q124">
        <v>161.45221720001399</v>
      </c>
      <c r="V124">
        <v>161.440570000035</v>
      </c>
      <c r="W124">
        <v>161.45221720001399</v>
      </c>
      <c r="X124">
        <v>161.951892900047</v>
      </c>
      <c r="Y124">
        <v>161.951892900047</v>
      </c>
      <c r="Z124">
        <v>161.951892900047</v>
      </c>
      <c r="AA124">
        <v>162.405878700024</v>
      </c>
      <c r="AB124" t="s">
        <v>63</v>
      </c>
      <c r="AC124">
        <v>1</v>
      </c>
      <c r="AD124">
        <v>0.45316889998503002</v>
      </c>
      <c r="AE124" t="s">
        <v>51</v>
      </c>
      <c r="AJ124">
        <v>3</v>
      </c>
      <c r="AK124">
        <v>1</v>
      </c>
      <c r="AL124" t="s">
        <v>82</v>
      </c>
      <c r="AM124" t="s">
        <v>43</v>
      </c>
      <c r="AO124" t="s">
        <v>44</v>
      </c>
      <c r="AP124">
        <v>60.124517886762398</v>
      </c>
      <c r="AQ124" t="s">
        <v>83</v>
      </c>
    </row>
    <row r="125" spans="1:43" x14ac:dyDescent="0.3">
      <c r="A125" t="s">
        <v>64</v>
      </c>
      <c r="B125" t="s">
        <v>47</v>
      </c>
      <c r="C125" t="s">
        <v>53</v>
      </c>
      <c r="D125" t="s">
        <v>49</v>
      </c>
      <c r="E125" t="s">
        <v>54</v>
      </c>
      <c r="F125">
        <v>122</v>
      </c>
      <c r="G125">
        <v>2</v>
      </c>
      <c r="H125">
        <v>6</v>
      </c>
      <c r="I125" t="s">
        <v>54</v>
      </c>
      <c r="J125">
        <v>1</v>
      </c>
      <c r="K125">
        <v>1.08514829998603</v>
      </c>
      <c r="L125" t="s">
        <v>51</v>
      </c>
      <c r="M125">
        <v>6</v>
      </c>
      <c r="N125">
        <v>2</v>
      </c>
      <c r="O125">
        <v>122</v>
      </c>
      <c r="P125">
        <v>18</v>
      </c>
      <c r="Q125">
        <v>162.418305700004</v>
      </c>
      <c r="V125">
        <v>162.40850930003199</v>
      </c>
      <c r="W125">
        <v>162.418305700004</v>
      </c>
      <c r="X125">
        <v>162.91735820000699</v>
      </c>
      <c r="Y125">
        <v>162.91735820000699</v>
      </c>
      <c r="Z125">
        <v>162.91735820000699</v>
      </c>
      <c r="AA125">
        <v>164.00646570004699</v>
      </c>
      <c r="AB125" t="s">
        <v>54</v>
      </c>
      <c r="AC125">
        <v>1</v>
      </c>
      <c r="AD125">
        <v>1.08514829998603</v>
      </c>
      <c r="AE125" t="s">
        <v>51</v>
      </c>
      <c r="AJ125">
        <v>3</v>
      </c>
      <c r="AK125">
        <v>1</v>
      </c>
      <c r="AL125" t="s">
        <v>82</v>
      </c>
      <c r="AM125" t="s">
        <v>43</v>
      </c>
      <c r="AO125" t="s">
        <v>44</v>
      </c>
      <c r="AP125">
        <v>60.124517886762398</v>
      </c>
      <c r="AQ125" t="s">
        <v>83</v>
      </c>
    </row>
    <row r="126" spans="1:43" x14ac:dyDescent="0.3">
      <c r="A126" t="s">
        <v>73</v>
      </c>
      <c r="B126" t="s">
        <v>59</v>
      </c>
      <c r="C126" t="s">
        <v>56</v>
      </c>
      <c r="D126" t="s">
        <v>49</v>
      </c>
      <c r="E126" t="s">
        <v>57</v>
      </c>
      <c r="F126">
        <v>123</v>
      </c>
      <c r="G126">
        <v>3</v>
      </c>
      <c r="H126">
        <v>6</v>
      </c>
      <c r="I126" t="s">
        <v>57</v>
      </c>
      <c r="J126">
        <v>1</v>
      </c>
      <c r="K126">
        <v>1.73161239997716</v>
      </c>
      <c r="L126" t="s">
        <v>51</v>
      </c>
      <c r="M126">
        <v>6</v>
      </c>
      <c r="N126">
        <v>3</v>
      </c>
      <c r="O126">
        <v>123</v>
      </c>
      <c r="P126">
        <v>1</v>
      </c>
      <c r="Q126">
        <v>164.01810180000001</v>
      </c>
      <c r="V126">
        <v>164.00891600002001</v>
      </c>
      <c r="W126">
        <v>164.01810180000001</v>
      </c>
      <c r="X126">
        <v>164.51799439999701</v>
      </c>
      <c r="Y126">
        <v>164.51799439999701</v>
      </c>
      <c r="Z126">
        <v>164.51799439999701</v>
      </c>
      <c r="AA126">
        <v>166.256115399999</v>
      </c>
      <c r="AB126" t="s">
        <v>57</v>
      </c>
      <c r="AC126">
        <v>1</v>
      </c>
      <c r="AD126">
        <v>1.73161239997716</v>
      </c>
      <c r="AE126" t="s">
        <v>51</v>
      </c>
      <c r="AJ126">
        <v>3</v>
      </c>
      <c r="AK126">
        <v>1</v>
      </c>
      <c r="AL126" t="s">
        <v>82</v>
      </c>
      <c r="AM126" t="s">
        <v>43</v>
      </c>
      <c r="AO126" t="s">
        <v>44</v>
      </c>
      <c r="AP126">
        <v>60.124517886762398</v>
      </c>
      <c r="AQ126" t="s">
        <v>83</v>
      </c>
    </row>
    <row r="127" spans="1:43" x14ac:dyDescent="0.3">
      <c r="A127" t="s">
        <v>68</v>
      </c>
      <c r="B127" t="s">
        <v>59</v>
      </c>
      <c r="C127" t="s">
        <v>53</v>
      </c>
      <c r="D127" t="s">
        <v>49</v>
      </c>
      <c r="E127" t="s">
        <v>54</v>
      </c>
      <c r="F127">
        <v>124</v>
      </c>
      <c r="G127">
        <v>4</v>
      </c>
      <c r="H127">
        <v>6</v>
      </c>
      <c r="I127" t="s">
        <v>54</v>
      </c>
      <c r="J127">
        <v>1</v>
      </c>
      <c r="K127">
        <v>2.9246858000406002</v>
      </c>
      <c r="L127" t="s">
        <v>51</v>
      </c>
      <c r="M127">
        <v>6</v>
      </c>
      <c r="N127">
        <v>4</v>
      </c>
      <c r="O127">
        <v>124</v>
      </c>
      <c r="P127">
        <v>6</v>
      </c>
      <c r="Q127">
        <v>166.26736050000099</v>
      </c>
      <c r="V127">
        <v>166.25970460003001</v>
      </c>
      <c r="W127">
        <v>166.26736050000099</v>
      </c>
      <c r="X127">
        <v>166.767938100034</v>
      </c>
      <c r="Y127">
        <v>166.767938100034</v>
      </c>
      <c r="Z127">
        <v>166.767938100034</v>
      </c>
      <c r="AA127">
        <v>169.703065800014</v>
      </c>
      <c r="AB127" t="s">
        <v>54</v>
      </c>
      <c r="AC127">
        <v>1</v>
      </c>
      <c r="AD127">
        <v>2.9246858000406002</v>
      </c>
      <c r="AE127" t="s">
        <v>51</v>
      </c>
      <c r="AJ127">
        <v>3</v>
      </c>
      <c r="AK127">
        <v>1</v>
      </c>
      <c r="AL127" t="s">
        <v>82</v>
      </c>
      <c r="AM127" t="s">
        <v>43</v>
      </c>
      <c r="AO127" t="s">
        <v>44</v>
      </c>
      <c r="AP127">
        <v>60.124517886762398</v>
      </c>
      <c r="AQ127" t="s">
        <v>83</v>
      </c>
    </row>
    <row r="128" spans="1:43" x14ac:dyDescent="0.3">
      <c r="A128" t="s">
        <v>77</v>
      </c>
      <c r="B128" t="s">
        <v>59</v>
      </c>
      <c r="C128" t="s">
        <v>61</v>
      </c>
      <c r="D128" t="s">
        <v>62</v>
      </c>
      <c r="E128" t="s">
        <v>63</v>
      </c>
      <c r="F128">
        <v>125</v>
      </c>
      <c r="G128">
        <v>5</v>
      </c>
      <c r="H128">
        <v>6</v>
      </c>
      <c r="I128" t="s">
        <v>63</v>
      </c>
      <c r="J128">
        <v>1</v>
      </c>
      <c r="K128">
        <v>0.87632409995421701</v>
      </c>
      <c r="L128" t="s">
        <v>51</v>
      </c>
      <c r="M128">
        <v>6</v>
      </c>
      <c r="N128">
        <v>5</v>
      </c>
      <c r="O128">
        <v>125</v>
      </c>
      <c r="P128">
        <v>4</v>
      </c>
      <c r="Q128">
        <v>169.716186200035</v>
      </c>
      <c r="V128">
        <v>169.70533190003999</v>
      </c>
      <c r="W128">
        <v>169.716186200035</v>
      </c>
      <c r="X128">
        <v>170.215964500035</v>
      </c>
      <c r="Y128">
        <v>170.215964500035</v>
      </c>
      <c r="Z128">
        <v>170.215964500035</v>
      </c>
      <c r="AA128">
        <v>171.102861200051</v>
      </c>
      <c r="AB128" t="s">
        <v>63</v>
      </c>
      <c r="AC128">
        <v>1</v>
      </c>
      <c r="AD128">
        <v>0.87632409995421701</v>
      </c>
      <c r="AE128" t="s">
        <v>51</v>
      </c>
      <c r="AJ128">
        <v>3</v>
      </c>
      <c r="AK128">
        <v>1</v>
      </c>
      <c r="AL128" t="s">
        <v>82</v>
      </c>
      <c r="AM128" t="s">
        <v>43</v>
      </c>
      <c r="AO128" t="s">
        <v>44</v>
      </c>
      <c r="AP128">
        <v>60.124517886762398</v>
      </c>
      <c r="AQ128" t="s">
        <v>83</v>
      </c>
    </row>
    <row r="129" spans="1:43" x14ac:dyDescent="0.3">
      <c r="A129" t="s">
        <v>74</v>
      </c>
      <c r="B129" t="s">
        <v>47</v>
      </c>
      <c r="C129" t="s">
        <v>48</v>
      </c>
      <c r="D129" t="s">
        <v>49</v>
      </c>
      <c r="E129" t="s">
        <v>50</v>
      </c>
      <c r="F129">
        <v>126</v>
      </c>
      <c r="G129">
        <v>6</v>
      </c>
      <c r="H129">
        <v>6</v>
      </c>
      <c r="I129" t="s">
        <v>50</v>
      </c>
      <c r="J129">
        <v>1</v>
      </c>
      <c r="K129">
        <v>1.42569419997744</v>
      </c>
      <c r="L129" t="s">
        <v>51</v>
      </c>
      <c r="M129">
        <v>6</v>
      </c>
      <c r="N129">
        <v>6</v>
      </c>
      <c r="O129">
        <v>126</v>
      </c>
      <c r="P129">
        <v>11</v>
      </c>
      <c r="Q129">
        <v>171.11613830004299</v>
      </c>
      <c r="V129">
        <v>171.10514729999699</v>
      </c>
      <c r="W129">
        <v>171.11613830004299</v>
      </c>
      <c r="X129">
        <v>171.61626540002101</v>
      </c>
      <c r="Y129">
        <v>171.61626540002101</v>
      </c>
      <c r="Z129">
        <v>171.61626540002101</v>
      </c>
      <c r="AA129">
        <v>173.05305909999799</v>
      </c>
      <c r="AB129" t="s">
        <v>50</v>
      </c>
      <c r="AC129">
        <v>1</v>
      </c>
      <c r="AD129">
        <v>1.42569419997744</v>
      </c>
      <c r="AE129" t="s">
        <v>51</v>
      </c>
      <c r="AJ129">
        <v>3</v>
      </c>
      <c r="AK129">
        <v>1</v>
      </c>
      <c r="AL129" t="s">
        <v>82</v>
      </c>
      <c r="AM129" t="s">
        <v>43</v>
      </c>
      <c r="AO129" t="s">
        <v>44</v>
      </c>
      <c r="AP129">
        <v>60.124517886762398</v>
      </c>
      <c r="AQ129" t="s">
        <v>83</v>
      </c>
    </row>
    <row r="130" spans="1:43" x14ac:dyDescent="0.3">
      <c r="A130" t="s">
        <v>52</v>
      </c>
      <c r="B130" t="s">
        <v>47</v>
      </c>
      <c r="C130" t="s">
        <v>53</v>
      </c>
      <c r="D130" t="s">
        <v>49</v>
      </c>
      <c r="E130" t="s">
        <v>54</v>
      </c>
      <c r="F130">
        <v>127</v>
      </c>
      <c r="G130">
        <v>7</v>
      </c>
      <c r="H130">
        <v>6</v>
      </c>
      <c r="I130" t="s">
        <v>54</v>
      </c>
      <c r="J130">
        <v>1</v>
      </c>
      <c r="K130">
        <v>0.85728140000719499</v>
      </c>
      <c r="L130" t="s">
        <v>51</v>
      </c>
      <c r="M130">
        <v>6</v>
      </c>
      <c r="N130">
        <v>7</v>
      </c>
      <c r="O130">
        <v>127</v>
      </c>
      <c r="P130">
        <v>14</v>
      </c>
      <c r="Q130">
        <v>173.06672709999799</v>
      </c>
      <c r="V130">
        <v>173.056204100023</v>
      </c>
      <c r="W130">
        <v>173.06672709999799</v>
      </c>
      <c r="X130">
        <v>173.567324500007</v>
      </c>
      <c r="Y130">
        <v>173.567324500007</v>
      </c>
      <c r="Z130">
        <v>173.567324500007</v>
      </c>
      <c r="AA130">
        <v>174.438759200042</v>
      </c>
      <c r="AB130" t="s">
        <v>54</v>
      </c>
      <c r="AC130">
        <v>1</v>
      </c>
      <c r="AD130">
        <v>0.85728140000719499</v>
      </c>
      <c r="AE130" t="s">
        <v>51</v>
      </c>
      <c r="AJ130">
        <v>3</v>
      </c>
      <c r="AK130">
        <v>1</v>
      </c>
      <c r="AL130" t="s">
        <v>82</v>
      </c>
      <c r="AM130" t="s">
        <v>43</v>
      </c>
      <c r="AO130" t="s">
        <v>44</v>
      </c>
      <c r="AP130">
        <v>60.124517886762398</v>
      </c>
      <c r="AQ130" t="s">
        <v>83</v>
      </c>
    </row>
    <row r="131" spans="1:43" x14ac:dyDescent="0.3">
      <c r="A131" t="s">
        <v>67</v>
      </c>
      <c r="B131" t="s">
        <v>47</v>
      </c>
      <c r="C131" t="s">
        <v>53</v>
      </c>
      <c r="D131" t="s">
        <v>49</v>
      </c>
      <c r="E131" t="s">
        <v>54</v>
      </c>
      <c r="F131">
        <v>128</v>
      </c>
      <c r="G131">
        <v>8</v>
      </c>
      <c r="H131">
        <v>6</v>
      </c>
      <c r="I131" t="s">
        <v>54</v>
      </c>
      <c r="J131">
        <v>1</v>
      </c>
      <c r="K131">
        <v>0.51825569994980403</v>
      </c>
      <c r="L131" t="s">
        <v>51</v>
      </c>
      <c r="M131">
        <v>6</v>
      </c>
      <c r="N131">
        <v>8</v>
      </c>
      <c r="O131">
        <v>128</v>
      </c>
      <c r="P131">
        <v>10</v>
      </c>
      <c r="Q131">
        <v>174.45194640004701</v>
      </c>
      <c r="V131">
        <v>174.44268580002199</v>
      </c>
      <c r="W131">
        <v>174.45194640004701</v>
      </c>
      <c r="X131">
        <v>174.95132810005401</v>
      </c>
      <c r="Y131">
        <v>174.95132810005401</v>
      </c>
      <c r="Z131">
        <v>174.95132810005401</v>
      </c>
      <c r="AA131">
        <v>175.47280490002501</v>
      </c>
      <c r="AB131" t="s">
        <v>54</v>
      </c>
      <c r="AC131">
        <v>1</v>
      </c>
      <c r="AD131">
        <v>0.51825569994980403</v>
      </c>
      <c r="AE131" t="s">
        <v>51</v>
      </c>
      <c r="AJ131">
        <v>3</v>
      </c>
      <c r="AK131">
        <v>1</v>
      </c>
      <c r="AL131" t="s">
        <v>82</v>
      </c>
      <c r="AM131" t="s">
        <v>43</v>
      </c>
      <c r="AO131" t="s">
        <v>44</v>
      </c>
      <c r="AP131">
        <v>60.124517886762398</v>
      </c>
      <c r="AQ131" t="s">
        <v>83</v>
      </c>
    </row>
    <row r="132" spans="1:43" x14ac:dyDescent="0.3">
      <c r="A132" t="s">
        <v>71</v>
      </c>
      <c r="B132" t="s">
        <v>47</v>
      </c>
      <c r="C132" t="s">
        <v>48</v>
      </c>
      <c r="D132" t="s">
        <v>49</v>
      </c>
      <c r="E132" t="s">
        <v>50</v>
      </c>
      <c r="F132">
        <v>129</v>
      </c>
      <c r="G132">
        <v>9</v>
      </c>
      <c r="H132">
        <v>6</v>
      </c>
      <c r="I132" t="s">
        <v>50</v>
      </c>
      <c r="J132">
        <v>1</v>
      </c>
      <c r="K132">
        <v>1.9529492000001401</v>
      </c>
      <c r="L132" t="s">
        <v>51</v>
      </c>
      <c r="M132">
        <v>6</v>
      </c>
      <c r="N132">
        <v>9</v>
      </c>
      <c r="O132">
        <v>129</v>
      </c>
      <c r="P132">
        <v>15</v>
      </c>
      <c r="Q132">
        <v>175.484462900029</v>
      </c>
      <c r="V132">
        <v>175.47751250001599</v>
      </c>
      <c r="W132">
        <v>175.484462900029</v>
      </c>
      <c r="X132">
        <v>175.98534040001601</v>
      </c>
      <c r="Y132">
        <v>175.98534040001601</v>
      </c>
      <c r="Z132">
        <v>175.98534040001601</v>
      </c>
      <c r="AA132">
        <v>177.93873260001399</v>
      </c>
      <c r="AB132" t="s">
        <v>50</v>
      </c>
      <c r="AC132">
        <v>1</v>
      </c>
      <c r="AD132">
        <v>1.9529492000001401</v>
      </c>
      <c r="AE132" t="s">
        <v>51</v>
      </c>
      <c r="AJ132">
        <v>3</v>
      </c>
      <c r="AK132">
        <v>1</v>
      </c>
      <c r="AL132" t="s">
        <v>82</v>
      </c>
      <c r="AM132" t="s">
        <v>43</v>
      </c>
      <c r="AO132" t="s">
        <v>44</v>
      </c>
      <c r="AP132">
        <v>60.124517886762398</v>
      </c>
      <c r="AQ132" t="s">
        <v>83</v>
      </c>
    </row>
    <row r="133" spans="1:43" x14ac:dyDescent="0.3">
      <c r="A133" t="s">
        <v>58</v>
      </c>
      <c r="B133" t="s">
        <v>59</v>
      </c>
      <c r="C133" t="s">
        <v>48</v>
      </c>
      <c r="D133" t="s">
        <v>49</v>
      </c>
      <c r="E133" t="s">
        <v>50</v>
      </c>
      <c r="F133">
        <v>130</v>
      </c>
      <c r="G133">
        <v>10</v>
      </c>
      <c r="H133">
        <v>6</v>
      </c>
      <c r="I133" t="s">
        <v>50</v>
      </c>
      <c r="J133">
        <v>1</v>
      </c>
      <c r="K133">
        <v>0.44798490003449798</v>
      </c>
      <c r="L133" t="s">
        <v>51</v>
      </c>
      <c r="M133">
        <v>6</v>
      </c>
      <c r="N133">
        <v>10</v>
      </c>
      <c r="O133">
        <v>130</v>
      </c>
      <c r="P133">
        <v>7</v>
      </c>
      <c r="Q133">
        <v>177.950380499998</v>
      </c>
      <c r="V133">
        <v>177.942140300001</v>
      </c>
      <c r="W133">
        <v>177.950380499998</v>
      </c>
      <c r="X133">
        <v>178.45110440003899</v>
      </c>
      <c r="Y133">
        <v>178.45110440003899</v>
      </c>
      <c r="Z133">
        <v>178.45110440003899</v>
      </c>
      <c r="AA133">
        <v>178.90494590002299</v>
      </c>
      <c r="AB133" t="s">
        <v>50</v>
      </c>
      <c r="AC133">
        <v>1</v>
      </c>
      <c r="AD133">
        <v>0.44798490003449798</v>
      </c>
      <c r="AE133" t="s">
        <v>51</v>
      </c>
      <c r="AJ133">
        <v>3</v>
      </c>
      <c r="AK133">
        <v>1</v>
      </c>
      <c r="AL133" t="s">
        <v>82</v>
      </c>
      <c r="AM133" t="s">
        <v>43</v>
      </c>
      <c r="AO133" t="s">
        <v>44</v>
      </c>
      <c r="AP133">
        <v>60.124517886762398</v>
      </c>
      <c r="AQ133" t="s">
        <v>83</v>
      </c>
    </row>
    <row r="134" spans="1:43" x14ac:dyDescent="0.3">
      <c r="A134" t="s">
        <v>75</v>
      </c>
      <c r="B134" t="s">
        <v>47</v>
      </c>
      <c r="C134" t="s">
        <v>61</v>
      </c>
      <c r="D134" t="s">
        <v>49</v>
      </c>
      <c r="E134" t="s">
        <v>63</v>
      </c>
      <c r="F134">
        <v>131</v>
      </c>
      <c r="G134">
        <v>11</v>
      </c>
      <c r="H134">
        <v>6</v>
      </c>
      <c r="I134" t="s">
        <v>63</v>
      </c>
      <c r="J134">
        <v>1</v>
      </c>
      <c r="K134">
        <v>0.92818050005007502</v>
      </c>
      <c r="L134" t="s">
        <v>51</v>
      </c>
      <c r="M134">
        <v>6</v>
      </c>
      <c r="N134">
        <v>11</v>
      </c>
      <c r="O134">
        <v>131</v>
      </c>
      <c r="P134">
        <v>16</v>
      </c>
      <c r="Q134">
        <v>178.91708360001201</v>
      </c>
      <c r="V134">
        <v>178.90892010001599</v>
      </c>
      <c r="W134">
        <v>178.91708360001201</v>
      </c>
      <c r="X134">
        <v>179.41691950004301</v>
      </c>
      <c r="Y134">
        <v>179.41691950004301</v>
      </c>
      <c r="Z134">
        <v>179.41691950004301</v>
      </c>
      <c r="AA134">
        <v>180.35532510001201</v>
      </c>
      <c r="AB134" t="s">
        <v>63</v>
      </c>
      <c r="AC134">
        <v>1</v>
      </c>
      <c r="AD134">
        <v>0.92818050005007502</v>
      </c>
      <c r="AE134" t="s">
        <v>51</v>
      </c>
      <c r="AJ134">
        <v>3</v>
      </c>
      <c r="AK134">
        <v>1</v>
      </c>
      <c r="AL134" t="s">
        <v>82</v>
      </c>
      <c r="AM134" t="s">
        <v>43</v>
      </c>
      <c r="AO134" t="s">
        <v>44</v>
      </c>
      <c r="AP134">
        <v>60.124517886762398</v>
      </c>
      <c r="AQ134" t="s">
        <v>83</v>
      </c>
    </row>
    <row r="135" spans="1:43" x14ac:dyDescent="0.3">
      <c r="A135" t="s">
        <v>72</v>
      </c>
      <c r="B135" t="s">
        <v>59</v>
      </c>
      <c r="C135" t="s">
        <v>61</v>
      </c>
      <c r="D135" t="s">
        <v>62</v>
      </c>
      <c r="E135" t="s">
        <v>63</v>
      </c>
      <c r="F135">
        <v>132</v>
      </c>
      <c r="G135">
        <v>12</v>
      </c>
      <c r="H135">
        <v>6</v>
      </c>
      <c r="I135" t="s">
        <v>63</v>
      </c>
      <c r="J135">
        <v>1</v>
      </c>
      <c r="K135">
        <v>0.53699400002369602</v>
      </c>
      <c r="L135" t="s">
        <v>51</v>
      </c>
      <c r="M135">
        <v>6</v>
      </c>
      <c r="N135">
        <v>12</v>
      </c>
      <c r="O135">
        <v>132</v>
      </c>
      <c r="P135">
        <v>8</v>
      </c>
      <c r="Q135">
        <v>180.367003799998</v>
      </c>
      <c r="V135">
        <v>180.358078500023</v>
      </c>
      <c r="W135">
        <v>180.367003799998</v>
      </c>
      <c r="X135">
        <v>180.86783500004</v>
      </c>
      <c r="Y135">
        <v>180.86783500004</v>
      </c>
      <c r="Z135">
        <v>180.86783500004</v>
      </c>
      <c r="AA135">
        <v>181.41916470002599</v>
      </c>
      <c r="AB135" t="s">
        <v>63</v>
      </c>
      <c r="AC135">
        <v>1</v>
      </c>
      <c r="AD135">
        <v>0.53699400002369602</v>
      </c>
      <c r="AE135" t="s">
        <v>51</v>
      </c>
      <c r="AJ135">
        <v>3</v>
      </c>
      <c r="AK135">
        <v>1</v>
      </c>
      <c r="AL135" t="s">
        <v>82</v>
      </c>
      <c r="AM135" t="s">
        <v>43</v>
      </c>
      <c r="AO135" t="s">
        <v>44</v>
      </c>
      <c r="AP135">
        <v>60.124517886762398</v>
      </c>
      <c r="AQ135" t="s">
        <v>83</v>
      </c>
    </row>
    <row r="136" spans="1:43" x14ac:dyDescent="0.3">
      <c r="A136" t="s">
        <v>76</v>
      </c>
      <c r="B136" t="s">
        <v>59</v>
      </c>
      <c r="C136" t="s">
        <v>48</v>
      </c>
      <c r="D136" t="s">
        <v>49</v>
      </c>
      <c r="E136" t="s">
        <v>50</v>
      </c>
      <c r="F136">
        <v>133</v>
      </c>
      <c r="G136">
        <v>13</v>
      </c>
      <c r="H136">
        <v>6</v>
      </c>
      <c r="I136" t="s">
        <v>50</v>
      </c>
      <c r="J136">
        <v>1</v>
      </c>
      <c r="K136">
        <v>1.1023363000131201</v>
      </c>
      <c r="L136" t="s">
        <v>51</v>
      </c>
      <c r="M136">
        <v>6</v>
      </c>
      <c r="N136">
        <v>13</v>
      </c>
      <c r="O136">
        <v>133</v>
      </c>
      <c r="P136">
        <v>3</v>
      </c>
      <c r="Q136">
        <v>181.432248299999</v>
      </c>
      <c r="V136">
        <v>181.42163740005299</v>
      </c>
      <c r="W136">
        <v>181.432248299999</v>
      </c>
      <c r="X136">
        <v>181.93243730004099</v>
      </c>
      <c r="Y136">
        <v>181.93243730004099</v>
      </c>
      <c r="Z136">
        <v>181.93243730004099</v>
      </c>
      <c r="AA136">
        <v>183.03641660004999</v>
      </c>
      <c r="AB136" t="s">
        <v>50</v>
      </c>
      <c r="AC136">
        <v>1</v>
      </c>
      <c r="AD136">
        <v>1.1023363000131201</v>
      </c>
      <c r="AE136" t="s">
        <v>51</v>
      </c>
      <c r="AJ136">
        <v>3</v>
      </c>
      <c r="AK136">
        <v>1</v>
      </c>
      <c r="AL136" t="s">
        <v>82</v>
      </c>
      <c r="AM136" t="s">
        <v>43</v>
      </c>
      <c r="AO136" t="s">
        <v>44</v>
      </c>
      <c r="AP136">
        <v>60.124517886762398</v>
      </c>
      <c r="AQ136" t="s">
        <v>83</v>
      </c>
    </row>
    <row r="137" spans="1:43" x14ac:dyDescent="0.3">
      <c r="A137" t="s">
        <v>65</v>
      </c>
      <c r="B137" t="s">
        <v>59</v>
      </c>
      <c r="C137" t="s">
        <v>56</v>
      </c>
      <c r="D137" t="s">
        <v>49</v>
      </c>
      <c r="E137" t="s">
        <v>57</v>
      </c>
      <c r="F137">
        <v>134</v>
      </c>
      <c r="G137">
        <v>14</v>
      </c>
      <c r="H137">
        <v>6</v>
      </c>
      <c r="I137" t="s">
        <v>57</v>
      </c>
      <c r="J137">
        <v>1</v>
      </c>
      <c r="K137">
        <v>0.83752870000898805</v>
      </c>
      <c r="L137" t="s">
        <v>51</v>
      </c>
      <c r="M137">
        <v>6</v>
      </c>
      <c r="N137">
        <v>14</v>
      </c>
      <c r="O137">
        <v>134</v>
      </c>
      <c r="P137">
        <v>9</v>
      </c>
      <c r="Q137">
        <v>183.04923040000699</v>
      </c>
      <c r="V137">
        <v>183.03907340002399</v>
      </c>
      <c r="W137">
        <v>183.04923040000699</v>
      </c>
      <c r="X137">
        <v>183.54957060003599</v>
      </c>
      <c r="Y137">
        <v>183.54957060003599</v>
      </c>
      <c r="Z137">
        <v>183.54957060003599</v>
      </c>
      <c r="AA137">
        <v>184.40309640002599</v>
      </c>
      <c r="AB137" t="s">
        <v>57</v>
      </c>
      <c r="AC137">
        <v>1</v>
      </c>
      <c r="AD137">
        <v>0.83752870000898805</v>
      </c>
      <c r="AE137" t="s">
        <v>51</v>
      </c>
      <c r="AJ137">
        <v>3</v>
      </c>
      <c r="AK137">
        <v>1</v>
      </c>
      <c r="AL137" t="s">
        <v>82</v>
      </c>
      <c r="AM137" t="s">
        <v>43</v>
      </c>
      <c r="AO137" t="s">
        <v>44</v>
      </c>
      <c r="AP137">
        <v>60.124517886762398</v>
      </c>
      <c r="AQ137" t="s">
        <v>83</v>
      </c>
    </row>
    <row r="138" spans="1:43" x14ac:dyDescent="0.3">
      <c r="A138" t="s">
        <v>78</v>
      </c>
      <c r="B138" t="s">
        <v>47</v>
      </c>
      <c r="C138" t="s">
        <v>56</v>
      </c>
      <c r="D138" t="s">
        <v>49</v>
      </c>
      <c r="E138" t="s">
        <v>57</v>
      </c>
      <c r="F138">
        <v>135</v>
      </c>
      <c r="G138">
        <v>15</v>
      </c>
      <c r="H138">
        <v>6</v>
      </c>
      <c r="I138" t="s">
        <v>57</v>
      </c>
      <c r="J138">
        <v>1</v>
      </c>
      <c r="K138">
        <v>0.56267229997320101</v>
      </c>
      <c r="L138" t="s">
        <v>51</v>
      </c>
      <c r="M138">
        <v>6</v>
      </c>
      <c r="N138">
        <v>15</v>
      </c>
      <c r="O138">
        <v>135</v>
      </c>
      <c r="P138">
        <v>17</v>
      </c>
      <c r="Q138">
        <v>184.41569829999901</v>
      </c>
      <c r="V138">
        <v>184.40597550000501</v>
      </c>
      <c r="W138">
        <v>184.41569829999901</v>
      </c>
      <c r="X138">
        <v>184.915738700015</v>
      </c>
      <c r="Y138">
        <v>184.915738700015</v>
      </c>
      <c r="Z138">
        <v>184.915738700015</v>
      </c>
      <c r="AA138">
        <v>185.48539830005001</v>
      </c>
      <c r="AB138" t="s">
        <v>57</v>
      </c>
      <c r="AC138">
        <v>1</v>
      </c>
      <c r="AD138">
        <v>0.56267229997320101</v>
      </c>
      <c r="AE138" t="s">
        <v>51</v>
      </c>
      <c r="AJ138">
        <v>3</v>
      </c>
      <c r="AK138">
        <v>1</v>
      </c>
      <c r="AL138" t="s">
        <v>82</v>
      </c>
      <c r="AM138" t="s">
        <v>43</v>
      </c>
      <c r="AO138" t="s">
        <v>44</v>
      </c>
      <c r="AP138">
        <v>60.124517886762398</v>
      </c>
      <c r="AQ138" t="s">
        <v>83</v>
      </c>
    </row>
    <row r="139" spans="1:43" x14ac:dyDescent="0.3">
      <c r="A139" t="s">
        <v>46</v>
      </c>
      <c r="B139" t="s">
        <v>47</v>
      </c>
      <c r="C139" t="s">
        <v>48</v>
      </c>
      <c r="D139" t="s">
        <v>49</v>
      </c>
      <c r="E139" t="s">
        <v>50</v>
      </c>
      <c r="F139">
        <v>136</v>
      </c>
      <c r="G139">
        <v>16</v>
      </c>
      <c r="H139">
        <v>6</v>
      </c>
      <c r="I139" t="s">
        <v>50</v>
      </c>
      <c r="J139">
        <v>1</v>
      </c>
      <c r="K139">
        <v>0.80883680004626501</v>
      </c>
      <c r="L139" t="s">
        <v>51</v>
      </c>
      <c r="M139">
        <v>6</v>
      </c>
      <c r="N139">
        <v>16</v>
      </c>
      <c r="O139">
        <v>136</v>
      </c>
      <c r="P139">
        <v>19</v>
      </c>
      <c r="Q139">
        <v>185.49937000003399</v>
      </c>
      <c r="V139">
        <v>185.48788170004201</v>
      </c>
      <c r="W139">
        <v>185.49937000003399</v>
      </c>
      <c r="X139">
        <v>185.99913730000799</v>
      </c>
      <c r="Y139">
        <v>185.99913730000799</v>
      </c>
      <c r="Z139">
        <v>185.99913730000799</v>
      </c>
      <c r="AA139">
        <v>186.81983839999799</v>
      </c>
      <c r="AB139" t="s">
        <v>50</v>
      </c>
      <c r="AC139">
        <v>1</v>
      </c>
      <c r="AD139">
        <v>0.80883680004626501</v>
      </c>
      <c r="AE139" t="s">
        <v>51</v>
      </c>
      <c r="AJ139">
        <v>3</v>
      </c>
      <c r="AK139">
        <v>1</v>
      </c>
      <c r="AL139" t="s">
        <v>82</v>
      </c>
      <c r="AM139" t="s">
        <v>43</v>
      </c>
      <c r="AO139" t="s">
        <v>44</v>
      </c>
      <c r="AP139">
        <v>60.124517886762398</v>
      </c>
      <c r="AQ139" t="s">
        <v>83</v>
      </c>
    </row>
    <row r="140" spans="1:43" x14ac:dyDescent="0.3">
      <c r="A140" t="s">
        <v>55</v>
      </c>
      <c r="B140" t="s">
        <v>47</v>
      </c>
      <c r="C140" t="s">
        <v>56</v>
      </c>
      <c r="D140" t="s">
        <v>49</v>
      </c>
      <c r="E140" t="s">
        <v>57</v>
      </c>
      <c r="F140">
        <v>137</v>
      </c>
      <c r="G140">
        <v>17</v>
      </c>
      <c r="H140">
        <v>6</v>
      </c>
      <c r="I140" t="s">
        <v>57</v>
      </c>
      <c r="J140">
        <v>1</v>
      </c>
      <c r="K140">
        <v>0.92818739998620003</v>
      </c>
      <c r="L140" t="s">
        <v>51</v>
      </c>
      <c r="M140">
        <v>6</v>
      </c>
      <c r="N140">
        <v>17</v>
      </c>
      <c r="O140">
        <v>137</v>
      </c>
      <c r="P140">
        <v>13</v>
      </c>
      <c r="Q140">
        <v>186.83335560001399</v>
      </c>
      <c r="V140">
        <v>186.82196410000299</v>
      </c>
      <c r="W140">
        <v>186.83335560001399</v>
      </c>
      <c r="X140">
        <v>187.33238530001799</v>
      </c>
      <c r="Y140">
        <v>187.33238530001799</v>
      </c>
      <c r="Z140">
        <v>187.33238530001799</v>
      </c>
      <c r="AA140">
        <v>188.27056360000199</v>
      </c>
      <c r="AB140" t="s">
        <v>57</v>
      </c>
      <c r="AC140">
        <v>1</v>
      </c>
      <c r="AD140">
        <v>0.92818739998620003</v>
      </c>
      <c r="AE140" t="s">
        <v>51</v>
      </c>
      <c r="AJ140">
        <v>3</v>
      </c>
      <c r="AK140">
        <v>1</v>
      </c>
      <c r="AL140" t="s">
        <v>82</v>
      </c>
      <c r="AM140" t="s">
        <v>43</v>
      </c>
      <c r="AO140" t="s">
        <v>44</v>
      </c>
      <c r="AP140">
        <v>60.124517886762398</v>
      </c>
      <c r="AQ140" t="s">
        <v>83</v>
      </c>
    </row>
    <row r="141" spans="1:43" x14ac:dyDescent="0.3">
      <c r="A141" t="s">
        <v>69</v>
      </c>
      <c r="B141" t="s">
        <v>59</v>
      </c>
      <c r="C141" t="s">
        <v>56</v>
      </c>
      <c r="D141" t="s">
        <v>49</v>
      </c>
      <c r="E141" t="s">
        <v>57</v>
      </c>
      <c r="F141">
        <v>138</v>
      </c>
      <c r="G141">
        <v>18</v>
      </c>
      <c r="H141">
        <v>6</v>
      </c>
      <c r="I141" t="s">
        <v>57</v>
      </c>
      <c r="J141">
        <v>1</v>
      </c>
      <c r="K141">
        <v>0.51718590001109899</v>
      </c>
      <c r="L141" t="s">
        <v>51</v>
      </c>
      <c r="M141">
        <v>6</v>
      </c>
      <c r="N141">
        <v>18</v>
      </c>
      <c r="O141">
        <v>138</v>
      </c>
      <c r="P141">
        <v>5</v>
      </c>
      <c r="Q141">
        <v>188.282992000051</v>
      </c>
      <c r="V141">
        <v>188.272833499999</v>
      </c>
      <c r="W141">
        <v>188.282992000051</v>
      </c>
      <c r="X141">
        <v>188.78344440000299</v>
      </c>
      <c r="Y141">
        <v>188.78344440000299</v>
      </c>
      <c r="Z141">
        <v>188.78344440000299</v>
      </c>
      <c r="AA141">
        <v>189.30352539999799</v>
      </c>
      <c r="AB141" t="s">
        <v>57</v>
      </c>
      <c r="AC141">
        <v>1</v>
      </c>
      <c r="AD141">
        <v>0.51718590001109899</v>
      </c>
      <c r="AE141" t="s">
        <v>51</v>
      </c>
      <c r="AJ141">
        <v>3</v>
      </c>
      <c r="AK141">
        <v>1</v>
      </c>
      <c r="AL141" t="s">
        <v>82</v>
      </c>
      <c r="AM141" t="s">
        <v>43</v>
      </c>
      <c r="AO141" t="s">
        <v>44</v>
      </c>
      <c r="AP141">
        <v>60.124517886762398</v>
      </c>
      <c r="AQ141" t="s">
        <v>83</v>
      </c>
    </row>
    <row r="142" spans="1:43" x14ac:dyDescent="0.3">
      <c r="A142" t="s">
        <v>70</v>
      </c>
      <c r="B142" t="s">
        <v>59</v>
      </c>
      <c r="C142" t="s">
        <v>53</v>
      </c>
      <c r="D142" t="s">
        <v>49</v>
      </c>
      <c r="E142" t="s">
        <v>54</v>
      </c>
      <c r="F142">
        <v>139</v>
      </c>
      <c r="G142">
        <v>19</v>
      </c>
      <c r="H142">
        <v>6</v>
      </c>
      <c r="I142" t="s">
        <v>54</v>
      </c>
      <c r="J142">
        <v>1</v>
      </c>
      <c r="K142">
        <v>0.66656209999928195</v>
      </c>
      <c r="L142" t="s">
        <v>51</v>
      </c>
      <c r="M142">
        <v>6</v>
      </c>
      <c r="N142">
        <v>19</v>
      </c>
      <c r="O142">
        <v>139</v>
      </c>
      <c r="P142">
        <v>2</v>
      </c>
      <c r="Q142">
        <v>189.31659900001199</v>
      </c>
      <c r="V142">
        <v>189.30734230001599</v>
      </c>
      <c r="W142">
        <v>189.31659900001199</v>
      </c>
      <c r="X142">
        <v>189.816753400024</v>
      </c>
      <c r="Y142">
        <v>189.816753400024</v>
      </c>
      <c r="Z142">
        <v>189.816753400024</v>
      </c>
      <c r="AA142">
        <v>190.487337500031</v>
      </c>
      <c r="AB142" t="s">
        <v>54</v>
      </c>
      <c r="AC142">
        <v>1</v>
      </c>
      <c r="AD142">
        <v>0.66656209999928195</v>
      </c>
      <c r="AE142" t="s">
        <v>51</v>
      </c>
      <c r="AJ142">
        <v>3</v>
      </c>
      <c r="AK142">
        <v>1</v>
      </c>
      <c r="AL142" t="s">
        <v>82</v>
      </c>
      <c r="AM142" t="s">
        <v>43</v>
      </c>
      <c r="AO142" t="s">
        <v>44</v>
      </c>
      <c r="AP142">
        <v>60.124517886762398</v>
      </c>
      <c r="AQ142" t="s">
        <v>83</v>
      </c>
    </row>
    <row r="143" spans="1:43" x14ac:dyDescent="0.3">
      <c r="A143" t="s">
        <v>58</v>
      </c>
      <c r="B143" t="s">
        <v>59</v>
      </c>
      <c r="C143" t="s">
        <v>48</v>
      </c>
      <c r="D143" t="s">
        <v>49</v>
      </c>
      <c r="E143" t="s">
        <v>50</v>
      </c>
      <c r="F143">
        <v>140</v>
      </c>
      <c r="G143">
        <v>0</v>
      </c>
      <c r="H143">
        <v>7</v>
      </c>
      <c r="I143" t="s">
        <v>50</v>
      </c>
      <c r="J143">
        <v>1</v>
      </c>
      <c r="K143">
        <v>0.76736759999766901</v>
      </c>
      <c r="L143" t="s">
        <v>51</v>
      </c>
      <c r="M143">
        <v>7</v>
      </c>
      <c r="N143">
        <v>0</v>
      </c>
      <c r="O143">
        <v>140</v>
      </c>
      <c r="P143">
        <v>7</v>
      </c>
      <c r="Q143">
        <v>190.50017660000501</v>
      </c>
      <c r="V143">
        <v>190.49021420004999</v>
      </c>
      <c r="W143">
        <v>190.50017660000501</v>
      </c>
      <c r="X143">
        <v>191.00004270003399</v>
      </c>
      <c r="Y143">
        <v>191.00004270003399</v>
      </c>
      <c r="Z143">
        <v>191.00004270003399</v>
      </c>
      <c r="AA143">
        <v>191.77046930004099</v>
      </c>
      <c r="AB143" t="s">
        <v>50</v>
      </c>
      <c r="AC143">
        <v>1</v>
      </c>
      <c r="AD143">
        <v>0.76736759999766901</v>
      </c>
      <c r="AE143" t="s">
        <v>51</v>
      </c>
      <c r="AJ143">
        <v>3</v>
      </c>
      <c r="AK143">
        <v>1</v>
      </c>
      <c r="AL143" t="s">
        <v>82</v>
      </c>
      <c r="AM143" t="s">
        <v>43</v>
      </c>
      <c r="AO143" t="s">
        <v>44</v>
      </c>
      <c r="AP143">
        <v>60.124517886762398</v>
      </c>
      <c r="AQ143" t="s">
        <v>83</v>
      </c>
    </row>
    <row r="144" spans="1:43" x14ac:dyDescent="0.3">
      <c r="A144" t="s">
        <v>71</v>
      </c>
      <c r="B144" t="s">
        <v>47</v>
      </c>
      <c r="C144" t="s">
        <v>48</v>
      </c>
      <c r="D144" t="s">
        <v>49</v>
      </c>
      <c r="E144" t="s">
        <v>50</v>
      </c>
      <c r="F144">
        <v>141</v>
      </c>
      <c r="G144">
        <v>1</v>
      </c>
      <c r="H144">
        <v>7</v>
      </c>
      <c r="I144" t="s">
        <v>50</v>
      </c>
      <c r="J144">
        <v>1</v>
      </c>
      <c r="K144">
        <v>0.47273949999362203</v>
      </c>
      <c r="L144" t="s">
        <v>51</v>
      </c>
      <c r="M144">
        <v>7</v>
      </c>
      <c r="N144">
        <v>1</v>
      </c>
      <c r="O144">
        <v>141</v>
      </c>
      <c r="P144">
        <v>15</v>
      </c>
      <c r="Q144">
        <v>191.783543500001</v>
      </c>
      <c r="V144">
        <v>191.77328740002099</v>
      </c>
      <c r="W144">
        <v>191.783543500001</v>
      </c>
      <c r="X144">
        <v>192.283478600031</v>
      </c>
      <c r="Y144">
        <v>192.283478600031</v>
      </c>
      <c r="Z144">
        <v>192.283478600031</v>
      </c>
      <c r="AA144">
        <v>192.769896000041</v>
      </c>
      <c r="AB144" t="s">
        <v>50</v>
      </c>
      <c r="AC144">
        <v>1</v>
      </c>
      <c r="AD144">
        <v>0.47273949999362203</v>
      </c>
      <c r="AE144" t="s">
        <v>51</v>
      </c>
      <c r="AJ144">
        <v>3</v>
      </c>
      <c r="AK144">
        <v>1</v>
      </c>
      <c r="AL144" t="s">
        <v>82</v>
      </c>
      <c r="AM144" t="s">
        <v>43</v>
      </c>
      <c r="AO144" t="s">
        <v>44</v>
      </c>
      <c r="AP144">
        <v>60.124517886762398</v>
      </c>
      <c r="AQ144" t="s">
        <v>83</v>
      </c>
    </row>
    <row r="145" spans="1:43" x14ac:dyDescent="0.3">
      <c r="A145" t="s">
        <v>72</v>
      </c>
      <c r="B145" t="s">
        <v>59</v>
      </c>
      <c r="C145" t="s">
        <v>61</v>
      </c>
      <c r="D145" t="s">
        <v>62</v>
      </c>
      <c r="E145" t="s">
        <v>63</v>
      </c>
      <c r="F145">
        <v>142</v>
      </c>
      <c r="G145">
        <v>2</v>
      </c>
      <c r="H145">
        <v>7</v>
      </c>
      <c r="I145" t="s">
        <v>63</v>
      </c>
      <c r="J145">
        <v>1</v>
      </c>
      <c r="K145">
        <v>0.68490630004089303</v>
      </c>
      <c r="L145" t="s">
        <v>51</v>
      </c>
      <c r="M145">
        <v>7</v>
      </c>
      <c r="N145">
        <v>2</v>
      </c>
      <c r="O145">
        <v>142</v>
      </c>
      <c r="P145">
        <v>8</v>
      </c>
      <c r="Q145">
        <v>192.783318500034</v>
      </c>
      <c r="V145">
        <v>192.77331030002</v>
      </c>
      <c r="W145">
        <v>192.783318500034</v>
      </c>
      <c r="X145">
        <v>193.283382300054</v>
      </c>
      <c r="Y145">
        <v>193.283382300054</v>
      </c>
      <c r="Z145">
        <v>193.283382300054</v>
      </c>
      <c r="AA145">
        <v>193.97168080002299</v>
      </c>
      <c r="AB145" t="s">
        <v>63</v>
      </c>
      <c r="AC145">
        <v>1</v>
      </c>
      <c r="AD145">
        <v>0.68490630004089303</v>
      </c>
      <c r="AE145" t="s">
        <v>51</v>
      </c>
      <c r="AJ145">
        <v>3</v>
      </c>
      <c r="AK145">
        <v>1</v>
      </c>
      <c r="AL145" t="s">
        <v>82</v>
      </c>
      <c r="AM145" t="s">
        <v>43</v>
      </c>
      <c r="AO145" t="s">
        <v>44</v>
      </c>
      <c r="AP145">
        <v>60.124517886762398</v>
      </c>
      <c r="AQ145" t="s">
        <v>83</v>
      </c>
    </row>
    <row r="146" spans="1:43" x14ac:dyDescent="0.3">
      <c r="A146" t="s">
        <v>74</v>
      </c>
      <c r="B146" t="s">
        <v>47</v>
      </c>
      <c r="C146" t="s">
        <v>48</v>
      </c>
      <c r="D146" t="s">
        <v>49</v>
      </c>
      <c r="E146" t="s">
        <v>50</v>
      </c>
      <c r="F146">
        <v>143</v>
      </c>
      <c r="G146">
        <v>3</v>
      </c>
      <c r="H146">
        <v>7</v>
      </c>
      <c r="I146" t="s">
        <v>50</v>
      </c>
      <c r="J146">
        <v>1</v>
      </c>
      <c r="K146">
        <v>0.82329950004350305</v>
      </c>
      <c r="L146" t="s">
        <v>51</v>
      </c>
      <c r="M146">
        <v>7</v>
      </c>
      <c r="N146">
        <v>3</v>
      </c>
      <c r="O146">
        <v>143</v>
      </c>
      <c r="P146">
        <v>11</v>
      </c>
      <c r="Q146">
        <v>193.99884050001799</v>
      </c>
      <c r="V146">
        <v>193.976286500052</v>
      </c>
      <c r="W146">
        <v>193.99884050001799</v>
      </c>
      <c r="X146">
        <v>194.483307800022</v>
      </c>
      <c r="Y146">
        <v>194.483307800022</v>
      </c>
      <c r="Z146">
        <v>194.483307800022</v>
      </c>
      <c r="AA146">
        <v>195.32108660001501</v>
      </c>
      <c r="AB146" t="s">
        <v>50</v>
      </c>
      <c r="AC146">
        <v>1</v>
      </c>
      <c r="AD146">
        <v>0.82329950004350305</v>
      </c>
      <c r="AE146" t="s">
        <v>51</v>
      </c>
      <c r="AJ146">
        <v>3</v>
      </c>
      <c r="AK146">
        <v>1</v>
      </c>
      <c r="AL146" t="s">
        <v>82</v>
      </c>
      <c r="AM146" t="s">
        <v>43</v>
      </c>
      <c r="AO146" t="s">
        <v>44</v>
      </c>
      <c r="AP146">
        <v>60.124517886762398</v>
      </c>
      <c r="AQ146" t="s">
        <v>83</v>
      </c>
    </row>
    <row r="147" spans="1:43" x14ac:dyDescent="0.3">
      <c r="A147" t="s">
        <v>78</v>
      </c>
      <c r="B147" t="s">
        <v>47</v>
      </c>
      <c r="C147" t="s">
        <v>56</v>
      </c>
      <c r="D147" t="s">
        <v>49</v>
      </c>
      <c r="E147" t="s">
        <v>57</v>
      </c>
      <c r="F147">
        <v>144</v>
      </c>
      <c r="G147">
        <v>4</v>
      </c>
      <c r="H147">
        <v>7</v>
      </c>
      <c r="I147" t="s">
        <v>57</v>
      </c>
      <c r="J147">
        <v>1</v>
      </c>
      <c r="K147">
        <v>0.730286500009242</v>
      </c>
      <c r="L147" t="s">
        <v>51</v>
      </c>
      <c r="M147">
        <v>7</v>
      </c>
      <c r="N147">
        <v>4</v>
      </c>
      <c r="O147">
        <v>144</v>
      </c>
      <c r="P147">
        <v>17</v>
      </c>
      <c r="Q147">
        <v>195.333017600001</v>
      </c>
      <c r="V147">
        <v>195.32471850002099</v>
      </c>
      <c r="W147">
        <v>195.333017600001</v>
      </c>
      <c r="X147">
        <v>195.83289170003201</v>
      </c>
      <c r="Y147">
        <v>195.83289170003201</v>
      </c>
      <c r="Z147">
        <v>195.83289170003201</v>
      </c>
      <c r="AA147">
        <v>196.571837000024</v>
      </c>
      <c r="AB147" t="s">
        <v>57</v>
      </c>
      <c r="AC147">
        <v>1</v>
      </c>
      <c r="AD147">
        <v>0.730286500009242</v>
      </c>
      <c r="AE147" t="s">
        <v>51</v>
      </c>
      <c r="AJ147">
        <v>3</v>
      </c>
      <c r="AK147">
        <v>1</v>
      </c>
      <c r="AL147" t="s">
        <v>82</v>
      </c>
      <c r="AM147" t="s">
        <v>43</v>
      </c>
      <c r="AO147" t="s">
        <v>44</v>
      </c>
      <c r="AP147">
        <v>60.124517886762398</v>
      </c>
      <c r="AQ147" t="s">
        <v>83</v>
      </c>
    </row>
    <row r="148" spans="1:43" x14ac:dyDescent="0.3">
      <c r="A148" t="s">
        <v>65</v>
      </c>
      <c r="B148" t="s">
        <v>59</v>
      </c>
      <c r="C148" t="s">
        <v>56</v>
      </c>
      <c r="D148" t="s">
        <v>49</v>
      </c>
      <c r="E148" t="s">
        <v>57</v>
      </c>
      <c r="F148">
        <v>145</v>
      </c>
      <c r="G148">
        <v>5</v>
      </c>
      <c r="H148">
        <v>7</v>
      </c>
      <c r="I148" t="s">
        <v>57</v>
      </c>
      <c r="J148">
        <v>1</v>
      </c>
      <c r="K148">
        <v>0.44067300000460802</v>
      </c>
      <c r="L148" t="s">
        <v>51</v>
      </c>
      <c r="M148">
        <v>7</v>
      </c>
      <c r="N148">
        <v>5</v>
      </c>
      <c r="O148">
        <v>145</v>
      </c>
      <c r="P148">
        <v>9</v>
      </c>
      <c r="Q148">
        <v>196.59947510005401</v>
      </c>
      <c r="V148">
        <v>196.57677169999801</v>
      </c>
      <c r="W148">
        <v>196.59947510005401</v>
      </c>
      <c r="X148">
        <v>197.08194140001399</v>
      </c>
      <c r="Y148">
        <v>197.08194140001399</v>
      </c>
      <c r="Z148">
        <v>197.08194140001399</v>
      </c>
      <c r="AA148">
        <v>197.535842500044</v>
      </c>
      <c r="AB148" t="s">
        <v>57</v>
      </c>
      <c r="AC148">
        <v>1</v>
      </c>
      <c r="AD148">
        <v>0.44067300000460802</v>
      </c>
      <c r="AE148" t="s">
        <v>51</v>
      </c>
      <c r="AJ148">
        <v>3</v>
      </c>
      <c r="AK148">
        <v>1</v>
      </c>
      <c r="AL148" t="s">
        <v>82</v>
      </c>
      <c r="AM148" t="s">
        <v>43</v>
      </c>
      <c r="AO148" t="s">
        <v>44</v>
      </c>
      <c r="AP148">
        <v>60.124517886762398</v>
      </c>
      <c r="AQ148" t="s">
        <v>83</v>
      </c>
    </row>
    <row r="149" spans="1:43" x14ac:dyDescent="0.3">
      <c r="A149" t="s">
        <v>64</v>
      </c>
      <c r="B149" t="s">
        <v>47</v>
      </c>
      <c r="C149" t="s">
        <v>53</v>
      </c>
      <c r="D149" t="s">
        <v>49</v>
      </c>
      <c r="E149" t="s">
        <v>54</v>
      </c>
      <c r="F149">
        <v>146</v>
      </c>
      <c r="G149">
        <v>6</v>
      </c>
      <c r="H149">
        <v>7</v>
      </c>
      <c r="I149" t="s">
        <v>54</v>
      </c>
      <c r="J149">
        <v>1</v>
      </c>
      <c r="K149">
        <v>0.89186480001080704</v>
      </c>
      <c r="L149" t="s">
        <v>51</v>
      </c>
      <c r="M149">
        <v>7</v>
      </c>
      <c r="N149">
        <v>6</v>
      </c>
      <c r="O149">
        <v>146</v>
      </c>
      <c r="P149">
        <v>18</v>
      </c>
      <c r="Q149">
        <v>197.54902710003</v>
      </c>
      <c r="V149">
        <v>197.538217300025</v>
      </c>
      <c r="W149">
        <v>197.54902710003</v>
      </c>
      <c r="X149">
        <v>198.04857290000601</v>
      </c>
      <c r="Y149">
        <v>198.04857290000601</v>
      </c>
      <c r="Z149">
        <v>198.04857290000601</v>
      </c>
      <c r="AA149">
        <v>198.95416750002099</v>
      </c>
      <c r="AB149" t="s">
        <v>54</v>
      </c>
      <c r="AC149">
        <v>1</v>
      </c>
      <c r="AD149">
        <v>0.89186480001080704</v>
      </c>
      <c r="AE149" t="s">
        <v>51</v>
      </c>
      <c r="AJ149">
        <v>3</v>
      </c>
      <c r="AK149">
        <v>1</v>
      </c>
      <c r="AL149" t="s">
        <v>82</v>
      </c>
      <c r="AM149" t="s">
        <v>43</v>
      </c>
      <c r="AO149" t="s">
        <v>44</v>
      </c>
      <c r="AP149">
        <v>60.124517886762398</v>
      </c>
      <c r="AQ149" t="s">
        <v>83</v>
      </c>
    </row>
    <row r="150" spans="1:43" x14ac:dyDescent="0.3">
      <c r="A150" t="s">
        <v>66</v>
      </c>
      <c r="B150" t="s">
        <v>47</v>
      </c>
      <c r="C150" t="s">
        <v>61</v>
      </c>
      <c r="D150" t="s">
        <v>49</v>
      </c>
      <c r="E150" t="s">
        <v>63</v>
      </c>
      <c r="F150">
        <v>147</v>
      </c>
      <c r="G150">
        <v>7</v>
      </c>
      <c r="H150">
        <v>7</v>
      </c>
      <c r="I150" t="s">
        <v>63</v>
      </c>
      <c r="J150">
        <v>1</v>
      </c>
      <c r="K150">
        <v>0.73186890000943094</v>
      </c>
      <c r="L150" t="s">
        <v>51</v>
      </c>
      <c r="M150">
        <v>7</v>
      </c>
      <c r="N150">
        <v>7</v>
      </c>
      <c r="O150">
        <v>147</v>
      </c>
      <c r="P150">
        <v>12</v>
      </c>
      <c r="Q150">
        <v>198.96650890004801</v>
      </c>
      <c r="V150">
        <v>198.95707750000199</v>
      </c>
      <c r="W150">
        <v>198.96650890004801</v>
      </c>
      <c r="X150">
        <v>199.465429900039</v>
      </c>
      <c r="Y150">
        <v>199.465429900039</v>
      </c>
      <c r="Z150">
        <v>199.465429900039</v>
      </c>
      <c r="AA150">
        <v>200.20274880004499</v>
      </c>
      <c r="AB150" t="s">
        <v>63</v>
      </c>
      <c r="AC150">
        <v>1</v>
      </c>
      <c r="AD150">
        <v>0.73186890000943094</v>
      </c>
      <c r="AE150" t="s">
        <v>51</v>
      </c>
      <c r="AJ150">
        <v>3</v>
      </c>
      <c r="AK150">
        <v>1</v>
      </c>
      <c r="AL150" t="s">
        <v>82</v>
      </c>
      <c r="AM150" t="s">
        <v>43</v>
      </c>
      <c r="AO150" t="s">
        <v>44</v>
      </c>
      <c r="AP150">
        <v>60.124517886762398</v>
      </c>
      <c r="AQ150" t="s">
        <v>83</v>
      </c>
    </row>
    <row r="151" spans="1:43" x14ac:dyDescent="0.3">
      <c r="A151" t="s">
        <v>76</v>
      </c>
      <c r="B151" t="s">
        <v>59</v>
      </c>
      <c r="C151" t="s">
        <v>48</v>
      </c>
      <c r="D151" t="s">
        <v>49</v>
      </c>
      <c r="E151" t="s">
        <v>50</v>
      </c>
      <c r="F151">
        <v>148</v>
      </c>
      <c r="G151">
        <v>8</v>
      </c>
      <c r="H151">
        <v>7</v>
      </c>
      <c r="I151" t="s">
        <v>50</v>
      </c>
      <c r="J151">
        <v>1</v>
      </c>
      <c r="K151">
        <v>0.76266629999736302</v>
      </c>
      <c r="L151" t="s">
        <v>51</v>
      </c>
      <c r="M151">
        <v>7</v>
      </c>
      <c r="N151">
        <v>8</v>
      </c>
      <c r="O151">
        <v>148</v>
      </c>
      <c r="P151">
        <v>3</v>
      </c>
      <c r="Q151">
        <v>200.216683000035</v>
      </c>
      <c r="V151">
        <v>200.20523620001001</v>
      </c>
      <c r="W151">
        <v>200.216683000035</v>
      </c>
      <c r="X151">
        <v>200.71632800000901</v>
      </c>
      <c r="Y151">
        <v>200.71632800000901</v>
      </c>
      <c r="Z151">
        <v>200.71632800000901</v>
      </c>
      <c r="AA151">
        <v>201.487485999998</v>
      </c>
      <c r="AB151" t="s">
        <v>50</v>
      </c>
      <c r="AC151">
        <v>1</v>
      </c>
      <c r="AD151">
        <v>0.76266629999736302</v>
      </c>
      <c r="AE151" t="s">
        <v>51</v>
      </c>
      <c r="AJ151">
        <v>3</v>
      </c>
      <c r="AK151">
        <v>1</v>
      </c>
      <c r="AL151" t="s">
        <v>82</v>
      </c>
      <c r="AM151" t="s">
        <v>43</v>
      </c>
      <c r="AO151" t="s">
        <v>44</v>
      </c>
      <c r="AP151">
        <v>60.124517886762398</v>
      </c>
      <c r="AQ151" t="s">
        <v>83</v>
      </c>
    </row>
    <row r="152" spans="1:43" x14ac:dyDescent="0.3">
      <c r="A152" t="s">
        <v>75</v>
      </c>
      <c r="B152" t="s">
        <v>47</v>
      </c>
      <c r="C152" t="s">
        <v>61</v>
      </c>
      <c r="D152" t="s">
        <v>49</v>
      </c>
      <c r="E152" t="s">
        <v>63</v>
      </c>
      <c r="F152">
        <v>149</v>
      </c>
      <c r="G152">
        <v>9</v>
      </c>
      <c r="H152">
        <v>7</v>
      </c>
      <c r="I152" t="s">
        <v>63</v>
      </c>
      <c r="J152">
        <v>1</v>
      </c>
      <c r="K152">
        <v>1.00724290002835</v>
      </c>
      <c r="L152" t="s">
        <v>51</v>
      </c>
      <c r="M152">
        <v>7</v>
      </c>
      <c r="N152">
        <v>9</v>
      </c>
      <c r="O152">
        <v>149</v>
      </c>
      <c r="P152">
        <v>16</v>
      </c>
      <c r="Q152">
        <v>201.49997290002599</v>
      </c>
      <c r="V152">
        <v>201.490161599998</v>
      </c>
      <c r="W152">
        <v>201.49997290002599</v>
      </c>
      <c r="X152">
        <v>202.00017820001801</v>
      </c>
      <c r="Y152">
        <v>202.00017820001801</v>
      </c>
      <c r="Z152">
        <v>202.00017820001801</v>
      </c>
      <c r="AA152">
        <v>203.02129540004501</v>
      </c>
      <c r="AB152" t="s">
        <v>63</v>
      </c>
      <c r="AC152">
        <v>1</v>
      </c>
      <c r="AD152">
        <v>1.00724290002835</v>
      </c>
      <c r="AE152" t="s">
        <v>51</v>
      </c>
      <c r="AJ152">
        <v>3</v>
      </c>
      <c r="AK152">
        <v>1</v>
      </c>
      <c r="AL152" t="s">
        <v>82</v>
      </c>
      <c r="AM152" t="s">
        <v>43</v>
      </c>
      <c r="AO152" t="s">
        <v>44</v>
      </c>
      <c r="AP152">
        <v>60.124517886762398</v>
      </c>
      <c r="AQ152" t="s">
        <v>83</v>
      </c>
    </row>
    <row r="153" spans="1:43" x14ac:dyDescent="0.3">
      <c r="A153" t="s">
        <v>73</v>
      </c>
      <c r="B153" t="s">
        <v>59</v>
      </c>
      <c r="C153" t="s">
        <v>56</v>
      </c>
      <c r="D153" t="s">
        <v>49</v>
      </c>
      <c r="E153" t="s">
        <v>57</v>
      </c>
      <c r="F153">
        <v>150</v>
      </c>
      <c r="G153">
        <v>10</v>
      </c>
      <c r="H153">
        <v>7</v>
      </c>
      <c r="I153" t="s">
        <v>57</v>
      </c>
      <c r="J153">
        <v>1</v>
      </c>
      <c r="K153">
        <v>0.67992859997320898</v>
      </c>
      <c r="L153" t="s">
        <v>51</v>
      </c>
      <c r="M153">
        <v>7</v>
      </c>
      <c r="N153">
        <v>10</v>
      </c>
      <c r="O153">
        <v>150</v>
      </c>
      <c r="P153">
        <v>1</v>
      </c>
      <c r="Q153">
        <v>203.03275790001399</v>
      </c>
      <c r="V153">
        <v>203.024336400034</v>
      </c>
      <c r="W153">
        <v>203.03275790001399</v>
      </c>
      <c r="X153">
        <v>203.532705900026</v>
      </c>
      <c r="Y153">
        <v>203.532705900026</v>
      </c>
      <c r="Z153">
        <v>203.532705900026</v>
      </c>
      <c r="AA153">
        <v>204.220770000014</v>
      </c>
      <c r="AB153" t="s">
        <v>57</v>
      </c>
      <c r="AC153">
        <v>1</v>
      </c>
      <c r="AD153">
        <v>0.67992859997320898</v>
      </c>
      <c r="AE153" t="s">
        <v>51</v>
      </c>
      <c r="AJ153">
        <v>3</v>
      </c>
      <c r="AK153">
        <v>1</v>
      </c>
      <c r="AL153" t="s">
        <v>82</v>
      </c>
      <c r="AM153" t="s">
        <v>43</v>
      </c>
      <c r="AO153" t="s">
        <v>44</v>
      </c>
      <c r="AP153">
        <v>60.124517886762398</v>
      </c>
      <c r="AQ153" t="s">
        <v>83</v>
      </c>
    </row>
    <row r="154" spans="1:43" x14ac:dyDescent="0.3">
      <c r="A154" t="s">
        <v>55</v>
      </c>
      <c r="B154" t="s">
        <v>47</v>
      </c>
      <c r="C154" t="s">
        <v>56</v>
      </c>
      <c r="D154" t="s">
        <v>49</v>
      </c>
      <c r="E154" t="s">
        <v>57</v>
      </c>
      <c r="F154">
        <v>151</v>
      </c>
      <c r="G154">
        <v>11</v>
      </c>
      <c r="H154">
        <v>7</v>
      </c>
      <c r="I154" t="s">
        <v>57</v>
      </c>
      <c r="J154">
        <v>1</v>
      </c>
      <c r="K154">
        <v>0.47393770003691299</v>
      </c>
      <c r="L154" t="s">
        <v>51</v>
      </c>
      <c r="M154">
        <v>7</v>
      </c>
      <c r="N154">
        <v>11</v>
      </c>
      <c r="O154">
        <v>151</v>
      </c>
      <c r="P154">
        <v>13</v>
      </c>
      <c r="Q154">
        <v>204.233007900009</v>
      </c>
      <c r="V154">
        <v>204.22421000001401</v>
      </c>
      <c r="W154">
        <v>204.233007900009</v>
      </c>
      <c r="X154">
        <v>204.734944500029</v>
      </c>
      <c r="Y154">
        <v>204.734944500029</v>
      </c>
      <c r="Z154">
        <v>204.734944500029</v>
      </c>
      <c r="AA154">
        <v>205.218970000045</v>
      </c>
      <c r="AB154" t="s">
        <v>57</v>
      </c>
      <c r="AC154">
        <v>1</v>
      </c>
      <c r="AD154">
        <v>0.47393770003691299</v>
      </c>
      <c r="AE154" t="s">
        <v>51</v>
      </c>
      <c r="AJ154">
        <v>3</v>
      </c>
      <c r="AK154">
        <v>1</v>
      </c>
      <c r="AL154" t="s">
        <v>82</v>
      </c>
      <c r="AM154" t="s">
        <v>43</v>
      </c>
      <c r="AO154" t="s">
        <v>44</v>
      </c>
      <c r="AP154">
        <v>60.124517886762398</v>
      </c>
      <c r="AQ154" t="s">
        <v>83</v>
      </c>
    </row>
    <row r="155" spans="1:43" x14ac:dyDescent="0.3">
      <c r="A155" t="s">
        <v>67</v>
      </c>
      <c r="B155" t="s">
        <v>47</v>
      </c>
      <c r="C155" t="s">
        <v>53</v>
      </c>
      <c r="D155" t="s">
        <v>49</v>
      </c>
      <c r="E155" t="s">
        <v>54</v>
      </c>
      <c r="F155">
        <v>152</v>
      </c>
      <c r="G155">
        <v>12</v>
      </c>
      <c r="H155">
        <v>7</v>
      </c>
      <c r="I155" t="s">
        <v>50</v>
      </c>
      <c r="J155">
        <v>0</v>
      </c>
      <c r="K155">
        <v>0.54135270003462199</v>
      </c>
      <c r="L155" t="s">
        <v>51</v>
      </c>
      <c r="M155">
        <v>7</v>
      </c>
      <c r="N155">
        <v>12</v>
      </c>
      <c r="O155">
        <v>152</v>
      </c>
      <c r="P155">
        <v>10</v>
      </c>
      <c r="Q155">
        <v>205.23250660003299</v>
      </c>
      <c r="V155">
        <v>205.22170380002299</v>
      </c>
      <c r="W155">
        <v>205.23250660003299</v>
      </c>
      <c r="X155">
        <v>205.73154480004399</v>
      </c>
      <c r="Y155">
        <v>205.73154480004399</v>
      </c>
      <c r="Z155">
        <v>205.73154480004399</v>
      </c>
      <c r="AA155">
        <v>206.284734400047</v>
      </c>
      <c r="AB155" t="s">
        <v>50</v>
      </c>
      <c r="AC155">
        <v>0</v>
      </c>
      <c r="AD155">
        <v>0.54135270003462199</v>
      </c>
      <c r="AE155" t="s">
        <v>51</v>
      </c>
      <c r="AJ155">
        <v>3</v>
      </c>
      <c r="AK155">
        <v>1</v>
      </c>
      <c r="AL155" t="s">
        <v>82</v>
      </c>
      <c r="AM155" t="s">
        <v>43</v>
      </c>
      <c r="AO155" t="s">
        <v>44</v>
      </c>
      <c r="AP155">
        <v>60.124517886762398</v>
      </c>
      <c r="AQ155" t="s">
        <v>83</v>
      </c>
    </row>
    <row r="156" spans="1:43" x14ac:dyDescent="0.3">
      <c r="A156" t="s">
        <v>52</v>
      </c>
      <c r="B156" t="s">
        <v>47</v>
      </c>
      <c r="C156" t="s">
        <v>53</v>
      </c>
      <c r="D156" t="s">
        <v>49</v>
      </c>
      <c r="E156" t="s">
        <v>54</v>
      </c>
      <c r="F156">
        <v>153</v>
      </c>
      <c r="G156">
        <v>13</v>
      </c>
      <c r="H156">
        <v>7</v>
      </c>
      <c r="I156" t="s">
        <v>54</v>
      </c>
      <c r="J156">
        <v>1</v>
      </c>
      <c r="K156">
        <v>0.75118510000174799</v>
      </c>
      <c r="L156" t="s">
        <v>51</v>
      </c>
      <c r="M156">
        <v>7</v>
      </c>
      <c r="N156">
        <v>13</v>
      </c>
      <c r="O156">
        <v>153</v>
      </c>
      <c r="P156">
        <v>14</v>
      </c>
      <c r="Q156">
        <v>206.298641300003</v>
      </c>
      <c r="V156">
        <v>206.28721520002</v>
      </c>
      <c r="W156">
        <v>206.298641300003</v>
      </c>
      <c r="X156">
        <v>206.798440900049</v>
      </c>
      <c r="Y156">
        <v>206.798440900049</v>
      </c>
      <c r="Z156">
        <v>206.798440900049</v>
      </c>
      <c r="AA156">
        <v>207.55276889999999</v>
      </c>
      <c r="AB156" t="s">
        <v>54</v>
      </c>
      <c r="AC156">
        <v>1</v>
      </c>
      <c r="AD156">
        <v>0.75118510000174799</v>
      </c>
      <c r="AE156" t="s">
        <v>51</v>
      </c>
      <c r="AJ156">
        <v>3</v>
      </c>
      <c r="AK156">
        <v>1</v>
      </c>
      <c r="AL156" t="s">
        <v>82</v>
      </c>
      <c r="AM156" t="s">
        <v>43</v>
      </c>
      <c r="AO156" t="s">
        <v>44</v>
      </c>
      <c r="AP156">
        <v>60.124517886762398</v>
      </c>
      <c r="AQ156" t="s">
        <v>83</v>
      </c>
    </row>
    <row r="157" spans="1:43" x14ac:dyDescent="0.3">
      <c r="A157" t="s">
        <v>68</v>
      </c>
      <c r="B157" t="s">
        <v>59</v>
      </c>
      <c r="C157" t="s">
        <v>53</v>
      </c>
      <c r="D157" t="s">
        <v>49</v>
      </c>
      <c r="E157" t="s">
        <v>54</v>
      </c>
      <c r="F157">
        <v>154</v>
      </c>
      <c r="G157">
        <v>14</v>
      </c>
      <c r="H157">
        <v>7</v>
      </c>
      <c r="I157" t="s">
        <v>54</v>
      </c>
      <c r="J157">
        <v>1</v>
      </c>
      <c r="K157">
        <v>0.50998069997876805</v>
      </c>
      <c r="L157" t="s">
        <v>51</v>
      </c>
      <c r="M157">
        <v>7</v>
      </c>
      <c r="N157">
        <v>14</v>
      </c>
      <c r="O157">
        <v>154</v>
      </c>
      <c r="P157">
        <v>6</v>
      </c>
      <c r="Q157">
        <v>207.56542920000999</v>
      </c>
      <c r="V157">
        <v>207.555354800017</v>
      </c>
      <c r="W157">
        <v>207.56542920000999</v>
      </c>
      <c r="X157">
        <v>208.06484590005101</v>
      </c>
      <c r="Y157">
        <v>208.06484590005101</v>
      </c>
      <c r="Z157">
        <v>208.06484590005101</v>
      </c>
      <c r="AA157">
        <v>208.584750700043</v>
      </c>
      <c r="AB157" t="s">
        <v>54</v>
      </c>
      <c r="AC157">
        <v>1</v>
      </c>
      <c r="AD157">
        <v>0.50998069997876805</v>
      </c>
      <c r="AE157" t="s">
        <v>51</v>
      </c>
      <c r="AJ157">
        <v>3</v>
      </c>
      <c r="AK157">
        <v>1</v>
      </c>
      <c r="AL157" t="s">
        <v>82</v>
      </c>
      <c r="AM157" t="s">
        <v>43</v>
      </c>
      <c r="AO157" t="s">
        <v>44</v>
      </c>
      <c r="AP157">
        <v>60.124517886762398</v>
      </c>
      <c r="AQ157" t="s">
        <v>83</v>
      </c>
    </row>
    <row r="158" spans="1:43" x14ac:dyDescent="0.3">
      <c r="A158" t="s">
        <v>60</v>
      </c>
      <c r="B158" t="s">
        <v>59</v>
      </c>
      <c r="C158" t="s">
        <v>61</v>
      </c>
      <c r="D158" t="s">
        <v>62</v>
      </c>
      <c r="E158" t="s">
        <v>63</v>
      </c>
      <c r="F158">
        <v>155</v>
      </c>
      <c r="G158">
        <v>15</v>
      </c>
      <c r="H158">
        <v>7</v>
      </c>
      <c r="I158" t="s">
        <v>63</v>
      </c>
      <c r="J158">
        <v>1</v>
      </c>
      <c r="K158">
        <v>0.810545199958141</v>
      </c>
      <c r="L158" t="s">
        <v>51</v>
      </c>
      <c r="M158">
        <v>7</v>
      </c>
      <c r="N158">
        <v>15</v>
      </c>
      <c r="O158">
        <v>155</v>
      </c>
      <c r="P158">
        <v>0</v>
      </c>
      <c r="Q158">
        <v>208.598186500021</v>
      </c>
      <c r="V158">
        <v>208.58680370001801</v>
      </c>
      <c r="W158">
        <v>208.598186500021</v>
      </c>
      <c r="X158">
        <v>209.09832450002401</v>
      </c>
      <c r="Y158">
        <v>209.09832450002401</v>
      </c>
      <c r="Z158">
        <v>209.09832450002401</v>
      </c>
      <c r="AA158">
        <v>209.91778710001299</v>
      </c>
      <c r="AB158" t="s">
        <v>63</v>
      </c>
      <c r="AC158">
        <v>1</v>
      </c>
      <c r="AD158">
        <v>0.810545199958141</v>
      </c>
      <c r="AE158" t="s">
        <v>51</v>
      </c>
      <c r="AJ158">
        <v>3</v>
      </c>
      <c r="AK158">
        <v>1</v>
      </c>
      <c r="AL158" t="s">
        <v>82</v>
      </c>
      <c r="AM158" t="s">
        <v>43</v>
      </c>
      <c r="AO158" t="s">
        <v>44</v>
      </c>
      <c r="AP158">
        <v>60.124517886762398</v>
      </c>
      <c r="AQ158" t="s">
        <v>83</v>
      </c>
    </row>
    <row r="159" spans="1:43" x14ac:dyDescent="0.3">
      <c r="A159" t="s">
        <v>77</v>
      </c>
      <c r="B159" t="s">
        <v>59</v>
      </c>
      <c r="C159" t="s">
        <v>61</v>
      </c>
      <c r="D159" t="s">
        <v>62</v>
      </c>
      <c r="E159" t="s">
        <v>63</v>
      </c>
      <c r="F159">
        <v>156</v>
      </c>
      <c r="G159">
        <v>16</v>
      </c>
      <c r="H159">
        <v>7</v>
      </c>
      <c r="I159" t="s">
        <v>63</v>
      </c>
      <c r="J159">
        <v>1</v>
      </c>
      <c r="K159">
        <v>0.402098899998236</v>
      </c>
      <c r="L159" t="s">
        <v>51</v>
      </c>
      <c r="M159">
        <v>7</v>
      </c>
      <c r="N159">
        <v>16</v>
      </c>
      <c r="O159">
        <v>156</v>
      </c>
      <c r="P159">
        <v>4</v>
      </c>
      <c r="Q159">
        <v>209.931424900016</v>
      </c>
      <c r="V159">
        <v>209.92025080003</v>
      </c>
      <c r="W159">
        <v>209.931424900016</v>
      </c>
      <c r="X159">
        <v>210.43095639999899</v>
      </c>
      <c r="Y159">
        <v>210.43095639999899</v>
      </c>
      <c r="Z159">
        <v>210.43095639999899</v>
      </c>
      <c r="AA159">
        <v>210.83559329999801</v>
      </c>
      <c r="AB159" t="s">
        <v>63</v>
      </c>
      <c r="AC159">
        <v>1</v>
      </c>
      <c r="AD159">
        <v>0.402098899998236</v>
      </c>
      <c r="AE159" t="s">
        <v>51</v>
      </c>
      <c r="AJ159">
        <v>3</v>
      </c>
      <c r="AK159">
        <v>1</v>
      </c>
      <c r="AL159" t="s">
        <v>82</v>
      </c>
      <c r="AM159" t="s">
        <v>43</v>
      </c>
      <c r="AO159" t="s">
        <v>44</v>
      </c>
      <c r="AP159">
        <v>60.124517886762398</v>
      </c>
      <c r="AQ159" t="s">
        <v>83</v>
      </c>
    </row>
    <row r="160" spans="1:43" x14ac:dyDescent="0.3">
      <c r="A160" t="s">
        <v>46</v>
      </c>
      <c r="B160" t="s">
        <v>47</v>
      </c>
      <c r="C160" t="s">
        <v>48</v>
      </c>
      <c r="D160" t="s">
        <v>49</v>
      </c>
      <c r="E160" t="s">
        <v>50</v>
      </c>
      <c r="F160">
        <v>157</v>
      </c>
      <c r="G160">
        <v>17</v>
      </c>
      <c r="H160">
        <v>7</v>
      </c>
      <c r="I160" t="s">
        <v>50</v>
      </c>
      <c r="J160">
        <v>1</v>
      </c>
      <c r="K160">
        <v>0.96874199999729105</v>
      </c>
      <c r="L160" t="s">
        <v>51</v>
      </c>
      <c r="M160">
        <v>7</v>
      </c>
      <c r="N160">
        <v>17</v>
      </c>
      <c r="O160">
        <v>157</v>
      </c>
      <c r="P160">
        <v>19</v>
      </c>
      <c r="Q160">
        <v>210.84842410002599</v>
      </c>
      <c r="V160">
        <v>210.83843980001899</v>
      </c>
      <c r="W160">
        <v>210.84842410002599</v>
      </c>
      <c r="X160">
        <v>211.34861610003199</v>
      </c>
      <c r="Y160">
        <v>211.34861610003199</v>
      </c>
      <c r="Z160">
        <v>211.34861610003199</v>
      </c>
      <c r="AA160">
        <v>212.32038480002601</v>
      </c>
      <c r="AB160" t="s">
        <v>50</v>
      </c>
      <c r="AC160">
        <v>1</v>
      </c>
      <c r="AD160">
        <v>0.96874199999729105</v>
      </c>
      <c r="AE160" t="s">
        <v>51</v>
      </c>
      <c r="AJ160">
        <v>3</v>
      </c>
      <c r="AK160">
        <v>1</v>
      </c>
      <c r="AL160" t="s">
        <v>82</v>
      </c>
      <c r="AM160" t="s">
        <v>43</v>
      </c>
      <c r="AO160" t="s">
        <v>44</v>
      </c>
      <c r="AP160">
        <v>60.124517886762398</v>
      </c>
      <c r="AQ160" t="s">
        <v>83</v>
      </c>
    </row>
    <row r="161" spans="1:43" x14ac:dyDescent="0.3">
      <c r="A161" t="s">
        <v>70</v>
      </c>
      <c r="B161" t="s">
        <v>59</v>
      </c>
      <c r="C161" t="s">
        <v>53</v>
      </c>
      <c r="D161" t="s">
        <v>49</v>
      </c>
      <c r="E161" t="s">
        <v>54</v>
      </c>
      <c r="F161">
        <v>158</v>
      </c>
      <c r="G161">
        <v>18</v>
      </c>
      <c r="H161">
        <v>7</v>
      </c>
      <c r="I161" t="s">
        <v>54</v>
      </c>
      <c r="J161">
        <v>1</v>
      </c>
      <c r="K161">
        <v>0.71844319999217898</v>
      </c>
      <c r="L161" t="s">
        <v>51</v>
      </c>
      <c r="M161">
        <v>7</v>
      </c>
      <c r="N161">
        <v>18</v>
      </c>
      <c r="O161">
        <v>158</v>
      </c>
      <c r="P161">
        <v>2</v>
      </c>
      <c r="Q161">
        <v>212.332257400034</v>
      </c>
      <c r="V161">
        <v>212.32334470003801</v>
      </c>
      <c r="W161">
        <v>212.332257400034</v>
      </c>
      <c r="X161">
        <v>212.83251180005001</v>
      </c>
      <c r="Y161">
        <v>212.83251180005001</v>
      </c>
      <c r="Z161">
        <v>212.83251180005001</v>
      </c>
      <c r="AA161">
        <v>213.552184900036</v>
      </c>
      <c r="AB161" t="s">
        <v>54</v>
      </c>
      <c r="AC161">
        <v>1</v>
      </c>
      <c r="AD161">
        <v>0.71844319999217898</v>
      </c>
      <c r="AE161" t="s">
        <v>51</v>
      </c>
      <c r="AJ161">
        <v>3</v>
      </c>
      <c r="AK161">
        <v>1</v>
      </c>
      <c r="AL161" t="s">
        <v>82</v>
      </c>
      <c r="AM161" t="s">
        <v>43</v>
      </c>
      <c r="AO161" t="s">
        <v>44</v>
      </c>
      <c r="AP161">
        <v>60.124517886762398</v>
      </c>
      <c r="AQ161" t="s">
        <v>83</v>
      </c>
    </row>
    <row r="162" spans="1:43" x14ac:dyDescent="0.3">
      <c r="A162" t="s">
        <v>69</v>
      </c>
      <c r="B162" t="s">
        <v>59</v>
      </c>
      <c r="C162" t="s">
        <v>56</v>
      </c>
      <c r="D162" t="s">
        <v>49</v>
      </c>
      <c r="E162" t="s">
        <v>57</v>
      </c>
      <c r="F162">
        <v>159</v>
      </c>
      <c r="G162">
        <v>19</v>
      </c>
      <c r="H162">
        <v>7</v>
      </c>
      <c r="I162" t="s">
        <v>57</v>
      </c>
      <c r="J162">
        <v>1</v>
      </c>
      <c r="K162">
        <v>1.0700016000191599</v>
      </c>
      <c r="L162" t="s">
        <v>51</v>
      </c>
      <c r="M162">
        <v>7</v>
      </c>
      <c r="N162">
        <v>19</v>
      </c>
      <c r="O162">
        <v>159</v>
      </c>
      <c r="P162">
        <v>5</v>
      </c>
      <c r="Q162">
        <v>213.565986000001</v>
      </c>
      <c r="V162">
        <v>213.55526430002601</v>
      </c>
      <c r="W162">
        <v>213.565986000001</v>
      </c>
      <c r="X162">
        <v>214.06576480000501</v>
      </c>
      <c r="Y162">
        <v>214.06576480000501</v>
      </c>
      <c r="Z162">
        <v>214.06576480000501</v>
      </c>
      <c r="AA162">
        <v>215.13682450004799</v>
      </c>
      <c r="AB162" t="s">
        <v>57</v>
      </c>
      <c r="AC162">
        <v>1</v>
      </c>
      <c r="AD162">
        <v>1.0700016000191599</v>
      </c>
      <c r="AE162" t="s">
        <v>51</v>
      </c>
      <c r="AJ162">
        <v>3</v>
      </c>
      <c r="AK162">
        <v>1</v>
      </c>
      <c r="AL162" t="s">
        <v>82</v>
      </c>
      <c r="AM162" t="s">
        <v>43</v>
      </c>
      <c r="AO162" t="s">
        <v>44</v>
      </c>
      <c r="AP162">
        <v>60.124517886762398</v>
      </c>
      <c r="AQ162" t="s">
        <v>83</v>
      </c>
    </row>
    <row r="163" spans="1:43" x14ac:dyDescent="0.3">
      <c r="A163" t="s">
        <v>78</v>
      </c>
      <c r="B163" t="s">
        <v>47</v>
      </c>
      <c r="C163" t="s">
        <v>56</v>
      </c>
      <c r="D163" t="s">
        <v>49</v>
      </c>
      <c r="E163" t="s">
        <v>57</v>
      </c>
      <c r="F163">
        <v>160</v>
      </c>
      <c r="G163">
        <v>0</v>
      </c>
      <c r="H163">
        <v>8</v>
      </c>
      <c r="I163" t="s">
        <v>57</v>
      </c>
      <c r="J163">
        <v>1</v>
      </c>
      <c r="K163">
        <v>0.391185300017241</v>
      </c>
      <c r="L163" t="s">
        <v>51</v>
      </c>
      <c r="M163">
        <v>8</v>
      </c>
      <c r="N163">
        <v>0</v>
      </c>
      <c r="O163">
        <v>160</v>
      </c>
      <c r="P163">
        <v>17</v>
      </c>
      <c r="Q163">
        <v>215.14890359999799</v>
      </c>
      <c r="V163">
        <v>215.13991830003201</v>
      </c>
      <c r="W163">
        <v>215.14890359999799</v>
      </c>
      <c r="X163">
        <v>215.64893920003601</v>
      </c>
      <c r="Y163">
        <v>215.64893920003601</v>
      </c>
      <c r="Z163">
        <v>215.64893920003601</v>
      </c>
      <c r="AA163">
        <v>216.053267900017</v>
      </c>
      <c r="AB163" t="s">
        <v>57</v>
      </c>
      <c r="AC163">
        <v>1</v>
      </c>
      <c r="AD163">
        <v>0.391185300017241</v>
      </c>
      <c r="AE163" t="s">
        <v>51</v>
      </c>
      <c r="AJ163">
        <v>3</v>
      </c>
      <c r="AK163">
        <v>1</v>
      </c>
      <c r="AL163" t="s">
        <v>82</v>
      </c>
      <c r="AM163" t="s">
        <v>43</v>
      </c>
      <c r="AO163" t="s">
        <v>44</v>
      </c>
      <c r="AP163">
        <v>60.124517886762398</v>
      </c>
      <c r="AQ163" t="s">
        <v>83</v>
      </c>
    </row>
    <row r="164" spans="1:43" x14ac:dyDescent="0.3">
      <c r="A164" t="s">
        <v>75</v>
      </c>
      <c r="B164" t="s">
        <v>47</v>
      </c>
      <c r="C164" t="s">
        <v>61</v>
      </c>
      <c r="D164" t="s">
        <v>49</v>
      </c>
      <c r="E164" t="s">
        <v>63</v>
      </c>
      <c r="F164">
        <v>161</v>
      </c>
      <c r="G164">
        <v>1</v>
      </c>
      <c r="H164">
        <v>8</v>
      </c>
      <c r="I164" t="s">
        <v>63</v>
      </c>
      <c r="J164">
        <v>1</v>
      </c>
      <c r="K164">
        <v>0.52599509997526095</v>
      </c>
      <c r="L164" t="s">
        <v>51</v>
      </c>
      <c r="M164">
        <v>8</v>
      </c>
      <c r="N164">
        <v>1</v>
      </c>
      <c r="O164">
        <v>161</v>
      </c>
      <c r="P164">
        <v>16</v>
      </c>
      <c r="Q164">
        <v>216.06542160001101</v>
      </c>
      <c r="V164">
        <v>216.05686160002301</v>
      </c>
      <c r="W164">
        <v>216.06542160001101</v>
      </c>
      <c r="X164">
        <v>216.56565490004101</v>
      </c>
      <c r="Y164">
        <v>216.56565490004101</v>
      </c>
      <c r="Z164">
        <v>216.56565490004101</v>
      </c>
      <c r="AA164">
        <v>217.10371080000101</v>
      </c>
      <c r="AB164" t="s">
        <v>63</v>
      </c>
      <c r="AC164">
        <v>1</v>
      </c>
      <c r="AD164">
        <v>0.52599509997526095</v>
      </c>
      <c r="AE164" t="s">
        <v>51</v>
      </c>
      <c r="AJ164">
        <v>3</v>
      </c>
      <c r="AK164">
        <v>1</v>
      </c>
      <c r="AL164" t="s">
        <v>82</v>
      </c>
      <c r="AM164" t="s">
        <v>43</v>
      </c>
      <c r="AO164" t="s">
        <v>44</v>
      </c>
      <c r="AP164">
        <v>60.124517886762398</v>
      </c>
      <c r="AQ164" t="s">
        <v>83</v>
      </c>
    </row>
    <row r="165" spans="1:43" x14ac:dyDescent="0.3">
      <c r="A165" t="s">
        <v>64</v>
      </c>
      <c r="B165" t="s">
        <v>47</v>
      </c>
      <c r="C165" t="s">
        <v>53</v>
      </c>
      <c r="D165" t="s">
        <v>49</v>
      </c>
      <c r="E165" t="s">
        <v>54</v>
      </c>
      <c r="F165">
        <v>162</v>
      </c>
      <c r="G165">
        <v>2</v>
      </c>
      <c r="H165">
        <v>8</v>
      </c>
      <c r="I165" t="s">
        <v>50</v>
      </c>
      <c r="J165">
        <v>0</v>
      </c>
      <c r="K165">
        <v>0.76261779997730605</v>
      </c>
      <c r="L165" t="s">
        <v>51</v>
      </c>
      <c r="M165">
        <v>8</v>
      </c>
      <c r="N165">
        <v>2</v>
      </c>
      <c r="O165">
        <v>162</v>
      </c>
      <c r="P165">
        <v>18</v>
      </c>
      <c r="Q165">
        <v>217.115425000025</v>
      </c>
      <c r="V165">
        <v>217.106446100049</v>
      </c>
      <c r="W165">
        <v>217.115425000025</v>
      </c>
      <c r="X165">
        <v>217.616027600015</v>
      </c>
      <c r="Y165">
        <v>217.616027600015</v>
      </c>
      <c r="Z165">
        <v>217.616027600015</v>
      </c>
      <c r="AA165">
        <v>218.385607000032</v>
      </c>
      <c r="AB165" t="s">
        <v>50</v>
      </c>
      <c r="AC165">
        <v>0</v>
      </c>
      <c r="AD165">
        <v>0.76261779997730605</v>
      </c>
      <c r="AE165" t="s">
        <v>51</v>
      </c>
      <c r="AJ165">
        <v>3</v>
      </c>
      <c r="AK165">
        <v>1</v>
      </c>
      <c r="AL165" t="s">
        <v>82</v>
      </c>
      <c r="AM165" t="s">
        <v>43</v>
      </c>
      <c r="AO165" t="s">
        <v>44</v>
      </c>
      <c r="AP165">
        <v>60.124517886762398</v>
      </c>
      <c r="AQ165" t="s">
        <v>83</v>
      </c>
    </row>
    <row r="166" spans="1:43" x14ac:dyDescent="0.3">
      <c r="A166" t="s">
        <v>52</v>
      </c>
      <c r="B166" t="s">
        <v>47</v>
      </c>
      <c r="C166" t="s">
        <v>53</v>
      </c>
      <c r="D166" t="s">
        <v>49</v>
      </c>
      <c r="E166" t="s">
        <v>54</v>
      </c>
      <c r="F166">
        <v>163</v>
      </c>
      <c r="G166">
        <v>3</v>
      </c>
      <c r="H166">
        <v>8</v>
      </c>
      <c r="I166" t="s">
        <v>54</v>
      </c>
      <c r="J166">
        <v>1</v>
      </c>
      <c r="K166">
        <v>0.65590100002009399</v>
      </c>
      <c r="L166" t="s">
        <v>51</v>
      </c>
      <c r="M166">
        <v>8</v>
      </c>
      <c r="N166">
        <v>3</v>
      </c>
      <c r="O166">
        <v>163</v>
      </c>
      <c r="P166">
        <v>14</v>
      </c>
      <c r="Q166">
        <v>218.39878690004099</v>
      </c>
      <c r="V166">
        <v>218.388266100024</v>
      </c>
      <c r="W166">
        <v>218.39878690004099</v>
      </c>
      <c r="X166">
        <v>218.89947580004801</v>
      </c>
      <c r="Y166">
        <v>218.89947580004801</v>
      </c>
      <c r="Z166">
        <v>218.89947580004801</v>
      </c>
      <c r="AA166">
        <v>219.57019550004</v>
      </c>
      <c r="AB166" t="s">
        <v>54</v>
      </c>
      <c r="AC166">
        <v>1</v>
      </c>
      <c r="AD166">
        <v>0.65590100002009399</v>
      </c>
      <c r="AE166" t="s">
        <v>51</v>
      </c>
      <c r="AJ166">
        <v>3</v>
      </c>
      <c r="AK166">
        <v>1</v>
      </c>
      <c r="AL166" t="s">
        <v>82</v>
      </c>
      <c r="AM166" t="s">
        <v>43</v>
      </c>
      <c r="AO166" t="s">
        <v>44</v>
      </c>
      <c r="AP166">
        <v>60.124517886762398</v>
      </c>
      <c r="AQ166" t="s">
        <v>83</v>
      </c>
    </row>
    <row r="167" spans="1:43" x14ac:dyDescent="0.3">
      <c r="A167" t="s">
        <v>68</v>
      </c>
      <c r="B167" t="s">
        <v>59</v>
      </c>
      <c r="C167" t="s">
        <v>53</v>
      </c>
      <c r="D167" t="s">
        <v>49</v>
      </c>
      <c r="E167" t="s">
        <v>54</v>
      </c>
      <c r="F167">
        <v>164</v>
      </c>
      <c r="G167">
        <v>4</v>
      </c>
      <c r="H167">
        <v>8</v>
      </c>
      <c r="I167" t="s">
        <v>54</v>
      </c>
      <c r="J167">
        <v>1</v>
      </c>
      <c r="K167">
        <v>0.46749140002066197</v>
      </c>
      <c r="L167" t="s">
        <v>51</v>
      </c>
      <c r="M167">
        <v>8</v>
      </c>
      <c r="N167">
        <v>4</v>
      </c>
      <c r="O167">
        <v>164</v>
      </c>
      <c r="P167">
        <v>6</v>
      </c>
      <c r="Q167">
        <v>219.581831900053</v>
      </c>
      <c r="V167">
        <v>219.573887600039</v>
      </c>
      <c r="W167">
        <v>219.581831900053</v>
      </c>
      <c r="X167">
        <v>220.08286180003699</v>
      </c>
      <c r="Y167">
        <v>220.08286180003699</v>
      </c>
      <c r="Z167">
        <v>220.08286180003699</v>
      </c>
      <c r="AA167">
        <v>220.552709500014</v>
      </c>
      <c r="AB167" t="s">
        <v>54</v>
      </c>
      <c r="AC167">
        <v>1</v>
      </c>
      <c r="AD167">
        <v>0.46749140002066197</v>
      </c>
      <c r="AE167" t="s">
        <v>51</v>
      </c>
      <c r="AJ167">
        <v>3</v>
      </c>
      <c r="AK167">
        <v>1</v>
      </c>
      <c r="AL167" t="s">
        <v>82</v>
      </c>
      <c r="AM167" t="s">
        <v>43</v>
      </c>
      <c r="AO167" t="s">
        <v>44</v>
      </c>
      <c r="AP167">
        <v>60.124517886762398</v>
      </c>
      <c r="AQ167" t="s">
        <v>83</v>
      </c>
    </row>
    <row r="168" spans="1:43" x14ac:dyDescent="0.3">
      <c r="A168" t="s">
        <v>76</v>
      </c>
      <c r="B168" t="s">
        <v>59</v>
      </c>
      <c r="C168" t="s">
        <v>48</v>
      </c>
      <c r="D168" t="s">
        <v>49</v>
      </c>
      <c r="E168" t="s">
        <v>50</v>
      </c>
      <c r="F168">
        <v>165</v>
      </c>
      <c r="G168">
        <v>5</v>
      </c>
      <c r="H168">
        <v>8</v>
      </c>
      <c r="I168" t="s">
        <v>50</v>
      </c>
      <c r="J168">
        <v>1</v>
      </c>
      <c r="K168">
        <v>0.58484210004098702</v>
      </c>
      <c r="L168" t="s">
        <v>51</v>
      </c>
      <c r="M168">
        <v>8</v>
      </c>
      <c r="N168">
        <v>5</v>
      </c>
      <c r="O168">
        <v>165</v>
      </c>
      <c r="P168">
        <v>3</v>
      </c>
      <c r="Q168">
        <v>220.56543680000999</v>
      </c>
      <c r="V168">
        <v>220.555432200024</v>
      </c>
      <c r="W168">
        <v>220.56543680000999</v>
      </c>
      <c r="X168">
        <v>221.06525590003</v>
      </c>
      <c r="Y168">
        <v>221.06525590003</v>
      </c>
      <c r="Z168">
        <v>221.06525590003</v>
      </c>
      <c r="AA168">
        <v>221.652749600005</v>
      </c>
      <c r="AB168" t="s">
        <v>50</v>
      </c>
      <c r="AC168">
        <v>1</v>
      </c>
      <c r="AD168">
        <v>0.58484210004098702</v>
      </c>
      <c r="AE168" t="s">
        <v>51</v>
      </c>
      <c r="AJ168">
        <v>3</v>
      </c>
      <c r="AK168">
        <v>1</v>
      </c>
      <c r="AL168" t="s">
        <v>82</v>
      </c>
      <c r="AM168" t="s">
        <v>43</v>
      </c>
      <c r="AO168" t="s">
        <v>44</v>
      </c>
      <c r="AP168">
        <v>60.124517886762398</v>
      </c>
      <c r="AQ168" t="s">
        <v>83</v>
      </c>
    </row>
    <row r="169" spans="1:43" x14ac:dyDescent="0.3">
      <c r="A169" t="s">
        <v>46</v>
      </c>
      <c r="B169" t="s">
        <v>47</v>
      </c>
      <c r="C169" t="s">
        <v>48</v>
      </c>
      <c r="D169" t="s">
        <v>49</v>
      </c>
      <c r="E169" t="s">
        <v>50</v>
      </c>
      <c r="F169">
        <v>166</v>
      </c>
      <c r="G169">
        <v>6</v>
      </c>
      <c r="H169">
        <v>8</v>
      </c>
      <c r="I169" t="s">
        <v>54</v>
      </c>
      <c r="J169">
        <v>0</v>
      </c>
      <c r="K169">
        <v>0.83917669998481803</v>
      </c>
      <c r="L169" t="s">
        <v>51</v>
      </c>
      <c r="M169">
        <v>8</v>
      </c>
      <c r="N169">
        <v>6</v>
      </c>
      <c r="O169">
        <v>166</v>
      </c>
      <c r="P169">
        <v>19</v>
      </c>
      <c r="Q169">
        <v>221.66548920003601</v>
      </c>
      <c r="V169">
        <v>221.65536150004399</v>
      </c>
      <c r="W169">
        <v>221.66548920003601</v>
      </c>
      <c r="X169">
        <v>222.16515430004799</v>
      </c>
      <c r="Y169">
        <v>222.16515430004799</v>
      </c>
      <c r="Z169">
        <v>222.16515430004799</v>
      </c>
      <c r="AA169">
        <v>223.01989070000101</v>
      </c>
      <c r="AB169" t="s">
        <v>54</v>
      </c>
      <c r="AC169">
        <v>0</v>
      </c>
      <c r="AD169">
        <v>0.83917669998481803</v>
      </c>
      <c r="AE169" t="s">
        <v>51</v>
      </c>
      <c r="AJ169">
        <v>3</v>
      </c>
      <c r="AK169">
        <v>1</v>
      </c>
      <c r="AL169" t="s">
        <v>82</v>
      </c>
      <c r="AM169" t="s">
        <v>43</v>
      </c>
      <c r="AO169" t="s">
        <v>44</v>
      </c>
      <c r="AP169">
        <v>60.124517886762398</v>
      </c>
      <c r="AQ169" t="s">
        <v>83</v>
      </c>
    </row>
    <row r="170" spans="1:43" x14ac:dyDescent="0.3">
      <c r="A170" t="s">
        <v>72</v>
      </c>
      <c r="B170" t="s">
        <v>59</v>
      </c>
      <c r="C170" t="s">
        <v>61</v>
      </c>
      <c r="D170" t="s">
        <v>62</v>
      </c>
      <c r="E170" t="s">
        <v>63</v>
      </c>
      <c r="F170">
        <v>167</v>
      </c>
      <c r="G170">
        <v>7</v>
      </c>
      <c r="H170">
        <v>8</v>
      </c>
      <c r="I170" t="s">
        <v>63</v>
      </c>
      <c r="J170">
        <v>1</v>
      </c>
      <c r="K170">
        <v>0.67770830000517801</v>
      </c>
      <c r="L170" t="s">
        <v>51</v>
      </c>
      <c r="M170">
        <v>8</v>
      </c>
      <c r="N170">
        <v>7</v>
      </c>
      <c r="O170">
        <v>167</v>
      </c>
      <c r="P170">
        <v>8</v>
      </c>
      <c r="Q170">
        <v>223.03259840002201</v>
      </c>
      <c r="V170">
        <v>223.02266330004201</v>
      </c>
      <c r="W170">
        <v>223.03259840002201</v>
      </c>
      <c r="X170">
        <v>223.53213720000301</v>
      </c>
      <c r="Y170">
        <v>223.53213720000301</v>
      </c>
      <c r="Z170">
        <v>223.53213720000301</v>
      </c>
      <c r="AA170">
        <v>224.218777900037</v>
      </c>
      <c r="AB170" t="s">
        <v>63</v>
      </c>
      <c r="AC170">
        <v>1</v>
      </c>
      <c r="AD170">
        <v>0.67770830000517801</v>
      </c>
      <c r="AE170" t="s">
        <v>51</v>
      </c>
      <c r="AJ170">
        <v>3</v>
      </c>
      <c r="AK170">
        <v>1</v>
      </c>
      <c r="AL170" t="s">
        <v>82</v>
      </c>
      <c r="AM170" t="s">
        <v>43</v>
      </c>
      <c r="AO170" t="s">
        <v>44</v>
      </c>
      <c r="AP170">
        <v>60.124517886762398</v>
      </c>
      <c r="AQ170" t="s">
        <v>83</v>
      </c>
    </row>
    <row r="171" spans="1:43" x14ac:dyDescent="0.3">
      <c r="A171" t="s">
        <v>60</v>
      </c>
      <c r="B171" t="s">
        <v>59</v>
      </c>
      <c r="C171" t="s">
        <v>61</v>
      </c>
      <c r="D171" t="s">
        <v>62</v>
      </c>
      <c r="E171" t="s">
        <v>63</v>
      </c>
      <c r="F171">
        <v>168</v>
      </c>
      <c r="G171">
        <v>8</v>
      </c>
      <c r="H171">
        <v>8</v>
      </c>
      <c r="I171" t="s">
        <v>63</v>
      </c>
      <c r="J171">
        <v>1</v>
      </c>
      <c r="K171">
        <v>0.62356169999111399</v>
      </c>
      <c r="L171" t="s">
        <v>51</v>
      </c>
      <c r="M171">
        <v>8</v>
      </c>
      <c r="N171">
        <v>8</v>
      </c>
      <c r="O171">
        <v>168</v>
      </c>
      <c r="P171">
        <v>0</v>
      </c>
      <c r="Q171">
        <v>224.23292360000701</v>
      </c>
      <c r="V171">
        <v>224.22143800003599</v>
      </c>
      <c r="W171">
        <v>224.23292360000701</v>
      </c>
      <c r="X171">
        <v>224.731251900026</v>
      </c>
      <c r="Y171">
        <v>224.731251900026</v>
      </c>
      <c r="Z171">
        <v>224.731251900026</v>
      </c>
      <c r="AA171">
        <v>225.36841390002499</v>
      </c>
      <c r="AB171" t="s">
        <v>63</v>
      </c>
      <c r="AC171">
        <v>1</v>
      </c>
      <c r="AD171">
        <v>0.62356169999111399</v>
      </c>
      <c r="AE171" t="s">
        <v>51</v>
      </c>
      <c r="AJ171">
        <v>3</v>
      </c>
      <c r="AK171">
        <v>1</v>
      </c>
      <c r="AL171" t="s">
        <v>82</v>
      </c>
      <c r="AM171" t="s">
        <v>43</v>
      </c>
      <c r="AO171" t="s">
        <v>44</v>
      </c>
      <c r="AP171">
        <v>60.124517886762398</v>
      </c>
      <c r="AQ171" t="s">
        <v>83</v>
      </c>
    </row>
    <row r="172" spans="1:43" x14ac:dyDescent="0.3">
      <c r="A172" t="s">
        <v>77</v>
      </c>
      <c r="B172" t="s">
        <v>59</v>
      </c>
      <c r="C172" t="s">
        <v>61</v>
      </c>
      <c r="D172" t="s">
        <v>62</v>
      </c>
      <c r="E172" t="s">
        <v>63</v>
      </c>
      <c r="F172">
        <v>169</v>
      </c>
      <c r="G172">
        <v>9</v>
      </c>
      <c r="H172">
        <v>8</v>
      </c>
      <c r="I172" t="s">
        <v>63</v>
      </c>
      <c r="J172">
        <v>1</v>
      </c>
      <c r="K172">
        <v>0.37163529999088402</v>
      </c>
      <c r="L172" t="s">
        <v>51</v>
      </c>
      <c r="M172">
        <v>8</v>
      </c>
      <c r="N172">
        <v>9</v>
      </c>
      <c r="O172">
        <v>169</v>
      </c>
      <c r="P172">
        <v>4</v>
      </c>
      <c r="Q172">
        <v>225.38221370003799</v>
      </c>
      <c r="V172">
        <v>225.37120380002301</v>
      </c>
      <c r="W172">
        <v>225.38221370003799</v>
      </c>
      <c r="X172">
        <v>225.88244830002</v>
      </c>
      <c r="Y172">
        <v>225.88244830002</v>
      </c>
      <c r="Z172">
        <v>225.88244830002</v>
      </c>
      <c r="AA172">
        <v>226.26882350002401</v>
      </c>
      <c r="AB172" t="s">
        <v>63</v>
      </c>
      <c r="AC172">
        <v>1</v>
      </c>
      <c r="AD172">
        <v>0.37163529999088402</v>
      </c>
      <c r="AE172" t="s">
        <v>51</v>
      </c>
      <c r="AJ172">
        <v>3</v>
      </c>
      <c r="AK172">
        <v>1</v>
      </c>
      <c r="AL172" t="s">
        <v>82</v>
      </c>
      <c r="AM172" t="s">
        <v>43</v>
      </c>
      <c r="AO172" t="s">
        <v>44</v>
      </c>
      <c r="AP172">
        <v>60.124517886762398</v>
      </c>
      <c r="AQ172" t="s">
        <v>83</v>
      </c>
    </row>
    <row r="173" spans="1:43" x14ac:dyDescent="0.3">
      <c r="A173" t="s">
        <v>74</v>
      </c>
      <c r="B173" t="s">
        <v>47</v>
      </c>
      <c r="C173" t="s">
        <v>48</v>
      </c>
      <c r="D173" t="s">
        <v>49</v>
      </c>
      <c r="E173" t="s">
        <v>50</v>
      </c>
      <c r="F173">
        <v>170</v>
      </c>
      <c r="G173">
        <v>10</v>
      </c>
      <c r="H173">
        <v>8</v>
      </c>
      <c r="I173" t="s">
        <v>50</v>
      </c>
      <c r="J173">
        <v>1</v>
      </c>
      <c r="K173">
        <v>0.74852789996657498</v>
      </c>
      <c r="L173" t="s">
        <v>51</v>
      </c>
      <c r="M173">
        <v>8</v>
      </c>
      <c r="N173">
        <v>10</v>
      </c>
      <c r="O173">
        <v>170</v>
      </c>
      <c r="P173">
        <v>11</v>
      </c>
      <c r="Q173">
        <v>226.28217440005301</v>
      </c>
      <c r="V173">
        <v>226.27132590004399</v>
      </c>
      <c r="W173">
        <v>226.28217440005301</v>
      </c>
      <c r="X173">
        <v>226.78656230005399</v>
      </c>
      <c r="Y173">
        <v>226.78656230005399</v>
      </c>
      <c r="Z173">
        <v>226.78656230005399</v>
      </c>
      <c r="AA173">
        <v>227.55223600001699</v>
      </c>
      <c r="AB173" t="s">
        <v>50</v>
      </c>
      <c r="AC173">
        <v>1</v>
      </c>
      <c r="AD173">
        <v>0.74852789996657498</v>
      </c>
      <c r="AE173" t="s">
        <v>51</v>
      </c>
      <c r="AJ173">
        <v>3</v>
      </c>
      <c r="AK173">
        <v>1</v>
      </c>
      <c r="AL173" t="s">
        <v>82</v>
      </c>
      <c r="AM173" t="s">
        <v>43</v>
      </c>
      <c r="AO173" t="s">
        <v>44</v>
      </c>
      <c r="AP173">
        <v>60.124517886762398</v>
      </c>
      <c r="AQ173" t="s">
        <v>83</v>
      </c>
    </row>
    <row r="174" spans="1:43" x14ac:dyDescent="0.3">
      <c r="A174" t="s">
        <v>69</v>
      </c>
      <c r="B174" t="s">
        <v>59</v>
      </c>
      <c r="C174" t="s">
        <v>56</v>
      </c>
      <c r="D174" t="s">
        <v>49</v>
      </c>
      <c r="E174" t="s">
        <v>57</v>
      </c>
      <c r="F174">
        <v>171</v>
      </c>
      <c r="G174">
        <v>11</v>
      </c>
      <c r="H174">
        <v>8</v>
      </c>
      <c r="I174" t="s">
        <v>57</v>
      </c>
      <c r="J174">
        <v>1</v>
      </c>
      <c r="K174">
        <v>0.783032500010449</v>
      </c>
      <c r="L174" t="s">
        <v>51</v>
      </c>
      <c r="M174">
        <v>8</v>
      </c>
      <c r="N174">
        <v>11</v>
      </c>
      <c r="O174">
        <v>171</v>
      </c>
      <c r="P174">
        <v>5</v>
      </c>
      <c r="Q174">
        <v>227.565116700017</v>
      </c>
      <c r="V174">
        <v>227.55493540002499</v>
      </c>
      <c r="W174">
        <v>227.565116700017</v>
      </c>
      <c r="X174">
        <v>228.06573670002399</v>
      </c>
      <c r="Y174">
        <v>228.06573670002399</v>
      </c>
      <c r="Z174">
        <v>228.06573670002399</v>
      </c>
      <c r="AA174">
        <v>228.85257980000401</v>
      </c>
      <c r="AB174" t="s">
        <v>57</v>
      </c>
      <c r="AC174">
        <v>1</v>
      </c>
      <c r="AD174">
        <v>0.783032500010449</v>
      </c>
      <c r="AE174" t="s">
        <v>51</v>
      </c>
      <c r="AJ174">
        <v>3</v>
      </c>
      <c r="AK174">
        <v>1</v>
      </c>
      <c r="AL174" t="s">
        <v>82</v>
      </c>
      <c r="AM174" t="s">
        <v>43</v>
      </c>
      <c r="AO174" t="s">
        <v>44</v>
      </c>
      <c r="AP174">
        <v>60.124517886762398</v>
      </c>
      <c r="AQ174" t="s">
        <v>83</v>
      </c>
    </row>
    <row r="175" spans="1:43" x14ac:dyDescent="0.3">
      <c r="A175" t="s">
        <v>67</v>
      </c>
      <c r="B175" t="s">
        <v>47</v>
      </c>
      <c r="C175" t="s">
        <v>53</v>
      </c>
      <c r="D175" t="s">
        <v>49</v>
      </c>
      <c r="E175" t="s">
        <v>54</v>
      </c>
      <c r="F175">
        <v>172</v>
      </c>
      <c r="G175">
        <v>12</v>
      </c>
      <c r="H175">
        <v>8</v>
      </c>
      <c r="I175" t="s">
        <v>54</v>
      </c>
      <c r="J175">
        <v>1</v>
      </c>
      <c r="K175">
        <v>0.58379299996886402</v>
      </c>
      <c r="L175" t="s">
        <v>51</v>
      </c>
      <c r="M175">
        <v>8</v>
      </c>
      <c r="N175">
        <v>12</v>
      </c>
      <c r="O175">
        <v>172</v>
      </c>
      <c r="P175">
        <v>10</v>
      </c>
      <c r="Q175">
        <v>228.86580870003601</v>
      </c>
      <c r="V175">
        <v>228.855207100044</v>
      </c>
      <c r="W175">
        <v>228.86580870003601</v>
      </c>
      <c r="X175">
        <v>229.363649100007</v>
      </c>
      <c r="Y175">
        <v>229.363649100007</v>
      </c>
      <c r="Z175">
        <v>229.363649100007</v>
      </c>
      <c r="AA175">
        <v>229.95254040002999</v>
      </c>
      <c r="AB175" t="s">
        <v>54</v>
      </c>
      <c r="AC175">
        <v>1</v>
      </c>
      <c r="AD175">
        <v>0.58379299996886402</v>
      </c>
      <c r="AE175" t="s">
        <v>51</v>
      </c>
      <c r="AJ175">
        <v>3</v>
      </c>
      <c r="AK175">
        <v>1</v>
      </c>
      <c r="AL175" t="s">
        <v>82</v>
      </c>
      <c r="AM175" t="s">
        <v>43</v>
      </c>
      <c r="AO175" t="s">
        <v>44</v>
      </c>
      <c r="AP175">
        <v>60.124517886762398</v>
      </c>
      <c r="AQ175" t="s">
        <v>83</v>
      </c>
    </row>
    <row r="176" spans="1:43" x14ac:dyDescent="0.3">
      <c r="A176" t="s">
        <v>73</v>
      </c>
      <c r="B176" t="s">
        <v>59</v>
      </c>
      <c r="C176" t="s">
        <v>56</v>
      </c>
      <c r="D176" t="s">
        <v>49</v>
      </c>
      <c r="E176" t="s">
        <v>57</v>
      </c>
      <c r="F176">
        <v>173</v>
      </c>
      <c r="G176">
        <v>13</v>
      </c>
      <c r="H176">
        <v>8</v>
      </c>
      <c r="I176" t="s">
        <v>57</v>
      </c>
      <c r="J176">
        <v>1</v>
      </c>
      <c r="K176">
        <v>0.947752600011881</v>
      </c>
      <c r="L176" t="s">
        <v>51</v>
      </c>
      <c r="M176">
        <v>8</v>
      </c>
      <c r="N176">
        <v>13</v>
      </c>
      <c r="O176">
        <v>173</v>
      </c>
      <c r="P176">
        <v>1</v>
      </c>
      <c r="Q176">
        <v>229.96407950000099</v>
      </c>
      <c r="V176">
        <v>229.95560690003899</v>
      </c>
      <c r="W176">
        <v>229.96407950000099</v>
      </c>
      <c r="X176">
        <v>230.46428820001799</v>
      </c>
      <c r="Y176">
        <v>230.46428820001799</v>
      </c>
      <c r="Z176">
        <v>230.46428820001799</v>
      </c>
      <c r="AA176">
        <v>231.416976000007</v>
      </c>
      <c r="AB176" t="s">
        <v>57</v>
      </c>
      <c r="AC176">
        <v>1</v>
      </c>
      <c r="AD176">
        <v>0.947752600011881</v>
      </c>
      <c r="AE176" t="s">
        <v>51</v>
      </c>
      <c r="AJ176">
        <v>3</v>
      </c>
      <c r="AK176">
        <v>1</v>
      </c>
      <c r="AL176" t="s">
        <v>82</v>
      </c>
      <c r="AM176" t="s">
        <v>43</v>
      </c>
      <c r="AO176" t="s">
        <v>44</v>
      </c>
      <c r="AP176">
        <v>60.124517886762398</v>
      </c>
      <c r="AQ176" t="s">
        <v>83</v>
      </c>
    </row>
    <row r="177" spans="1:43" x14ac:dyDescent="0.3">
      <c r="A177" t="s">
        <v>55</v>
      </c>
      <c r="B177" t="s">
        <v>47</v>
      </c>
      <c r="C177" t="s">
        <v>56</v>
      </c>
      <c r="D177" t="s">
        <v>49</v>
      </c>
      <c r="E177" t="s">
        <v>57</v>
      </c>
      <c r="F177">
        <v>174</v>
      </c>
      <c r="G177">
        <v>14</v>
      </c>
      <c r="H177">
        <v>8</v>
      </c>
      <c r="I177" t="s">
        <v>57</v>
      </c>
      <c r="J177">
        <v>1</v>
      </c>
      <c r="K177">
        <v>0.47217879997333501</v>
      </c>
      <c r="L177" t="s">
        <v>51</v>
      </c>
      <c r="M177">
        <v>8</v>
      </c>
      <c r="N177">
        <v>14</v>
      </c>
      <c r="O177">
        <v>174</v>
      </c>
      <c r="P177">
        <v>13</v>
      </c>
      <c r="Q177">
        <v>231.430504500051</v>
      </c>
      <c r="V177">
        <v>231.419281400041</v>
      </c>
      <c r="W177">
        <v>231.430504500051</v>
      </c>
      <c r="X177">
        <v>231.93071590003001</v>
      </c>
      <c r="Y177">
        <v>231.93071590003001</v>
      </c>
      <c r="Z177">
        <v>231.93071590003001</v>
      </c>
      <c r="AA177">
        <v>232.41870050004201</v>
      </c>
      <c r="AB177" t="s">
        <v>57</v>
      </c>
      <c r="AC177">
        <v>1</v>
      </c>
      <c r="AD177">
        <v>0.47217879997333501</v>
      </c>
      <c r="AE177" t="s">
        <v>51</v>
      </c>
      <c r="AJ177">
        <v>3</v>
      </c>
      <c r="AK177">
        <v>1</v>
      </c>
      <c r="AL177" t="s">
        <v>82</v>
      </c>
      <c r="AM177" t="s">
        <v>43</v>
      </c>
      <c r="AO177" t="s">
        <v>44</v>
      </c>
      <c r="AP177">
        <v>60.124517886762398</v>
      </c>
      <c r="AQ177" t="s">
        <v>83</v>
      </c>
    </row>
    <row r="178" spans="1:43" x14ac:dyDescent="0.3">
      <c r="A178" t="s">
        <v>65</v>
      </c>
      <c r="B178" t="s">
        <v>59</v>
      </c>
      <c r="C178" t="s">
        <v>56</v>
      </c>
      <c r="D178" t="s">
        <v>49</v>
      </c>
      <c r="E178" t="s">
        <v>57</v>
      </c>
      <c r="F178">
        <v>175</v>
      </c>
      <c r="G178">
        <v>15</v>
      </c>
      <c r="H178">
        <v>8</v>
      </c>
      <c r="I178" t="s">
        <v>57</v>
      </c>
      <c r="J178">
        <v>1</v>
      </c>
      <c r="K178">
        <v>0.40373640001052902</v>
      </c>
      <c r="L178" t="s">
        <v>51</v>
      </c>
      <c r="M178">
        <v>8</v>
      </c>
      <c r="N178">
        <v>15</v>
      </c>
      <c r="O178">
        <v>175</v>
      </c>
      <c r="P178">
        <v>9</v>
      </c>
      <c r="Q178">
        <v>232.43053480004801</v>
      </c>
      <c r="V178">
        <v>232.422286700049</v>
      </c>
      <c r="W178">
        <v>232.43053480004801</v>
      </c>
      <c r="X178">
        <v>232.93022590002499</v>
      </c>
      <c r="Y178">
        <v>232.93022590002499</v>
      </c>
      <c r="Z178">
        <v>232.93022590002499</v>
      </c>
      <c r="AA178">
        <v>233.33534640003899</v>
      </c>
      <c r="AB178" t="s">
        <v>57</v>
      </c>
      <c r="AC178">
        <v>1</v>
      </c>
      <c r="AD178">
        <v>0.40373640001052902</v>
      </c>
      <c r="AE178" t="s">
        <v>51</v>
      </c>
      <c r="AJ178">
        <v>3</v>
      </c>
      <c r="AK178">
        <v>1</v>
      </c>
      <c r="AL178" t="s">
        <v>82</v>
      </c>
      <c r="AM178" t="s">
        <v>43</v>
      </c>
      <c r="AO178" t="s">
        <v>44</v>
      </c>
      <c r="AP178">
        <v>60.124517886762398</v>
      </c>
      <c r="AQ178" t="s">
        <v>83</v>
      </c>
    </row>
    <row r="179" spans="1:43" x14ac:dyDescent="0.3">
      <c r="A179" t="s">
        <v>70</v>
      </c>
      <c r="B179" t="s">
        <v>59</v>
      </c>
      <c r="C179" t="s">
        <v>53</v>
      </c>
      <c r="D179" t="s">
        <v>49</v>
      </c>
      <c r="E179" t="s">
        <v>54</v>
      </c>
      <c r="F179">
        <v>176</v>
      </c>
      <c r="G179">
        <v>16</v>
      </c>
      <c r="H179">
        <v>8</v>
      </c>
      <c r="I179" t="s">
        <v>54</v>
      </c>
      <c r="J179">
        <v>1</v>
      </c>
      <c r="K179">
        <v>1.0134750999859501</v>
      </c>
      <c r="L179" t="s">
        <v>51</v>
      </c>
      <c r="M179">
        <v>8</v>
      </c>
      <c r="N179">
        <v>16</v>
      </c>
      <c r="O179">
        <v>176</v>
      </c>
      <c r="P179">
        <v>2</v>
      </c>
      <c r="Q179">
        <v>233.34691960003599</v>
      </c>
      <c r="V179">
        <v>233.33757070003699</v>
      </c>
      <c r="W179">
        <v>233.34691960003599</v>
      </c>
      <c r="X179">
        <v>233.8487877</v>
      </c>
      <c r="Y179">
        <v>233.8487877</v>
      </c>
      <c r="Z179">
        <v>233.8487877</v>
      </c>
      <c r="AA179">
        <v>234.86943380004899</v>
      </c>
      <c r="AB179" t="s">
        <v>54</v>
      </c>
      <c r="AC179">
        <v>1</v>
      </c>
      <c r="AD179">
        <v>1.0134750999859501</v>
      </c>
      <c r="AE179" t="s">
        <v>51</v>
      </c>
      <c r="AJ179">
        <v>3</v>
      </c>
      <c r="AK179">
        <v>1</v>
      </c>
      <c r="AL179" t="s">
        <v>82</v>
      </c>
      <c r="AM179" t="s">
        <v>43</v>
      </c>
      <c r="AO179" t="s">
        <v>44</v>
      </c>
      <c r="AP179">
        <v>60.124517886762398</v>
      </c>
      <c r="AQ179" t="s">
        <v>83</v>
      </c>
    </row>
    <row r="180" spans="1:43" x14ac:dyDescent="0.3">
      <c r="A180" t="s">
        <v>58</v>
      </c>
      <c r="B180" t="s">
        <v>59</v>
      </c>
      <c r="C180" t="s">
        <v>48</v>
      </c>
      <c r="D180" t="s">
        <v>49</v>
      </c>
      <c r="E180" t="s">
        <v>50</v>
      </c>
      <c r="F180">
        <v>177</v>
      </c>
      <c r="G180">
        <v>17</v>
      </c>
      <c r="H180">
        <v>8</v>
      </c>
      <c r="I180" t="s">
        <v>50</v>
      </c>
      <c r="J180">
        <v>1</v>
      </c>
      <c r="K180">
        <v>0.76268889999482703</v>
      </c>
      <c r="L180" t="s">
        <v>51</v>
      </c>
      <c r="M180">
        <v>8</v>
      </c>
      <c r="N180">
        <v>17</v>
      </c>
      <c r="O180">
        <v>177</v>
      </c>
      <c r="P180">
        <v>7</v>
      </c>
      <c r="Q180">
        <v>234.88208060001401</v>
      </c>
      <c r="V180">
        <v>234.87240550003401</v>
      </c>
      <c r="W180">
        <v>234.88208060001401</v>
      </c>
      <c r="X180">
        <v>235.38173180003599</v>
      </c>
      <c r="Y180">
        <v>235.38173180003599</v>
      </c>
      <c r="Z180">
        <v>235.38173180003599</v>
      </c>
      <c r="AA180">
        <v>236.15422290004699</v>
      </c>
      <c r="AB180" t="s">
        <v>50</v>
      </c>
      <c r="AC180">
        <v>1</v>
      </c>
      <c r="AD180">
        <v>0.76268889999482703</v>
      </c>
      <c r="AE180" t="s">
        <v>51</v>
      </c>
      <c r="AJ180">
        <v>3</v>
      </c>
      <c r="AK180">
        <v>1</v>
      </c>
      <c r="AL180" t="s">
        <v>82</v>
      </c>
      <c r="AM180" t="s">
        <v>43</v>
      </c>
      <c r="AO180" t="s">
        <v>44</v>
      </c>
      <c r="AP180">
        <v>60.124517886762398</v>
      </c>
      <c r="AQ180" t="s">
        <v>83</v>
      </c>
    </row>
    <row r="181" spans="1:43" x14ac:dyDescent="0.3">
      <c r="A181" t="s">
        <v>71</v>
      </c>
      <c r="B181" t="s">
        <v>47</v>
      </c>
      <c r="C181" t="s">
        <v>48</v>
      </c>
      <c r="D181" t="s">
        <v>49</v>
      </c>
      <c r="E181" t="s">
        <v>50</v>
      </c>
      <c r="F181">
        <v>178</v>
      </c>
      <c r="G181">
        <v>18</v>
      </c>
      <c r="H181">
        <v>8</v>
      </c>
      <c r="I181" t="s">
        <v>50</v>
      </c>
      <c r="J181">
        <v>1</v>
      </c>
      <c r="K181">
        <v>0.46344449999742199</v>
      </c>
      <c r="L181" t="s">
        <v>51</v>
      </c>
      <c r="M181">
        <v>8</v>
      </c>
      <c r="N181">
        <v>18</v>
      </c>
      <c r="O181">
        <v>178</v>
      </c>
      <c r="P181">
        <v>15</v>
      </c>
      <c r="Q181">
        <v>236.18121480004601</v>
      </c>
      <c r="V181">
        <v>236.15843880001901</v>
      </c>
      <c r="W181">
        <v>236.18121480004601</v>
      </c>
      <c r="X181">
        <v>236.66579150000999</v>
      </c>
      <c r="Y181">
        <v>236.66579150000999</v>
      </c>
      <c r="Z181">
        <v>236.66579150000999</v>
      </c>
      <c r="AA181">
        <v>237.13424280000601</v>
      </c>
      <c r="AB181" t="s">
        <v>50</v>
      </c>
      <c r="AC181">
        <v>1</v>
      </c>
      <c r="AD181">
        <v>0.46344449999742199</v>
      </c>
      <c r="AE181" t="s">
        <v>51</v>
      </c>
      <c r="AJ181">
        <v>3</v>
      </c>
      <c r="AK181">
        <v>1</v>
      </c>
      <c r="AL181" t="s">
        <v>82</v>
      </c>
      <c r="AM181" t="s">
        <v>43</v>
      </c>
      <c r="AO181" t="s">
        <v>44</v>
      </c>
      <c r="AP181">
        <v>60.124517886762398</v>
      </c>
      <c r="AQ181" t="s">
        <v>83</v>
      </c>
    </row>
    <row r="182" spans="1:43" x14ac:dyDescent="0.3">
      <c r="A182" t="s">
        <v>66</v>
      </c>
      <c r="B182" t="s">
        <v>47</v>
      </c>
      <c r="C182" t="s">
        <v>61</v>
      </c>
      <c r="D182" t="s">
        <v>49</v>
      </c>
      <c r="E182" t="s">
        <v>63</v>
      </c>
      <c r="F182">
        <v>179</v>
      </c>
      <c r="G182">
        <v>19</v>
      </c>
      <c r="H182">
        <v>8</v>
      </c>
      <c r="I182" t="s">
        <v>63</v>
      </c>
      <c r="J182">
        <v>1</v>
      </c>
      <c r="K182">
        <v>0.49329589999979301</v>
      </c>
      <c r="L182" t="s">
        <v>51</v>
      </c>
      <c r="M182">
        <v>8</v>
      </c>
      <c r="N182">
        <v>19</v>
      </c>
      <c r="O182">
        <v>179</v>
      </c>
      <c r="P182">
        <v>12</v>
      </c>
      <c r="Q182">
        <v>237.14821569999901</v>
      </c>
      <c r="V182">
        <v>237.13657250004999</v>
      </c>
      <c r="W182">
        <v>237.14821569999901</v>
      </c>
      <c r="X182">
        <v>237.64674490003301</v>
      </c>
      <c r="Y182">
        <v>237.64674490003301</v>
      </c>
      <c r="Z182">
        <v>237.64674490003301</v>
      </c>
      <c r="AA182">
        <v>238.152515400026</v>
      </c>
      <c r="AB182" t="s">
        <v>63</v>
      </c>
      <c r="AC182">
        <v>1</v>
      </c>
      <c r="AD182">
        <v>0.49329589999979301</v>
      </c>
      <c r="AE182" t="s">
        <v>51</v>
      </c>
      <c r="AJ182">
        <v>3</v>
      </c>
      <c r="AK182">
        <v>1</v>
      </c>
      <c r="AL182" t="s">
        <v>82</v>
      </c>
      <c r="AM182" t="s">
        <v>43</v>
      </c>
      <c r="AO182" t="s">
        <v>44</v>
      </c>
      <c r="AP182">
        <v>60.124517886762398</v>
      </c>
      <c r="AQ182" t="s">
        <v>83</v>
      </c>
    </row>
    <row r="183" spans="1:43" x14ac:dyDescent="0.3">
      <c r="A183" t="s">
        <v>71</v>
      </c>
      <c r="B183" t="s">
        <v>47</v>
      </c>
      <c r="C183" t="s">
        <v>48</v>
      </c>
      <c r="D183" t="s">
        <v>49</v>
      </c>
      <c r="E183" t="s">
        <v>50</v>
      </c>
      <c r="F183">
        <v>180</v>
      </c>
      <c r="G183">
        <v>0</v>
      </c>
      <c r="H183">
        <v>9</v>
      </c>
      <c r="I183" t="s">
        <v>50</v>
      </c>
      <c r="J183">
        <v>1</v>
      </c>
      <c r="K183">
        <v>0.61311320000095204</v>
      </c>
      <c r="L183" t="s">
        <v>51</v>
      </c>
      <c r="M183">
        <v>9</v>
      </c>
      <c r="N183">
        <v>0</v>
      </c>
      <c r="O183">
        <v>180</v>
      </c>
      <c r="P183">
        <v>15</v>
      </c>
      <c r="Q183">
        <v>238.164413500053</v>
      </c>
      <c r="V183">
        <v>238.15625930001201</v>
      </c>
      <c r="W183">
        <v>238.164413500053</v>
      </c>
      <c r="X183">
        <v>238.66364490002101</v>
      </c>
      <c r="Y183">
        <v>238.66364490002101</v>
      </c>
      <c r="Z183">
        <v>238.66364490002101</v>
      </c>
      <c r="AA183">
        <v>239.285736700054</v>
      </c>
      <c r="AB183" t="s">
        <v>50</v>
      </c>
      <c r="AC183">
        <v>1</v>
      </c>
      <c r="AD183">
        <v>0.61311320000095204</v>
      </c>
      <c r="AE183" t="s">
        <v>51</v>
      </c>
      <c r="AJ183">
        <v>3</v>
      </c>
      <c r="AK183">
        <v>1</v>
      </c>
      <c r="AL183" t="s">
        <v>82</v>
      </c>
      <c r="AM183" t="s">
        <v>43</v>
      </c>
      <c r="AO183" t="s">
        <v>44</v>
      </c>
      <c r="AP183">
        <v>60.124517886762398</v>
      </c>
      <c r="AQ183" t="s">
        <v>83</v>
      </c>
    </row>
    <row r="184" spans="1:43" x14ac:dyDescent="0.3">
      <c r="A184" t="s">
        <v>72</v>
      </c>
      <c r="B184" t="s">
        <v>59</v>
      </c>
      <c r="C184" t="s">
        <v>61</v>
      </c>
      <c r="D184" t="s">
        <v>62</v>
      </c>
      <c r="E184" t="s">
        <v>63</v>
      </c>
      <c r="F184">
        <v>181</v>
      </c>
      <c r="G184">
        <v>1</v>
      </c>
      <c r="H184">
        <v>9</v>
      </c>
      <c r="I184" t="s">
        <v>63</v>
      </c>
      <c r="J184">
        <v>1</v>
      </c>
      <c r="K184">
        <v>0.40284660004544998</v>
      </c>
      <c r="L184" t="s">
        <v>51</v>
      </c>
      <c r="M184">
        <v>9</v>
      </c>
      <c r="N184">
        <v>1</v>
      </c>
      <c r="O184">
        <v>181</v>
      </c>
      <c r="P184">
        <v>8</v>
      </c>
      <c r="Q184">
        <v>239.29831370001099</v>
      </c>
      <c r="V184">
        <v>239.288282499997</v>
      </c>
      <c r="W184">
        <v>239.29831370001099</v>
      </c>
      <c r="X184">
        <v>239.79808330000299</v>
      </c>
      <c r="Y184">
        <v>239.79808330000299</v>
      </c>
      <c r="Z184">
        <v>239.79808330000299</v>
      </c>
      <c r="AA184">
        <v>240.20377750002001</v>
      </c>
      <c r="AB184" t="s">
        <v>63</v>
      </c>
      <c r="AC184">
        <v>1</v>
      </c>
      <c r="AD184">
        <v>0.40284660004544998</v>
      </c>
      <c r="AE184" t="s">
        <v>51</v>
      </c>
      <c r="AJ184">
        <v>3</v>
      </c>
      <c r="AK184">
        <v>1</v>
      </c>
      <c r="AL184" t="s">
        <v>82</v>
      </c>
      <c r="AM184" t="s">
        <v>43</v>
      </c>
      <c r="AO184" t="s">
        <v>44</v>
      </c>
      <c r="AP184">
        <v>60.124517886762398</v>
      </c>
      <c r="AQ184" t="s">
        <v>83</v>
      </c>
    </row>
    <row r="185" spans="1:43" x14ac:dyDescent="0.3">
      <c r="A185" t="s">
        <v>75</v>
      </c>
      <c r="B185" t="s">
        <v>47</v>
      </c>
      <c r="C185" t="s">
        <v>61</v>
      </c>
      <c r="D185" t="s">
        <v>49</v>
      </c>
      <c r="E185" t="s">
        <v>63</v>
      </c>
      <c r="F185">
        <v>182</v>
      </c>
      <c r="G185">
        <v>2</v>
      </c>
      <c r="H185">
        <v>9</v>
      </c>
      <c r="I185" t="s">
        <v>50</v>
      </c>
      <c r="J185">
        <v>0</v>
      </c>
      <c r="K185">
        <v>0.43370059999870098</v>
      </c>
      <c r="L185" t="s">
        <v>51</v>
      </c>
      <c r="M185">
        <v>9</v>
      </c>
      <c r="N185">
        <v>2</v>
      </c>
      <c r="O185">
        <v>182</v>
      </c>
      <c r="P185">
        <v>16</v>
      </c>
      <c r="Q185">
        <v>240.21488300000701</v>
      </c>
      <c r="V185">
        <v>240.20677790004899</v>
      </c>
      <c r="W185">
        <v>240.21488300000701</v>
      </c>
      <c r="X185">
        <v>240.71322500001401</v>
      </c>
      <c r="Y185">
        <v>240.71322500001401</v>
      </c>
      <c r="Z185">
        <v>240.71322500001401</v>
      </c>
      <c r="AA185">
        <v>241.15139650000401</v>
      </c>
      <c r="AB185" t="s">
        <v>50</v>
      </c>
      <c r="AC185">
        <v>0</v>
      </c>
      <c r="AD185">
        <v>0.43370059999870098</v>
      </c>
      <c r="AE185" t="s">
        <v>51</v>
      </c>
      <c r="AJ185">
        <v>3</v>
      </c>
      <c r="AK185">
        <v>1</v>
      </c>
      <c r="AL185" t="s">
        <v>82</v>
      </c>
      <c r="AM185" t="s">
        <v>43</v>
      </c>
      <c r="AO185" t="s">
        <v>44</v>
      </c>
      <c r="AP185">
        <v>60.124517886762398</v>
      </c>
      <c r="AQ185" t="s">
        <v>83</v>
      </c>
    </row>
    <row r="186" spans="1:43" x14ac:dyDescent="0.3">
      <c r="A186" t="s">
        <v>52</v>
      </c>
      <c r="B186" t="s">
        <v>47</v>
      </c>
      <c r="C186" t="s">
        <v>53</v>
      </c>
      <c r="D186" t="s">
        <v>49</v>
      </c>
      <c r="E186" t="s">
        <v>54</v>
      </c>
      <c r="F186">
        <v>183</v>
      </c>
      <c r="G186">
        <v>3</v>
      </c>
      <c r="H186">
        <v>9</v>
      </c>
      <c r="I186" t="s">
        <v>54</v>
      </c>
      <c r="J186">
        <v>1</v>
      </c>
      <c r="K186">
        <v>0.97621880000224304</v>
      </c>
      <c r="L186" t="s">
        <v>51</v>
      </c>
      <c r="M186">
        <v>9</v>
      </c>
      <c r="N186">
        <v>3</v>
      </c>
      <c r="O186">
        <v>183</v>
      </c>
      <c r="P186">
        <v>14</v>
      </c>
      <c r="Q186">
        <v>241.16486630000799</v>
      </c>
      <c r="V186">
        <v>241.154077100043</v>
      </c>
      <c r="W186">
        <v>241.16486630000799</v>
      </c>
      <c r="X186">
        <v>241.66465660004101</v>
      </c>
      <c r="Y186">
        <v>241.66465660004101</v>
      </c>
      <c r="Z186">
        <v>241.66465660004101</v>
      </c>
      <c r="AA186">
        <v>242.652661700034</v>
      </c>
      <c r="AB186" t="s">
        <v>54</v>
      </c>
      <c r="AC186">
        <v>1</v>
      </c>
      <c r="AD186">
        <v>0.97621880000224304</v>
      </c>
      <c r="AE186" t="s">
        <v>51</v>
      </c>
      <c r="AJ186">
        <v>3</v>
      </c>
      <c r="AK186">
        <v>1</v>
      </c>
      <c r="AL186" t="s">
        <v>82</v>
      </c>
      <c r="AM186" t="s">
        <v>43</v>
      </c>
      <c r="AO186" t="s">
        <v>44</v>
      </c>
      <c r="AP186">
        <v>60.124517886762398</v>
      </c>
      <c r="AQ186" t="s">
        <v>83</v>
      </c>
    </row>
    <row r="187" spans="1:43" x14ac:dyDescent="0.3">
      <c r="A187" t="s">
        <v>78</v>
      </c>
      <c r="B187" t="s">
        <v>47</v>
      </c>
      <c r="C187" t="s">
        <v>56</v>
      </c>
      <c r="D187" t="s">
        <v>49</v>
      </c>
      <c r="E187" t="s">
        <v>57</v>
      </c>
      <c r="F187">
        <v>184</v>
      </c>
      <c r="G187">
        <v>4</v>
      </c>
      <c r="H187">
        <v>9</v>
      </c>
      <c r="I187" t="s">
        <v>57</v>
      </c>
      <c r="J187">
        <v>1</v>
      </c>
      <c r="K187">
        <v>0.71755890001077205</v>
      </c>
      <c r="L187" t="s">
        <v>51</v>
      </c>
      <c r="M187">
        <v>9</v>
      </c>
      <c r="N187">
        <v>4</v>
      </c>
      <c r="O187">
        <v>184</v>
      </c>
      <c r="P187">
        <v>17</v>
      </c>
      <c r="Q187">
        <v>242.66429800004599</v>
      </c>
      <c r="V187">
        <v>242.655504600028</v>
      </c>
      <c r="W187">
        <v>242.66429800004599</v>
      </c>
      <c r="X187">
        <v>243.16479550005101</v>
      </c>
      <c r="Y187">
        <v>243.16479550005101</v>
      </c>
      <c r="Z187">
        <v>243.16479550005101</v>
      </c>
      <c r="AA187">
        <v>243.885315500025</v>
      </c>
      <c r="AB187" t="s">
        <v>57</v>
      </c>
      <c r="AC187">
        <v>1</v>
      </c>
      <c r="AD187">
        <v>0.71755890001077205</v>
      </c>
      <c r="AE187" t="s">
        <v>51</v>
      </c>
      <c r="AJ187">
        <v>3</v>
      </c>
      <c r="AK187">
        <v>1</v>
      </c>
      <c r="AL187" t="s">
        <v>82</v>
      </c>
      <c r="AM187" t="s">
        <v>43</v>
      </c>
      <c r="AO187" t="s">
        <v>44</v>
      </c>
      <c r="AP187">
        <v>60.124517886762398</v>
      </c>
      <c r="AQ187" t="s">
        <v>83</v>
      </c>
    </row>
    <row r="188" spans="1:43" x14ac:dyDescent="0.3">
      <c r="A188" t="s">
        <v>67</v>
      </c>
      <c r="B188" t="s">
        <v>47</v>
      </c>
      <c r="C188" t="s">
        <v>53</v>
      </c>
      <c r="D188" t="s">
        <v>49</v>
      </c>
      <c r="E188" t="s">
        <v>54</v>
      </c>
      <c r="F188">
        <v>185</v>
      </c>
      <c r="G188">
        <v>5</v>
      </c>
      <c r="H188">
        <v>9</v>
      </c>
      <c r="I188" t="s">
        <v>54</v>
      </c>
      <c r="J188">
        <v>1</v>
      </c>
      <c r="K188">
        <v>0.80306930001825005</v>
      </c>
      <c r="L188" t="s">
        <v>51</v>
      </c>
      <c r="M188">
        <v>9</v>
      </c>
      <c r="N188">
        <v>5</v>
      </c>
      <c r="O188">
        <v>185</v>
      </c>
      <c r="P188">
        <v>10</v>
      </c>
      <c r="Q188">
        <v>243.89752690005099</v>
      </c>
      <c r="V188">
        <v>243.888416600006</v>
      </c>
      <c r="W188">
        <v>243.89752690005099</v>
      </c>
      <c r="X188">
        <v>244.39794870000301</v>
      </c>
      <c r="Y188">
        <v>244.39794870000301</v>
      </c>
      <c r="Z188">
        <v>244.39794870000301</v>
      </c>
      <c r="AA188">
        <v>245.20191620004999</v>
      </c>
      <c r="AB188" t="s">
        <v>54</v>
      </c>
      <c r="AC188">
        <v>1</v>
      </c>
      <c r="AD188">
        <v>0.80306930001825005</v>
      </c>
      <c r="AE188" t="s">
        <v>51</v>
      </c>
      <c r="AJ188">
        <v>3</v>
      </c>
      <c r="AK188">
        <v>1</v>
      </c>
      <c r="AL188" t="s">
        <v>82</v>
      </c>
      <c r="AM188" t="s">
        <v>43</v>
      </c>
      <c r="AO188" t="s">
        <v>44</v>
      </c>
      <c r="AP188">
        <v>60.124517886762398</v>
      </c>
      <c r="AQ188" t="s">
        <v>83</v>
      </c>
    </row>
    <row r="189" spans="1:43" x14ac:dyDescent="0.3">
      <c r="A189" t="s">
        <v>64</v>
      </c>
      <c r="B189" t="s">
        <v>47</v>
      </c>
      <c r="C189" t="s">
        <v>53</v>
      </c>
      <c r="D189" t="s">
        <v>49</v>
      </c>
      <c r="E189" t="s">
        <v>54</v>
      </c>
      <c r="F189">
        <v>186</v>
      </c>
      <c r="G189">
        <v>6</v>
      </c>
      <c r="H189">
        <v>9</v>
      </c>
      <c r="I189" t="s">
        <v>54</v>
      </c>
      <c r="J189">
        <v>1</v>
      </c>
      <c r="K189">
        <v>0.47958649997599401</v>
      </c>
      <c r="L189" t="s">
        <v>51</v>
      </c>
      <c r="M189">
        <v>9</v>
      </c>
      <c r="N189">
        <v>6</v>
      </c>
      <c r="O189">
        <v>186</v>
      </c>
      <c r="P189">
        <v>18</v>
      </c>
      <c r="Q189">
        <v>245.21449040004501</v>
      </c>
      <c r="V189">
        <v>245.20527299999901</v>
      </c>
      <c r="W189">
        <v>245.21449040004501</v>
      </c>
      <c r="X189">
        <v>245.71450000000101</v>
      </c>
      <c r="Y189">
        <v>245.71450000000101</v>
      </c>
      <c r="Z189">
        <v>245.71450000000101</v>
      </c>
      <c r="AA189">
        <v>246.20189980004201</v>
      </c>
      <c r="AB189" t="s">
        <v>54</v>
      </c>
      <c r="AC189">
        <v>1</v>
      </c>
      <c r="AD189">
        <v>0.47958649997599401</v>
      </c>
      <c r="AE189" t="s">
        <v>51</v>
      </c>
      <c r="AJ189">
        <v>3</v>
      </c>
      <c r="AK189">
        <v>1</v>
      </c>
      <c r="AL189" t="s">
        <v>82</v>
      </c>
      <c r="AM189" t="s">
        <v>43</v>
      </c>
      <c r="AO189" t="s">
        <v>44</v>
      </c>
      <c r="AP189">
        <v>60.124517886762398</v>
      </c>
      <c r="AQ189" t="s">
        <v>83</v>
      </c>
    </row>
    <row r="190" spans="1:43" x14ac:dyDescent="0.3">
      <c r="A190" t="s">
        <v>74</v>
      </c>
      <c r="B190" t="s">
        <v>47</v>
      </c>
      <c r="C190" t="s">
        <v>48</v>
      </c>
      <c r="D190" t="s">
        <v>49</v>
      </c>
      <c r="E190" t="s">
        <v>50</v>
      </c>
      <c r="F190">
        <v>187</v>
      </c>
      <c r="G190">
        <v>7</v>
      </c>
      <c r="H190">
        <v>9</v>
      </c>
      <c r="I190" t="s">
        <v>50</v>
      </c>
      <c r="J190">
        <v>1</v>
      </c>
      <c r="K190">
        <v>1.1754523999988999</v>
      </c>
      <c r="L190" t="s">
        <v>51</v>
      </c>
      <c r="M190">
        <v>9</v>
      </c>
      <c r="N190">
        <v>7</v>
      </c>
      <c r="O190">
        <v>187</v>
      </c>
      <c r="P190">
        <v>11</v>
      </c>
      <c r="Q190">
        <v>246.215058500005</v>
      </c>
      <c r="V190">
        <v>246.205020100052</v>
      </c>
      <c r="W190">
        <v>246.215058500005</v>
      </c>
      <c r="X190">
        <v>246.71554790000599</v>
      </c>
      <c r="Y190">
        <v>246.71554790000599</v>
      </c>
      <c r="Z190">
        <v>246.71554790000599</v>
      </c>
      <c r="AA190">
        <v>247.90073740004999</v>
      </c>
      <c r="AB190" t="s">
        <v>50</v>
      </c>
      <c r="AC190">
        <v>1</v>
      </c>
      <c r="AD190">
        <v>1.1754523999988999</v>
      </c>
      <c r="AE190" t="s">
        <v>51</v>
      </c>
      <c r="AJ190">
        <v>3</v>
      </c>
      <c r="AK190">
        <v>1</v>
      </c>
      <c r="AL190" t="s">
        <v>82</v>
      </c>
      <c r="AM190" t="s">
        <v>43</v>
      </c>
      <c r="AO190" t="s">
        <v>44</v>
      </c>
      <c r="AP190">
        <v>60.124517886762398</v>
      </c>
      <c r="AQ190" t="s">
        <v>83</v>
      </c>
    </row>
    <row r="191" spans="1:43" x14ac:dyDescent="0.3">
      <c r="A191" t="s">
        <v>58</v>
      </c>
      <c r="B191" t="s">
        <v>59</v>
      </c>
      <c r="C191" t="s">
        <v>48</v>
      </c>
      <c r="D191" t="s">
        <v>49</v>
      </c>
      <c r="E191" t="s">
        <v>50</v>
      </c>
      <c r="F191">
        <v>188</v>
      </c>
      <c r="G191">
        <v>8</v>
      </c>
      <c r="H191">
        <v>9</v>
      </c>
      <c r="I191" t="s">
        <v>50</v>
      </c>
      <c r="J191">
        <v>1</v>
      </c>
      <c r="K191">
        <v>0.49117350002052201</v>
      </c>
      <c r="L191" t="s">
        <v>51</v>
      </c>
      <c r="M191">
        <v>9</v>
      </c>
      <c r="N191">
        <v>8</v>
      </c>
      <c r="O191">
        <v>188</v>
      </c>
      <c r="P191">
        <v>7</v>
      </c>
      <c r="Q191">
        <v>247.914571900037</v>
      </c>
      <c r="V191">
        <v>247.90389010001601</v>
      </c>
      <c r="W191">
        <v>247.914571900037</v>
      </c>
      <c r="X191">
        <v>248.414103900024</v>
      </c>
      <c r="Y191">
        <v>248.414103900024</v>
      </c>
      <c r="Z191">
        <v>248.414103900024</v>
      </c>
      <c r="AA191">
        <v>248.91832260001601</v>
      </c>
      <c r="AB191" t="s">
        <v>50</v>
      </c>
      <c r="AC191">
        <v>1</v>
      </c>
      <c r="AD191">
        <v>0.49117350002052201</v>
      </c>
      <c r="AE191" t="s">
        <v>51</v>
      </c>
      <c r="AJ191">
        <v>3</v>
      </c>
      <c r="AK191">
        <v>1</v>
      </c>
      <c r="AL191" t="s">
        <v>82</v>
      </c>
      <c r="AM191" t="s">
        <v>43</v>
      </c>
      <c r="AO191" t="s">
        <v>44</v>
      </c>
      <c r="AP191">
        <v>60.124517886762398</v>
      </c>
      <c r="AQ191" t="s">
        <v>83</v>
      </c>
    </row>
    <row r="192" spans="1:43" x14ac:dyDescent="0.3">
      <c r="A192" t="s">
        <v>55</v>
      </c>
      <c r="B192" t="s">
        <v>47</v>
      </c>
      <c r="C192" t="s">
        <v>56</v>
      </c>
      <c r="D192" t="s">
        <v>49</v>
      </c>
      <c r="E192" t="s">
        <v>57</v>
      </c>
      <c r="F192">
        <v>189</v>
      </c>
      <c r="G192">
        <v>9</v>
      </c>
      <c r="H192">
        <v>9</v>
      </c>
      <c r="I192" t="s">
        <v>57</v>
      </c>
      <c r="J192">
        <v>1</v>
      </c>
      <c r="K192">
        <v>2.1326577000436302</v>
      </c>
      <c r="L192" t="s">
        <v>51</v>
      </c>
      <c r="M192">
        <v>9</v>
      </c>
      <c r="N192">
        <v>9</v>
      </c>
      <c r="O192">
        <v>189</v>
      </c>
      <c r="P192">
        <v>13</v>
      </c>
      <c r="Q192">
        <v>248.93088820000401</v>
      </c>
      <c r="V192">
        <v>248.92174260003901</v>
      </c>
      <c r="W192">
        <v>248.93088820000401</v>
      </c>
      <c r="X192">
        <v>249.430870500043</v>
      </c>
      <c r="Y192">
        <v>249.430870500043</v>
      </c>
      <c r="Z192">
        <v>249.430870500043</v>
      </c>
      <c r="AA192">
        <v>251.56768730003299</v>
      </c>
      <c r="AB192" t="s">
        <v>57</v>
      </c>
      <c r="AC192">
        <v>1</v>
      </c>
      <c r="AD192">
        <v>2.1326577000436302</v>
      </c>
      <c r="AE192" t="s">
        <v>51</v>
      </c>
      <c r="AJ192">
        <v>3</v>
      </c>
      <c r="AK192">
        <v>1</v>
      </c>
      <c r="AL192" t="s">
        <v>82</v>
      </c>
      <c r="AM192" t="s">
        <v>43</v>
      </c>
      <c r="AO192" t="s">
        <v>44</v>
      </c>
      <c r="AP192">
        <v>60.124517886762398</v>
      </c>
      <c r="AQ192" t="s">
        <v>83</v>
      </c>
    </row>
    <row r="193" spans="1:43" x14ac:dyDescent="0.3">
      <c r="A193" t="s">
        <v>76</v>
      </c>
      <c r="B193" t="s">
        <v>59</v>
      </c>
      <c r="C193" t="s">
        <v>48</v>
      </c>
      <c r="D193" t="s">
        <v>49</v>
      </c>
      <c r="E193" t="s">
        <v>50</v>
      </c>
      <c r="F193">
        <v>190</v>
      </c>
      <c r="G193">
        <v>10</v>
      </c>
      <c r="H193">
        <v>9</v>
      </c>
      <c r="I193" t="s">
        <v>50</v>
      </c>
      <c r="J193">
        <v>1</v>
      </c>
      <c r="K193">
        <v>1.09508110000751</v>
      </c>
      <c r="L193" t="s">
        <v>51</v>
      </c>
      <c r="M193">
        <v>9</v>
      </c>
      <c r="N193">
        <v>10</v>
      </c>
      <c r="O193">
        <v>190</v>
      </c>
      <c r="P193">
        <v>3</v>
      </c>
      <c r="Q193">
        <v>251.579756100021</v>
      </c>
      <c r="V193">
        <v>251.57085800002</v>
      </c>
      <c r="W193">
        <v>251.579756100021</v>
      </c>
      <c r="X193">
        <v>252.07934260001599</v>
      </c>
      <c r="Y193">
        <v>252.07934260001599</v>
      </c>
      <c r="Z193">
        <v>252.07934260001599</v>
      </c>
      <c r="AA193">
        <v>253.183603000012</v>
      </c>
      <c r="AB193" t="s">
        <v>50</v>
      </c>
      <c r="AC193">
        <v>1</v>
      </c>
      <c r="AD193">
        <v>1.09508110000751</v>
      </c>
      <c r="AE193" t="s">
        <v>51</v>
      </c>
      <c r="AJ193">
        <v>3</v>
      </c>
      <c r="AK193">
        <v>1</v>
      </c>
      <c r="AL193" t="s">
        <v>82</v>
      </c>
      <c r="AM193" t="s">
        <v>43</v>
      </c>
      <c r="AO193" t="s">
        <v>44</v>
      </c>
      <c r="AP193">
        <v>60.124517886762398</v>
      </c>
      <c r="AQ193" t="s">
        <v>83</v>
      </c>
    </row>
    <row r="194" spans="1:43" x14ac:dyDescent="0.3">
      <c r="A194" t="s">
        <v>66</v>
      </c>
      <c r="B194" t="s">
        <v>47</v>
      </c>
      <c r="C194" t="s">
        <v>61</v>
      </c>
      <c r="D194" t="s">
        <v>49</v>
      </c>
      <c r="E194" t="s">
        <v>63</v>
      </c>
      <c r="F194">
        <v>191</v>
      </c>
      <c r="G194">
        <v>11</v>
      </c>
      <c r="H194">
        <v>9</v>
      </c>
      <c r="I194" t="s">
        <v>63</v>
      </c>
      <c r="J194">
        <v>1</v>
      </c>
      <c r="K194">
        <v>0.58006840001325999</v>
      </c>
      <c r="L194" t="s">
        <v>51</v>
      </c>
      <c r="M194">
        <v>9</v>
      </c>
      <c r="N194">
        <v>11</v>
      </c>
      <c r="O194">
        <v>191</v>
      </c>
      <c r="P194">
        <v>12</v>
      </c>
      <c r="Q194">
        <v>253.19643350003699</v>
      </c>
      <c r="V194">
        <v>253.186757100047</v>
      </c>
      <c r="W194">
        <v>253.19643350003699</v>
      </c>
      <c r="X194">
        <v>253.69636580004499</v>
      </c>
      <c r="Y194">
        <v>253.69636580004499</v>
      </c>
      <c r="Z194">
        <v>253.69636580004499</v>
      </c>
      <c r="AA194">
        <v>254.28296070004501</v>
      </c>
      <c r="AB194" t="s">
        <v>63</v>
      </c>
      <c r="AC194">
        <v>1</v>
      </c>
      <c r="AD194">
        <v>0.58006840001325999</v>
      </c>
      <c r="AE194" t="s">
        <v>51</v>
      </c>
      <c r="AJ194">
        <v>3</v>
      </c>
      <c r="AK194">
        <v>1</v>
      </c>
      <c r="AL194" t="s">
        <v>82</v>
      </c>
      <c r="AM194" t="s">
        <v>43</v>
      </c>
      <c r="AO194" t="s">
        <v>44</v>
      </c>
      <c r="AP194">
        <v>60.124517886762398</v>
      </c>
      <c r="AQ194" t="s">
        <v>83</v>
      </c>
    </row>
    <row r="195" spans="1:43" x14ac:dyDescent="0.3">
      <c r="A195" t="s">
        <v>68</v>
      </c>
      <c r="B195" t="s">
        <v>59</v>
      </c>
      <c r="C195" t="s">
        <v>53</v>
      </c>
      <c r="D195" t="s">
        <v>49</v>
      </c>
      <c r="E195" t="s">
        <v>54</v>
      </c>
      <c r="F195">
        <v>192</v>
      </c>
      <c r="G195">
        <v>12</v>
      </c>
      <c r="H195">
        <v>9</v>
      </c>
      <c r="I195" t="s">
        <v>54</v>
      </c>
      <c r="J195">
        <v>1</v>
      </c>
      <c r="K195">
        <v>0.95323340001050305</v>
      </c>
      <c r="L195" t="s">
        <v>51</v>
      </c>
      <c r="M195">
        <v>9</v>
      </c>
      <c r="N195">
        <v>12</v>
      </c>
      <c r="O195">
        <v>192</v>
      </c>
      <c r="P195">
        <v>6</v>
      </c>
      <c r="Q195">
        <v>254.29673330002601</v>
      </c>
      <c r="V195">
        <v>254.28596040001099</v>
      </c>
      <c r="W195">
        <v>254.29673330002601</v>
      </c>
      <c r="X195">
        <v>254.79637860000301</v>
      </c>
      <c r="Y195">
        <v>254.79637860000301</v>
      </c>
      <c r="Z195">
        <v>254.79637860000301</v>
      </c>
      <c r="AA195">
        <v>255.753508200054</v>
      </c>
      <c r="AB195" t="s">
        <v>54</v>
      </c>
      <c r="AC195">
        <v>1</v>
      </c>
      <c r="AD195">
        <v>0.95323340001050305</v>
      </c>
      <c r="AE195" t="s">
        <v>51</v>
      </c>
      <c r="AJ195">
        <v>3</v>
      </c>
      <c r="AK195">
        <v>1</v>
      </c>
      <c r="AL195" t="s">
        <v>82</v>
      </c>
      <c r="AM195" t="s">
        <v>43</v>
      </c>
      <c r="AO195" t="s">
        <v>44</v>
      </c>
      <c r="AP195">
        <v>60.124517886762398</v>
      </c>
      <c r="AQ195" t="s">
        <v>83</v>
      </c>
    </row>
    <row r="196" spans="1:43" x14ac:dyDescent="0.3">
      <c r="A196" t="s">
        <v>70</v>
      </c>
      <c r="B196" t="s">
        <v>59</v>
      </c>
      <c r="C196" t="s">
        <v>53</v>
      </c>
      <c r="D196" t="s">
        <v>49</v>
      </c>
      <c r="E196" t="s">
        <v>54</v>
      </c>
      <c r="F196">
        <v>193</v>
      </c>
      <c r="G196">
        <v>13</v>
      </c>
      <c r="H196">
        <v>9</v>
      </c>
      <c r="I196" t="s">
        <v>54</v>
      </c>
      <c r="J196">
        <v>1</v>
      </c>
      <c r="K196">
        <v>0.508270899998024</v>
      </c>
      <c r="L196" t="s">
        <v>51</v>
      </c>
      <c r="M196">
        <v>9</v>
      </c>
      <c r="N196">
        <v>13</v>
      </c>
      <c r="O196">
        <v>193</v>
      </c>
      <c r="P196">
        <v>2</v>
      </c>
      <c r="Q196">
        <v>255.762727699999</v>
      </c>
      <c r="V196">
        <v>255.75653730001</v>
      </c>
      <c r="W196">
        <v>255.762727699999</v>
      </c>
      <c r="X196">
        <v>256.26257190003503</v>
      </c>
      <c r="Y196">
        <v>256.26257190003503</v>
      </c>
      <c r="Z196">
        <v>256.26257190003503</v>
      </c>
      <c r="AA196">
        <v>256.78238070005301</v>
      </c>
      <c r="AB196" t="s">
        <v>54</v>
      </c>
      <c r="AC196">
        <v>1</v>
      </c>
      <c r="AD196">
        <v>0.508270899998024</v>
      </c>
      <c r="AE196" t="s">
        <v>51</v>
      </c>
      <c r="AJ196">
        <v>3</v>
      </c>
      <c r="AK196">
        <v>1</v>
      </c>
      <c r="AL196" t="s">
        <v>82</v>
      </c>
      <c r="AM196" t="s">
        <v>43</v>
      </c>
      <c r="AO196" t="s">
        <v>44</v>
      </c>
      <c r="AP196">
        <v>60.124517886762398</v>
      </c>
      <c r="AQ196" t="s">
        <v>83</v>
      </c>
    </row>
    <row r="197" spans="1:43" x14ac:dyDescent="0.3">
      <c r="A197" t="s">
        <v>73</v>
      </c>
      <c r="B197" t="s">
        <v>59</v>
      </c>
      <c r="C197" t="s">
        <v>56</v>
      </c>
      <c r="D197" t="s">
        <v>49</v>
      </c>
      <c r="E197" t="s">
        <v>57</v>
      </c>
      <c r="F197">
        <v>194</v>
      </c>
      <c r="G197">
        <v>14</v>
      </c>
      <c r="H197">
        <v>9</v>
      </c>
      <c r="I197" t="s">
        <v>63</v>
      </c>
      <c r="J197">
        <v>0</v>
      </c>
      <c r="K197">
        <v>0.57927120005479005</v>
      </c>
      <c r="L197" t="s">
        <v>51</v>
      </c>
      <c r="M197">
        <v>9</v>
      </c>
      <c r="N197">
        <v>14</v>
      </c>
      <c r="O197">
        <v>194</v>
      </c>
      <c r="P197">
        <v>1</v>
      </c>
      <c r="Q197">
        <v>256.79616760002602</v>
      </c>
      <c r="V197">
        <v>256.78429999999901</v>
      </c>
      <c r="W197">
        <v>256.79616760002602</v>
      </c>
      <c r="X197">
        <v>257.29751500004198</v>
      </c>
      <c r="Y197">
        <v>257.29751500004198</v>
      </c>
      <c r="Z197">
        <v>257.29751500004198</v>
      </c>
      <c r="AA197">
        <v>257.88543260004298</v>
      </c>
      <c r="AB197" t="s">
        <v>63</v>
      </c>
      <c r="AC197">
        <v>0</v>
      </c>
      <c r="AD197">
        <v>0.57927120005479005</v>
      </c>
      <c r="AE197" t="s">
        <v>51</v>
      </c>
      <c r="AJ197">
        <v>3</v>
      </c>
      <c r="AK197">
        <v>1</v>
      </c>
      <c r="AL197" t="s">
        <v>82</v>
      </c>
      <c r="AM197" t="s">
        <v>43</v>
      </c>
      <c r="AO197" t="s">
        <v>44</v>
      </c>
      <c r="AP197">
        <v>60.124517886762398</v>
      </c>
      <c r="AQ197" t="s">
        <v>83</v>
      </c>
    </row>
    <row r="198" spans="1:43" x14ac:dyDescent="0.3">
      <c r="A198" t="s">
        <v>46</v>
      </c>
      <c r="B198" t="s">
        <v>47</v>
      </c>
      <c r="C198" t="s">
        <v>48</v>
      </c>
      <c r="D198" t="s">
        <v>49</v>
      </c>
      <c r="E198" t="s">
        <v>50</v>
      </c>
      <c r="F198">
        <v>195</v>
      </c>
      <c r="G198">
        <v>15</v>
      </c>
      <c r="H198">
        <v>9</v>
      </c>
      <c r="I198" t="s">
        <v>50</v>
      </c>
      <c r="J198">
        <v>1</v>
      </c>
      <c r="K198">
        <v>1.0858431999804401</v>
      </c>
      <c r="L198" t="s">
        <v>51</v>
      </c>
      <c r="M198">
        <v>9</v>
      </c>
      <c r="N198">
        <v>15</v>
      </c>
      <c r="O198">
        <v>195</v>
      </c>
      <c r="P198">
        <v>19</v>
      </c>
      <c r="Q198">
        <v>257.897377400018</v>
      </c>
      <c r="V198">
        <v>257.888426800025</v>
      </c>
      <c r="W198">
        <v>257.897377400018</v>
      </c>
      <c r="X198">
        <v>258.39807750005201</v>
      </c>
      <c r="Y198">
        <v>258.39807750005201</v>
      </c>
      <c r="Z198">
        <v>258.39807750005201</v>
      </c>
      <c r="AA198">
        <v>259.484331900021</v>
      </c>
      <c r="AB198" t="s">
        <v>50</v>
      </c>
      <c r="AC198">
        <v>1</v>
      </c>
      <c r="AD198">
        <v>1.0858431999804401</v>
      </c>
      <c r="AE198" t="s">
        <v>51</v>
      </c>
      <c r="AJ198">
        <v>3</v>
      </c>
      <c r="AK198">
        <v>1</v>
      </c>
      <c r="AL198" t="s">
        <v>82</v>
      </c>
      <c r="AM198" t="s">
        <v>43</v>
      </c>
      <c r="AO198" t="s">
        <v>44</v>
      </c>
      <c r="AP198">
        <v>60.124517886762398</v>
      </c>
      <c r="AQ198" t="s">
        <v>83</v>
      </c>
    </row>
    <row r="199" spans="1:43" x14ac:dyDescent="0.3">
      <c r="A199" t="s">
        <v>65</v>
      </c>
      <c r="B199" t="s">
        <v>59</v>
      </c>
      <c r="C199" t="s">
        <v>56</v>
      </c>
      <c r="D199" t="s">
        <v>49</v>
      </c>
      <c r="E199" t="s">
        <v>57</v>
      </c>
      <c r="F199">
        <v>196</v>
      </c>
      <c r="G199">
        <v>16</v>
      </c>
      <c r="H199">
        <v>9</v>
      </c>
      <c r="I199" t="s">
        <v>57</v>
      </c>
      <c r="J199">
        <v>1</v>
      </c>
      <c r="K199">
        <v>0.77401940000709102</v>
      </c>
      <c r="L199" t="s">
        <v>51</v>
      </c>
      <c r="M199">
        <v>9</v>
      </c>
      <c r="N199">
        <v>16</v>
      </c>
      <c r="O199">
        <v>196</v>
      </c>
      <c r="P199">
        <v>9</v>
      </c>
      <c r="Q199">
        <v>259.49690460000397</v>
      </c>
      <c r="V199">
        <v>259.48710490000599</v>
      </c>
      <c r="W199">
        <v>259.49690460000397</v>
      </c>
      <c r="X199">
        <v>259.998041400045</v>
      </c>
      <c r="Y199">
        <v>259.998041400045</v>
      </c>
      <c r="Z199">
        <v>259.998041400045</v>
      </c>
      <c r="AA199">
        <v>260.78414350002998</v>
      </c>
      <c r="AB199" t="s">
        <v>57</v>
      </c>
      <c r="AC199">
        <v>1</v>
      </c>
      <c r="AD199">
        <v>0.77401940000709102</v>
      </c>
      <c r="AE199" t="s">
        <v>51</v>
      </c>
      <c r="AJ199">
        <v>3</v>
      </c>
      <c r="AK199">
        <v>1</v>
      </c>
      <c r="AL199" t="s">
        <v>82</v>
      </c>
      <c r="AM199" t="s">
        <v>43</v>
      </c>
      <c r="AO199" t="s">
        <v>44</v>
      </c>
      <c r="AP199">
        <v>60.124517886762398</v>
      </c>
      <c r="AQ199" t="s">
        <v>83</v>
      </c>
    </row>
    <row r="200" spans="1:43" x14ac:dyDescent="0.3">
      <c r="A200" t="s">
        <v>60</v>
      </c>
      <c r="B200" t="s">
        <v>59</v>
      </c>
      <c r="C200" t="s">
        <v>61</v>
      </c>
      <c r="D200" t="s">
        <v>62</v>
      </c>
      <c r="E200" t="s">
        <v>63</v>
      </c>
      <c r="F200">
        <v>197</v>
      </c>
      <c r="G200">
        <v>17</v>
      </c>
      <c r="H200">
        <v>9</v>
      </c>
      <c r="I200" t="s">
        <v>63</v>
      </c>
      <c r="J200">
        <v>1</v>
      </c>
      <c r="K200">
        <v>0.585521399974823</v>
      </c>
      <c r="L200" t="s">
        <v>51</v>
      </c>
      <c r="M200">
        <v>9</v>
      </c>
      <c r="N200">
        <v>17</v>
      </c>
      <c r="O200">
        <v>197</v>
      </c>
      <c r="P200">
        <v>0</v>
      </c>
      <c r="Q200">
        <v>260.797421900031</v>
      </c>
      <c r="V200">
        <v>260.78662060003199</v>
      </c>
      <c r="W200">
        <v>260.797421900031</v>
      </c>
      <c r="X200">
        <v>261.297520800028</v>
      </c>
      <c r="Y200">
        <v>261.297520800028</v>
      </c>
      <c r="Z200">
        <v>261.297520800028</v>
      </c>
      <c r="AA200">
        <v>261.886449400044</v>
      </c>
      <c r="AB200" t="s">
        <v>63</v>
      </c>
      <c r="AC200">
        <v>1</v>
      </c>
      <c r="AD200">
        <v>0.585521399974823</v>
      </c>
      <c r="AE200" t="s">
        <v>51</v>
      </c>
      <c r="AJ200">
        <v>3</v>
      </c>
      <c r="AK200">
        <v>1</v>
      </c>
      <c r="AL200" t="s">
        <v>82</v>
      </c>
      <c r="AM200" t="s">
        <v>43</v>
      </c>
      <c r="AO200" t="s">
        <v>44</v>
      </c>
      <c r="AP200">
        <v>60.124517886762398</v>
      </c>
      <c r="AQ200" t="s">
        <v>83</v>
      </c>
    </row>
    <row r="201" spans="1:43" x14ac:dyDescent="0.3">
      <c r="A201" t="s">
        <v>69</v>
      </c>
      <c r="B201" t="s">
        <v>59</v>
      </c>
      <c r="C201" t="s">
        <v>56</v>
      </c>
      <c r="D201" t="s">
        <v>49</v>
      </c>
      <c r="E201" t="s">
        <v>57</v>
      </c>
      <c r="F201">
        <v>198</v>
      </c>
      <c r="G201">
        <v>18</v>
      </c>
      <c r="H201">
        <v>9</v>
      </c>
      <c r="I201" t="s">
        <v>57</v>
      </c>
      <c r="J201">
        <v>1</v>
      </c>
      <c r="K201">
        <v>0.75339630001690205</v>
      </c>
      <c r="L201" t="s">
        <v>51</v>
      </c>
      <c r="M201">
        <v>9</v>
      </c>
      <c r="N201">
        <v>18</v>
      </c>
      <c r="O201">
        <v>198</v>
      </c>
      <c r="P201">
        <v>5</v>
      </c>
      <c r="Q201">
        <v>261.89686700003199</v>
      </c>
      <c r="V201">
        <v>261.88939040002799</v>
      </c>
      <c r="W201">
        <v>261.89686700003199</v>
      </c>
      <c r="X201">
        <v>262.39724890002901</v>
      </c>
      <c r="Y201">
        <v>262.39724890002901</v>
      </c>
      <c r="Z201">
        <v>262.39724890002901</v>
      </c>
      <c r="AA201">
        <v>263.16727890004398</v>
      </c>
      <c r="AB201" t="s">
        <v>57</v>
      </c>
      <c r="AC201">
        <v>1</v>
      </c>
      <c r="AD201">
        <v>0.75339630001690205</v>
      </c>
      <c r="AE201" t="s">
        <v>51</v>
      </c>
      <c r="AJ201">
        <v>3</v>
      </c>
      <c r="AK201">
        <v>1</v>
      </c>
      <c r="AL201" t="s">
        <v>82</v>
      </c>
      <c r="AM201" t="s">
        <v>43</v>
      </c>
      <c r="AO201" t="s">
        <v>44</v>
      </c>
      <c r="AP201">
        <v>60.124517886762398</v>
      </c>
      <c r="AQ201" t="s">
        <v>83</v>
      </c>
    </row>
    <row r="202" spans="1:43" x14ac:dyDescent="0.3">
      <c r="A202" t="s">
        <v>77</v>
      </c>
      <c r="B202" t="s">
        <v>59</v>
      </c>
      <c r="C202" t="s">
        <v>61</v>
      </c>
      <c r="D202" t="s">
        <v>62</v>
      </c>
      <c r="E202" t="s">
        <v>63</v>
      </c>
      <c r="F202">
        <v>199</v>
      </c>
      <c r="G202">
        <v>19</v>
      </c>
      <c r="H202">
        <v>9</v>
      </c>
      <c r="I202" t="s">
        <v>63</v>
      </c>
      <c r="J202">
        <v>1</v>
      </c>
      <c r="K202">
        <v>0.52074990002438404</v>
      </c>
      <c r="L202" t="s">
        <v>51</v>
      </c>
      <c r="M202">
        <v>9</v>
      </c>
      <c r="N202">
        <v>19</v>
      </c>
      <c r="O202">
        <v>199</v>
      </c>
      <c r="P202">
        <v>4</v>
      </c>
      <c r="Q202">
        <v>263.17988780001099</v>
      </c>
      <c r="V202">
        <v>263.17134870000802</v>
      </c>
      <c r="W202">
        <v>263.17988780001099</v>
      </c>
      <c r="X202">
        <v>263.68017720000302</v>
      </c>
      <c r="Y202">
        <v>263.68017720000302</v>
      </c>
      <c r="Z202">
        <v>263.68017720000302</v>
      </c>
      <c r="AA202">
        <v>264.20239360001801</v>
      </c>
      <c r="AB202" t="s">
        <v>63</v>
      </c>
      <c r="AC202">
        <v>1</v>
      </c>
      <c r="AD202">
        <v>0.52074990002438404</v>
      </c>
      <c r="AE202" t="s">
        <v>51</v>
      </c>
      <c r="AJ202">
        <v>3</v>
      </c>
      <c r="AK202">
        <v>1</v>
      </c>
      <c r="AL202" t="s">
        <v>82</v>
      </c>
      <c r="AM202" t="s">
        <v>43</v>
      </c>
      <c r="AO202" t="s">
        <v>44</v>
      </c>
      <c r="AP202">
        <v>60.124517886762398</v>
      </c>
      <c r="AQ202" t="s">
        <v>83</v>
      </c>
    </row>
    <row r="203" spans="1:43" x14ac:dyDescent="0.3">
      <c r="AF203">
        <v>264.20258100004799</v>
      </c>
      <c r="AG203">
        <v>264.213627700053</v>
      </c>
      <c r="AH203">
        <v>265.21383640001199</v>
      </c>
      <c r="AI203">
        <v>265.20031470002101</v>
      </c>
      <c r="AJ203">
        <v>3</v>
      </c>
      <c r="AK203">
        <v>1</v>
      </c>
      <c r="AL203" t="s">
        <v>82</v>
      </c>
      <c r="AM203" t="s">
        <v>43</v>
      </c>
      <c r="AO203" t="s">
        <v>44</v>
      </c>
      <c r="AP203">
        <v>60.124517886762398</v>
      </c>
      <c r="AQ203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2698-BC1C-4830-B607-D707C1270C46}">
  <dimension ref="A1:AQ203"/>
  <sheetViews>
    <sheetView workbookViewId="0">
      <selection sqref="A1:AQ203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84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3">
      <c r="S2">
        <v>1.60787000204436E-2</v>
      </c>
      <c r="T2">
        <v>2.9646600014530101E-2</v>
      </c>
      <c r="U2">
        <v>2.0157962000230301</v>
      </c>
      <c r="AJ2">
        <v>4</v>
      </c>
      <c r="AK2">
        <v>1</v>
      </c>
      <c r="AL2" t="s">
        <v>85</v>
      </c>
      <c r="AM2" t="s">
        <v>43</v>
      </c>
      <c r="AO2" t="s">
        <v>44</v>
      </c>
      <c r="AP2">
        <v>59.992644915568597</v>
      </c>
      <c r="AQ2" t="s">
        <v>86</v>
      </c>
    </row>
    <row r="3" spans="1:43" x14ac:dyDescent="0.3">
      <c r="A3" t="s">
        <v>64</v>
      </c>
      <c r="B3" t="s">
        <v>47</v>
      </c>
      <c r="C3" t="s">
        <v>53</v>
      </c>
      <c r="D3" t="s">
        <v>49</v>
      </c>
      <c r="E3" t="s">
        <v>54</v>
      </c>
      <c r="F3">
        <v>0</v>
      </c>
      <c r="G3">
        <v>0</v>
      </c>
      <c r="H3">
        <v>0</v>
      </c>
      <c r="I3" t="s">
        <v>54</v>
      </c>
      <c r="J3">
        <v>1</v>
      </c>
      <c r="K3">
        <v>1.3293216000310999</v>
      </c>
      <c r="L3" t="s">
        <v>51</v>
      </c>
      <c r="M3">
        <v>0</v>
      </c>
      <c r="N3">
        <v>0</v>
      </c>
      <c r="O3">
        <v>0</v>
      </c>
      <c r="P3">
        <v>18</v>
      </c>
      <c r="Q3">
        <v>2.0618351000011899</v>
      </c>
      <c r="V3">
        <v>2.0535404999973199</v>
      </c>
      <c r="W3">
        <v>2.0618351000011899</v>
      </c>
      <c r="X3">
        <v>2.5118483999976799</v>
      </c>
      <c r="Y3">
        <v>2.5118483999976799</v>
      </c>
      <c r="Z3">
        <v>2.5118483999976799</v>
      </c>
      <c r="AA3">
        <v>3.8489572000107701</v>
      </c>
      <c r="AB3" t="s">
        <v>54</v>
      </c>
      <c r="AC3">
        <v>1</v>
      </c>
      <c r="AD3">
        <v>1.3293216000310999</v>
      </c>
      <c r="AE3" t="s">
        <v>51</v>
      </c>
      <c r="AJ3">
        <v>4</v>
      </c>
      <c r="AK3">
        <v>1</v>
      </c>
      <c r="AL3" t="s">
        <v>85</v>
      </c>
      <c r="AM3" t="s">
        <v>43</v>
      </c>
      <c r="AO3" t="s">
        <v>44</v>
      </c>
      <c r="AP3">
        <v>59.992644915568597</v>
      </c>
      <c r="AQ3" t="s">
        <v>86</v>
      </c>
    </row>
    <row r="4" spans="1:43" x14ac:dyDescent="0.3">
      <c r="A4" t="s">
        <v>71</v>
      </c>
      <c r="B4" t="s">
        <v>47</v>
      </c>
      <c r="C4" t="s">
        <v>48</v>
      </c>
      <c r="D4" t="s">
        <v>49</v>
      </c>
      <c r="E4" t="s">
        <v>50</v>
      </c>
      <c r="F4">
        <v>1</v>
      </c>
      <c r="G4">
        <v>1</v>
      </c>
      <c r="H4">
        <v>0</v>
      </c>
      <c r="I4" t="s">
        <v>50</v>
      </c>
      <c r="J4">
        <v>1</v>
      </c>
      <c r="K4">
        <v>0.804908999998588</v>
      </c>
      <c r="L4" t="s">
        <v>51</v>
      </c>
      <c r="M4">
        <v>0</v>
      </c>
      <c r="N4">
        <v>1</v>
      </c>
      <c r="O4">
        <v>1</v>
      </c>
      <c r="P4">
        <v>15</v>
      </c>
      <c r="Q4">
        <v>3.8621560999890701</v>
      </c>
      <c r="V4">
        <v>3.8517926000058602</v>
      </c>
      <c r="W4">
        <v>3.8621560999890701</v>
      </c>
      <c r="X4">
        <v>4.3621658000047301</v>
      </c>
      <c r="Y4">
        <v>4.3621658000047301</v>
      </c>
      <c r="Z4">
        <v>4.3621658000047301</v>
      </c>
      <c r="AA4">
        <v>5.1829789999756004</v>
      </c>
      <c r="AB4" t="s">
        <v>50</v>
      </c>
      <c r="AC4">
        <v>1</v>
      </c>
      <c r="AD4">
        <v>0.804908999998588</v>
      </c>
      <c r="AE4" t="s">
        <v>51</v>
      </c>
      <c r="AJ4">
        <v>4</v>
      </c>
      <c r="AK4">
        <v>1</v>
      </c>
      <c r="AL4" t="s">
        <v>85</v>
      </c>
      <c r="AM4" t="s">
        <v>43</v>
      </c>
      <c r="AO4" t="s">
        <v>44</v>
      </c>
      <c r="AP4">
        <v>59.992644915568597</v>
      </c>
      <c r="AQ4" t="s">
        <v>86</v>
      </c>
    </row>
    <row r="5" spans="1:43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>
        <v>2</v>
      </c>
      <c r="G5">
        <v>2</v>
      </c>
      <c r="H5">
        <v>0</v>
      </c>
      <c r="I5" t="s">
        <v>50</v>
      </c>
      <c r="J5">
        <v>1</v>
      </c>
      <c r="K5">
        <v>0.474719499994535</v>
      </c>
      <c r="L5" t="s">
        <v>51</v>
      </c>
      <c r="M5">
        <v>0</v>
      </c>
      <c r="N5">
        <v>2</v>
      </c>
      <c r="O5">
        <v>2</v>
      </c>
      <c r="P5">
        <v>19</v>
      </c>
      <c r="Q5">
        <v>5.19536870002048</v>
      </c>
      <c r="V5">
        <v>5.1859134000260303</v>
      </c>
      <c r="W5">
        <v>5.19536870002048</v>
      </c>
      <c r="X5">
        <v>5.6960300999926403</v>
      </c>
      <c r="Y5">
        <v>5.6960300999926403</v>
      </c>
      <c r="Z5">
        <v>5.6960300999926403</v>
      </c>
      <c r="AA5">
        <v>6.1824280000291703</v>
      </c>
      <c r="AB5" t="s">
        <v>50</v>
      </c>
      <c r="AC5">
        <v>1</v>
      </c>
      <c r="AD5">
        <v>0.474719499994535</v>
      </c>
      <c r="AE5" t="s">
        <v>51</v>
      </c>
      <c r="AJ5">
        <v>4</v>
      </c>
      <c r="AK5">
        <v>1</v>
      </c>
      <c r="AL5" t="s">
        <v>85</v>
      </c>
      <c r="AM5" t="s">
        <v>43</v>
      </c>
      <c r="AO5" t="s">
        <v>44</v>
      </c>
      <c r="AP5">
        <v>59.992644915568597</v>
      </c>
      <c r="AQ5" t="s">
        <v>86</v>
      </c>
    </row>
    <row r="6" spans="1:43" x14ac:dyDescent="0.3">
      <c r="A6" t="s">
        <v>73</v>
      </c>
      <c r="B6" t="s">
        <v>59</v>
      </c>
      <c r="C6" t="s">
        <v>56</v>
      </c>
      <c r="D6" t="s">
        <v>49</v>
      </c>
      <c r="E6" t="s">
        <v>57</v>
      </c>
      <c r="F6">
        <v>3</v>
      </c>
      <c r="G6">
        <v>3</v>
      </c>
      <c r="H6">
        <v>0</v>
      </c>
      <c r="I6" t="s">
        <v>57</v>
      </c>
      <c r="J6">
        <v>1</v>
      </c>
      <c r="K6">
        <v>0.73664860002463595</v>
      </c>
      <c r="L6" t="s">
        <v>51</v>
      </c>
      <c r="M6">
        <v>0</v>
      </c>
      <c r="N6">
        <v>3</v>
      </c>
      <c r="O6">
        <v>3</v>
      </c>
      <c r="P6">
        <v>1</v>
      </c>
      <c r="Q6">
        <v>6.1955314999795501</v>
      </c>
      <c r="V6">
        <v>6.1851587999844897</v>
      </c>
      <c r="W6">
        <v>6.1955314999795501</v>
      </c>
      <c r="X6">
        <v>6.6951182999764498</v>
      </c>
      <c r="Y6">
        <v>6.6951182999764498</v>
      </c>
      <c r="Z6">
        <v>6.6951182999764498</v>
      </c>
      <c r="AA6">
        <v>7.4328152000089096</v>
      </c>
      <c r="AB6" t="s">
        <v>57</v>
      </c>
      <c r="AC6">
        <v>1</v>
      </c>
      <c r="AD6">
        <v>0.73664860002463595</v>
      </c>
      <c r="AE6" t="s">
        <v>51</v>
      </c>
      <c r="AJ6">
        <v>4</v>
      </c>
      <c r="AK6">
        <v>1</v>
      </c>
      <c r="AL6" t="s">
        <v>85</v>
      </c>
      <c r="AM6" t="s">
        <v>43</v>
      </c>
      <c r="AO6" t="s">
        <v>44</v>
      </c>
      <c r="AP6">
        <v>59.992644915568597</v>
      </c>
      <c r="AQ6" t="s">
        <v>86</v>
      </c>
    </row>
    <row r="7" spans="1:43" x14ac:dyDescent="0.3">
      <c r="A7" t="s">
        <v>52</v>
      </c>
      <c r="B7" t="s">
        <v>47</v>
      </c>
      <c r="C7" t="s">
        <v>53</v>
      </c>
      <c r="D7" t="s">
        <v>49</v>
      </c>
      <c r="E7" t="s">
        <v>54</v>
      </c>
      <c r="F7">
        <v>4</v>
      </c>
      <c r="G7">
        <v>4</v>
      </c>
      <c r="H7">
        <v>0</v>
      </c>
      <c r="I7" t="s">
        <v>54</v>
      </c>
      <c r="J7">
        <v>1</v>
      </c>
      <c r="K7">
        <v>0.76859029999468398</v>
      </c>
      <c r="L7" t="s">
        <v>51</v>
      </c>
      <c r="M7">
        <v>0</v>
      </c>
      <c r="N7">
        <v>4</v>
      </c>
      <c r="O7">
        <v>4</v>
      </c>
      <c r="P7">
        <v>14</v>
      </c>
      <c r="Q7">
        <v>7.4449816999840497</v>
      </c>
      <c r="V7">
        <v>7.43618770001921</v>
      </c>
      <c r="W7">
        <v>7.4449816999840497</v>
      </c>
      <c r="X7">
        <v>7.94558549998328</v>
      </c>
      <c r="Y7">
        <v>7.94558549998328</v>
      </c>
      <c r="Z7">
        <v>7.94558549998328</v>
      </c>
      <c r="AA7">
        <v>8.7158271999796799</v>
      </c>
      <c r="AB7" t="s">
        <v>54</v>
      </c>
      <c r="AC7">
        <v>1</v>
      </c>
      <c r="AD7">
        <v>0.76859029999468398</v>
      </c>
      <c r="AE7" t="s">
        <v>51</v>
      </c>
      <c r="AJ7">
        <v>4</v>
      </c>
      <c r="AK7">
        <v>1</v>
      </c>
      <c r="AL7" t="s">
        <v>85</v>
      </c>
      <c r="AM7" t="s">
        <v>43</v>
      </c>
      <c r="AO7" t="s">
        <v>44</v>
      </c>
      <c r="AP7">
        <v>59.992644915568597</v>
      </c>
      <c r="AQ7" t="s">
        <v>86</v>
      </c>
    </row>
    <row r="8" spans="1:43" x14ac:dyDescent="0.3">
      <c r="A8" t="s">
        <v>70</v>
      </c>
      <c r="B8" t="s">
        <v>59</v>
      </c>
      <c r="C8" t="s">
        <v>53</v>
      </c>
      <c r="D8" t="s">
        <v>49</v>
      </c>
      <c r="E8" t="s">
        <v>54</v>
      </c>
      <c r="F8">
        <v>5</v>
      </c>
      <c r="G8">
        <v>5</v>
      </c>
      <c r="H8">
        <v>0</v>
      </c>
      <c r="I8" t="s">
        <v>54</v>
      </c>
      <c r="J8">
        <v>1</v>
      </c>
      <c r="K8">
        <v>0.55863420001696795</v>
      </c>
      <c r="L8" t="s">
        <v>51</v>
      </c>
      <c r="M8">
        <v>0</v>
      </c>
      <c r="N8">
        <v>5</v>
      </c>
      <c r="O8">
        <v>5</v>
      </c>
      <c r="P8">
        <v>2</v>
      </c>
      <c r="Q8">
        <v>8.7282178000314108</v>
      </c>
      <c r="V8">
        <v>8.7209510999964497</v>
      </c>
      <c r="W8">
        <v>8.7282178000314108</v>
      </c>
      <c r="X8">
        <v>9.2296793999848799</v>
      </c>
      <c r="Y8">
        <v>9.2296793999848799</v>
      </c>
      <c r="Z8">
        <v>9.2296793999848799</v>
      </c>
      <c r="AA8">
        <v>9.7994531000149401</v>
      </c>
      <c r="AB8" t="s">
        <v>54</v>
      </c>
      <c r="AC8">
        <v>1</v>
      </c>
      <c r="AD8">
        <v>0.55863420001696795</v>
      </c>
      <c r="AE8" t="s">
        <v>51</v>
      </c>
      <c r="AJ8">
        <v>4</v>
      </c>
      <c r="AK8">
        <v>1</v>
      </c>
      <c r="AL8" t="s">
        <v>85</v>
      </c>
      <c r="AM8" t="s">
        <v>43</v>
      </c>
      <c r="AO8" t="s">
        <v>44</v>
      </c>
      <c r="AP8">
        <v>59.992644915568597</v>
      </c>
      <c r="AQ8" t="s">
        <v>86</v>
      </c>
    </row>
    <row r="9" spans="1:43" x14ac:dyDescent="0.3">
      <c r="A9" t="s">
        <v>67</v>
      </c>
      <c r="B9" t="s">
        <v>47</v>
      </c>
      <c r="C9" t="s">
        <v>53</v>
      </c>
      <c r="D9" t="s">
        <v>49</v>
      </c>
      <c r="E9" t="s">
        <v>54</v>
      </c>
      <c r="F9">
        <v>6</v>
      </c>
      <c r="G9">
        <v>6</v>
      </c>
      <c r="H9">
        <v>0</v>
      </c>
      <c r="I9" t="s">
        <v>54</v>
      </c>
      <c r="J9">
        <v>1</v>
      </c>
      <c r="K9">
        <v>0.45438259997172198</v>
      </c>
      <c r="L9" t="s">
        <v>51</v>
      </c>
      <c r="M9">
        <v>0</v>
      </c>
      <c r="N9">
        <v>6</v>
      </c>
      <c r="O9">
        <v>6</v>
      </c>
      <c r="P9">
        <v>10</v>
      </c>
      <c r="Q9">
        <v>9.8119314999785203</v>
      </c>
      <c r="V9">
        <v>9.8041382000083104</v>
      </c>
      <c r="W9">
        <v>9.8119314999785203</v>
      </c>
      <c r="X9">
        <v>10.3122069999808</v>
      </c>
      <c r="Y9">
        <v>10.3122069999808</v>
      </c>
      <c r="Z9">
        <v>10.3122069999808</v>
      </c>
      <c r="AA9">
        <v>10.7825233999756</v>
      </c>
      <c r="AB9" t="s">
        <v>54</v>
      </c>
      <c r="AC9">
        <v>1</v>
      </c>
      <c r="AD9">
        <v>0.45438259997172198</v>
      </c>
      <c r="AE9" t="s">
        <v>51</v>
      </c>
      <c r="AJ9">
        <v>4</v>
      </c>
      <c r="AK9">
        <v>1</v>
      </c>
      <c r="AL9" t="s">
        <v>85</v>
      </c>
      <c r="AM9" t="s">
        <v>43</v>
      </c>
      <c r="AO9" t="s">
        <v>44</v>
      </c>
      <c r="AP9">
        <v>59.992644915568597</v>
      </c>
      <c r="AQ9" t="s">
        <v>86</v>
      </c>
    </row>
    <row r="10" spans="1:43" x14ac:dyDescent="0.3">
      <c r="A10" t="s">
        <v>77</v>
      </c>
      <c r="B10" t="s">
        <v>59</v>
      </c>
      <c r="C10" t="s">
        <v>61</v>
      </c>
      <c r="D10" t="s">
        <v>62</v>
      </c>
      <c r="E10" t="s">
        <v>63</v>
      </c>
      <c r="F10">
        <v>7</v>
      </c>
      <c r="G10">
        <v>7</v>
      </c>
      <c r="H10">
        <v>0</v>
      </c>
      <c r="I10" t="s">
        <v>63</v>
      </c>
      <c r="J10">
        <v>1</v>
      </c>
      <c r="K10">
        <v>0.45179670001380101</v>
      </c>
      <c r="L10" t="s">
        <v>51</v>
      </c>
      <c r="M10">
        <v>0</v>
      </c>
      <c r="N10">
        <v>7</v>
      </c>
      <c r="O10">
        <v>7</v>
      </c>
      <c r="P10">
        <v>4</v>
      </c>
      <c r="Q10">
        <v>10.794912800018199</v>
      </c>
      <c r="V10">
        <v>10.7860158000257</v>
      </c>
      <c r="W10">
        <v>10.794912800018199</v>
      </c>
      <c r="X10">
        <v>11.294972600007799</v>
      </c>
      <c r="Y10">
        <v>11.294972600007799</v>
      </c>
      <c r="Z10">
        <v>11.294972600007799</v>
      </c>
      <c r="AA10">
        <v>11.7475246000103</v>
      </c>
      <c r="AB10" t="s">
        <v>63</v>
      </c>
      <c r="AC10">
        <v>1</v>
      </c>
      <c r="AD10">
        <v>0.45179670001380101</v>
      </c>
      <c r="AE10" t="s">
        <v>51</v>
      </c>
      <c r="AJ10">
        <v>4</v>
      </c>
      <c r="AK10">
        <v>1</v>
      </c>
      <c r="AL10" t="s">
        <v>85</v>
      </c>
      <c r="AM10" t="s">
        <v>43</v>
      </c>
      <c r="AO10" t="s">
        <v>44</v>
      </c>
      <c r="AP10">
        <v>59.992644915568597</v>
      </c>
      <c r="AQ10" t="s">
        <v>86</v>
      </c>
    </row>
    <row r="11" spans="1:43" x14ac:dyDescent="0.3">
      <c r="A11" t="s">
        <v>60</v>
      </c>
      <c r="B11" t="s">
        <v>59</v>
      </c>
      <c r="C11" t="s">
        <v>61</v>
      </c>
      <c r="D11" t="s">
        <v>62</v>
      </c>
      <c r="E11" t="s">
        <v>63</v>
      </c>
      <c r="F11">
        <v>8</v>
      </c>
      <c r="G11">
        <v>8</v>
      </c>
      <c r="H11">
        <v>0</v>
      </c>
      <c r="I11" t="s">
        <v>63</v>
      </c>
      <c r="J11">
        <v>1</v>
      </c>
      <c r="K11">
        <v>0.49364589998731301</v>
      </c>
      <c r="L11" t="s">
        <v>51</v>
      </c>
      <c r="M11">
        <v>0</v>
      </c>
      <c r="N11">
        <v>8</v>
      </c>
      <c r="O11">
        <v>8</v>
      </c>
      <c r="P11">
        <v>0</v>
      </c>
      <c r="Q11">
        <v>11.7603188999928</v>
      </c>
      <c r="V11">
        <v>11.7516123999957</v>
      </c>
      <c r="W11">
        <v>11.7603188999928</v>
      </c>
      <c r="X11">
        <v>12.2617229000316</v>
      </c>
      <c r="Y11">
        <v>12.2617229000316</v>
      </c>
      <c r="Z11">
        <v>12.2617229000316</v>
      </c>
      <c r="AA11">
        <v>12.7654292000224</v>
      </c>
      <c r="AB11" t="s">
        <v>63</v>
      </c>
      <c r="AC11">
        <v>1</v>
      </c>
      <c r="AD11">
        <v>0.49364589998731301</v>
      </c>
      <c r="AE11" t="s">
        <v>51</v>
      </c>
      <c r="AJ11">
        <v>4</v>
      </c>
      <c r="AK11">
        <v>1</v>
      </c>
      <c r="AL11" t="s">
        <v>85</v>
      </c>
      <c r="AM11" t="s">
        <v>43</v>
      </c>
      <c r="AO11" t="s">
        <v>44</v>
      </c>
      <c r="AP11">
        <v>59.992644915568597</v>
      </c>
      <c r="AQ11" t="s">
        <v>86</v>
      </c>
    </row>
    <row r="12" spans="1:43" x14ac:dyDescent="0.3">
      <c r="A12" t="s">
        <v>78</v>
      </c>
      <c r="B12" t="s">
        <v>47</v>
      </c>
      <c r="C12" t="s">
        <v>56</v>
      </c>
      <c r="D12" t="s">
        <v>49</v>
      </c>
      <c r="E12" t="s">
        <v>57</v>
      </c>
      <c r="F12">
        <v>9</v>
      </c>
      <c r="G12">
        <v>9</v>
      </c>
      <c r="H12">
        <v>0</v>
      </c>
      <c r="I12" t="s">
        <v>57</v>
      </c>
      <c r="J12">
        <v>1</v>
      </c>
      <c r="K12">
        <v>0.84643269999651205</v>
      </c>
      <c r="L12" t="s">
        <v>51</v>
      </c>
      <c r="M12">
        <v>0</v>
      </c>
      <c r="N12">
        <v>9</v>
      </c>
      <c r="O12">
        <v>9</v>
      </c>
      <c r="P12">
        <v>17</v>
      </c>
      <c r="Q12">
        <v>12.7783100000233</v>
      </c>
      <c r="V12">
        <v>12.7681599999777</v>
      </c>
      <c r="W12">
        <v>12.7783100000233</v>
      </c>
      <c r="X12">
        <v>13.2770620000083</v>
      </c>
      <c r="Y12">
        <v>13.2770620000083</v>
      </c>
      <c r="Z12">
        <v>13.2770620000083</v>
      </c>
      <c r="AA12">
        <v>14.130831599992201</v>
      </c>
      <c r="AB12" t="s">
        <v>57</v>
      </c>
      <c r="AC12">
        <v>1</v>
      </c>
      <c r="AD12">
        <v>0.84643269999651205</v>
      </c>
      <c r="AE12" t="s">
        <v>51</v>
      </c>
      <c r="AJ12">
        <v>4</v>
      </c>
      <c r="AK12">
        <v>1</v>
      </c>
      <c r="AL12" t="s">
        <v>85</v>
      </c>
      <c r="AM12" t="s">
        <v>43</v>
      </c>
      <c r="AO12" t="s">
        <v>44</v>
      </c>
      <c r="AP12">
        <v>59.992644915568597</v>
      </c>
      <c r="AQ12" t="s">
        <v>86</v>
      </c>
    </row>
    <row r="13" spans="1:43" x14ac:dyDescent="0.3">
      <c r="A13" t="s">
        <v>74</v>
      </c>
      <c r="B13" t="s">
        <v>47</v>
      </c>
      <c r="C13" t="s">
        <v>48</v>
      </c>
      <c r="D13" t="s">
        <v>49</v>
      </c>
      <c r="E13" t="s">
        <v>50</v>
      </c>
      <c r="F13">
        <v>10</v>
      </c>
      <c r="G13">
        <v>10</v>
      </c>
      <c r="H13">
        <v>0</v>
      </c>
      <c r="I13" t="s">
        <v>50</v>
      </c>
      <c r="J13">
        <v>1</v>
      </c>
      <c r="K13">
        <v>0.75849959999322802</v>
      </c>
      <c r="L13" t="s">
        <v>51</v>
      </c>
      <c r="M13">
        <v>0</v>
      </c>
      <c r="N13">
        <v>10</v>
      </c>
      <c r="O13">
        <v>10</v>
      </c>
      <c r="P13">
        <v>11</v>
      </c>
      <c r="Q13">
        <v>14.144047699985</v>
      </c>
      <c r="V13">
        <v>14.133444099978</v>
      </c>
      <c r="W13">
        <v>14.144047699985</v>
      </c>
      <c r="X13">
        <v>14.643705499998701</v>
      </c>
      <c r="Y13">
        <v>14.643705499998701</v>
      </c>
      <c r="Z13">
        <v>14.643705499998701</v>
      </c>
      <c r="AA13">
        <v>15.413905200024599</v>
      </c>
      <c r="AB13" t="s">
        <v>50</v>
      </c>
      <c r="AC13">
        <v>1</v>
      </c>
      <c r="AD13">
        <v>0.75849959999322802</v>
      </c>
      <c r="AE13" t="s">
        <v>51</v>
      </c>
      <c r="AJ13">
        <v>4</v>
      </c>
      <c r="AK13">
        <v>1</v>
      </c>
      <c r="AL13" t="s">
        <v>85</v>
      </c>
      <c r="AM13" t="s">
        <v>43</v>
      </c>
      <c r="AO13" t="s">
        <v>44</v>
      </c>
      <c r="AP13">
        <v>59.992644915568597</v>
      </c>
      <c r="AQ13" t="s">
        <v>86</v>
      </c>
    </row>
    <row r="14" spans="1:43" x14ac:dyDescent="0.3">
      <c r="A14" t="s">
        <v>65</v>
      </c>
      <c r="B14" t="s">
        <v>59</v>
      </c>
      <c r="C14" t="s">
        <v>56</v>
      </c>
      <c r="D14" t="s">
        <v>49</v>
      </c>
      <c r="E14" t="s">
        <v>57</v>
      </c>
      <c r="F14">
        <v>11</v>
      </c>
      <c r="G14">
        <v>11</v>
      </c>
      <c r="H14">
        <v>0</v>
      </c>
      <c r="I14" t="s">
        <v>63</v>
      </c>
      <c r="J14">
        <v>0</v>
      </c>
      <c r="K14">
        <v>1.2932846999610701</v>
      </c>
      <c r="L14" t="s">
        <v>51</v>
      </c>
      <c r="M14">
        <v>0</v>
      </c>
      <c r="N14">
        <v>11</v>
      </c>
      <c r="O14">
        <v>11</v>
      </c>
      <c r="P14">
        <v>9</v>
      </c>
      <c r="Q14">
        <v>15.4277170000132</v>
      </c>
      <c r="V14">
        <v>15.417971000017101</v>
      </c>
      <c r="W14">
        <v>15.4277170000132</v>
      </c>
      <c r="X14">
        <v>15.9269311000243</v>
      </c>
      <c r="Y14">
        <v>15.9269311000243</v>
      </c>
      <c r="Z14">
        <v>15.9269311000243</v>
      </c>
      <c r="AA14">
        <v>17.230580000032202</v>
      </c>
      <c r="AB14" t="s">
        <v>63</v>
      </c>
      <c r="AC14">
        <v>0</v>
      </c>
      <c r="AD14">
        <v>1.2932846999610701</v>
      </c>
      <c r="AE14" t="s">
        <v>51</v>
      </c>
      <c r="AJ14">
        <v>4</v>
      </c>
      <c r="AK14">
        <v>1</v>
      </c>
      <c r="AL14" t="s">
        <v>85</v>
      </c>
      <c r="AM14" t="s">
        <v>43</v>
      </c>
      <c r="AO14" t="s">
        <v>44</v>
      </c>
      <c r="AP14">
        <v>59.992644915568597</v>
      </c>
      <c r="AQ14" t="s">
        <v>86</v>
      </c>
    </row>
    <row r="15" spans="1:43" x14ac:dyDescent="0.3">
      <c r="A15" t="s">
        <v>69</v>
      </c>
      <c r="B15" t="s">
        <v>59</v>
      </c>
      <c r="C15" t="s">
        <v>56</v>
      </c>
      <c r="D15" t="s">
        <v>49</v>
      </c>
      <c r="E15" t="s">
        <v>57</v>
      </c>
      <c r="F15">
        <v>12</v>
      </c>
      <c r="G15">
        <v>12</v>
      </c>
      <c r="H15">
        <v>0</v>
      </c>
      <c r="I15" t="s">
        <v>57</v>
      </c>
      <c r="J15">
        <v>1</v>
      </c>
      <c r="K15">
        <v>0.88036830001510602</v>
      </c>
      <c r="L15" t="s">
        <v>51</v>
      </c>
      <c r="M15">
        <v>0</v>
      </c>
      <c r="N15">
        <v>12</v>
      </c>
      <c r="O15">
        <v>12</v>
      </c>
      <c r="P15">
        <v>5</v>
      </c>
      <c r="Q15">
        <v>17.243832200008899</v>
      </c>
      <c r="V15">
        <v>17.2330263999756</v>
      </c>
      <c r="W15">
        <v>17.243832200008899</v>
      </c>
      <c r="X15">
        <v>17.744936999981199</v>
      </c>
      <c r="Y15">
        <v>17.744936999981199</v>
      </c>
      <c r="Z15">
        <v>17.744936999981199</v>
      </c>
      <c r="AA15">
        <v>18.632121199974701</v>
      </c>
      <c r="AB15" t="s">
        <v>57</v>
      </c>
      <c r="AC15">
        <v>1</v>
      </c>
      <c r="AD15">
        <v>0.88036830001510602</v>
      </c>
      <c r="AE15" t="s">
        <v>51</v>
      </c>
      <c r="AJ15">
        <v>4</v>
      </c>
      <c r="AK15">
        <v>1</v>
      </c>
      <c r="AL15" t="s">
        <v>85</v>
      </c>
      <c r="AM15" t="s">
        <v>43</v>
      </c>
      <c r="AO15" t="s">
        <v>44</v>
      </c>
      <c r="AP15">
        <v>59.992644915568597</v>
      </c>
      <c r="AQ15" t="s">
        <v>86</v>
      </c>
    </row>
    <row r="16" spans="1:43" x14ac:dyDescent="0.3">
      <c r="A16" t="s">
        <v>66</v>
      </c>
      <c r="B16" t="s">
        <v>47</v>
      </c>
      <c r="C16" t="s">
        <v>61</v>
      </c>
      <c r="D16" t="s">
        <v>49</v>
      </c>
      <c r="E16" t="s">
        <v>63</v>
      </c>
      <c r="F16">
        <v>13</v>
      </c>
      <c r="G16">
        <v>13</v>
      </c>
      <c r="H16">
        <v>0</v>
      </c>
      <c r="I16" t="s">
        <v>63</v>
      </c>
      <c r="J16">
        <v>1</v>
      </c>
      <c r="K16">
        <v>0.58007490000454698</v>
      </c>
      <c r="L16" t="s">
        <v>51</v>
      </c>
      <c r="M16">
        <v>0</v>
      </c>
      <c r="N16">
        <v>13</v>
      </c>
      <c r="O16">
        <v>13</v>
      </c>
      <c r="P16">
        <v>12</v>
      </c>
      <c r="Q16">
        <v>18.645008500025099</v>
      </c>
      <c r="V16">
        <v>18.6348029000218</v>
      </c>
      <c r="W16">
        <v>18.645008500025099</v>
      </c>
      <c r="X16">
        <v>19.144608100003001</v>
      </c>
      <c r="Y16">
        <v>19.144608100003001</v>
      </c>
      <c r="Z16">
        <v>19.144608100003001</v>
      </c>
      <c r="AA16">
        <v>19.735525500029301</v>
      </c>
      <c r="AB16" t="s">
        <v>63</v>
      </c>
      <c r="AC16">
        <v>1</v>
      </c>
      <c r="AD16">
        <v>0.58007490000454698</v>
      </c>
      <c r="AE16" t="s">
        <v>51</v>
      </c>
      <c r="AJ16">
        <v>4</v>
      </c>
      <c r="AK16">
        <v>1</v>
      </c>
      <c r="AL16" t="s">
        <v>85</v>
      </c>
      <c r="AM16" t="s">
        <v>43</v>
      </c>
      <c r="AO16" t="s">
        <v>44</v>
      </c>
      <c r="AP16">
        <v>59.992644915568597</v>
      </c>
      <c r="AQ16" t="s">
        <v>86</v>
      </c>
    </row>
    <row r="17" spans="1:43" x14ac:dyDescent="0.3">
      <c r="A17" t="s">
        <v>68</v>
      </c>
      <c r="B17" t="s">
        <v>59</v>
      </c>
      <c r="C17" t="s">
        <v>53</v>
      </c>
      <c r="D17" t="s">
        <v>49</v>
      </c>
      <c r="E17" t="s">
        <v>54</v>
      </c>
      <c r="F17">
        <v>14</v>
      </c>
      <c r="G17">
        <v>14</v>
      </c>
      <c r="H17">
        <v>0</v>
      </c>
      <c r="I17" t="s">
        <v>54</v>
      </c>
      <c r="J17">
        <v>1</v>
      </c>
      <c r="K17">
        <v>6.2667314999853199</v>
      </c>
      <c r="L17" t="s">
        <v>51</v>
      </c>
      <c r="M17">
        <v>0</v>
      </c>
      <c r="N17">
        <v>14</v>
      </c>
      <c r="O17">
        <v>14</v>
      </c>
      <c r="P17">
        <v>6</v>
      </c>
      <c r="Q17">
        <v>19.7632229999871</v>
      </c>
      <c r="V17">
        <v>19.745404599991101</v>
      </c>
      <c r="W17">
        <v>19.7632229999871</v>
      </c>
      <c r="X17">
        <v>20.245104100031298</v>
      </c>
      <c r="Y17">
        <v>20.245104100031298</v>
      </c>
      <c r="Z17">
        <v>20.245104100031298</v>
      </c>
      <c r="AA17">
        <v>26.5286047999979</v>
      </c>
      <c r="AB17" t="s">
        <v>54</v>
      </c>
      <c r="AC17">
        <v>1</v>
      </c>
      <c r="AD17">
        <v>6.2667314999853199</v>
      </c>
      <c r="AE17" t="s">
        <v>51</v>
      </c>
      <c r="AF17">
        <v>24.7436424000188</v>
      </c>
      <c r="AJ17">
        <v>4</v>
      </c>
      <c r="AK17">
        <v>1</v>
      </c>
      <c r="AL17" t="s">
        <v>85</v>
      </c>
      <c r="AM17" t="s">
        <v>43</v>
      </c>
      <c r="AO17" t="s">
        <v>44</v>
      </c>
      <c r="AP17">
        <v>59.992644915568597</v>
      </c>
      <c r="AQ17" t="s">
        <v>86</v>
      </c>
    </row>
    <row r="18" spans="1:43" x14ac:dyDescent="0.3">
      <c r="A18" t="s">
        <v>76</v>
      </c>
      <c r="B18" t="s">
        <v>59</v>
      </c>
      <c r="C18" t="s">
        <v>48</v>
      </c>
      <c r="D18" t="s">
        <v>49</v>
      </c>
      <c r="E18" t="s">
        <v>50</v>
      </c>
      <c r="F18">
        <v>15</v>
      </c>
      <c r="G18">
        <v>15</v>
      </c>
      <c r="H18">
        <v>0</v>
      </c>
      <c r="I18" t="s">
        <v>50</v>
      </c>
      <c r="J18">
        <v>1</v>
      </c>
      <c r="K18">
        <v>1.11940820002928</v>
      </c>
      <c r="L18" t="s">
        <v>51</v>
      </c>
      <c r="M18">
        <v>0</v>
      </c>
      <c r="N18">
        <v>15</v>
      </c>
      <c r="O18">
        <v>15</v>
      </c>
      <c r="P18">
        <v>3</v>
      </c>
      <c r="Q18">
        <v>26.542758800031098</v>
      </c>
      <c r="V18">
        <v>26.5306350000319</v>
      </c>
      <c r="W18">
        <v>26.542758800031098</v>
      </c>
      <c r="X18">
        <v>27.043158499989602</v>
      </c>
      <c r="Y18">
        <v>27.043158499989602</v>
      </c>
      <c r="Z18">
        <v>27.043158499989602</v>
      </c>
      <c r="AA18">
        <v>28.1785350000136</v>
      </c>
      <c r="AB18" t="s">
        <v>50</v>
      </c>
      <c r="AC18">
        <v>1</v>
      </c>
      <c r="AD18">
        <v>1.11940820002928</v>
      </c>
      <c r="AE18" t="s">
        <v>51</v>
      </c>
      <c r="AJ18">
        <v>4</v>
      </c>
      <c r="AK18">
        <v>1</v>
      </c>
      <c r="AL18" t="s">
        <v>85</v>
      </c>
      <c r="AM18" t="s">
        <v>43</v>
      </c>
      <c r="AO18" t="s">
        <v>44</v>
      </c>
      <c r="AP18">
        <v>59.992644915568597</v>
      </c>
      <c r="AQ18" t="s">
        <v>86</v>
      </c>
    </row>
    <row r="19" spans="1:43" x14ac:dyDescent="0.3">
      <c r="A19" t="s">
        <v>75</v>
      </c>
      <c r="B19" t="s">
        <v>47</v>
      </c>
      <c r="C19" t="s">
        <v>61</v>
      </c>
      <c r="D19" t="s">
        <v>49</v>
      </c>
      <c r="E19" t="s">
        <v>63</v>
      </c>
      <c r="F19">
        <v>16</v>
      </c>
      <c r="G19">
        <v>16</v>
      </c>
      <c r="H19">
        <v>0</v>
      </c>
      <c r="I19" t="s">
        <v>63</v>
      </c>
      <c r="J19">
        <v>1</v>
      </c>
      <c r="K19">
        <v>0.67668199999025003</v>
      </c>
      <c r="L19" t="s">
        <v>51</v>
      </c>
      <c r="M19">
        <v>0</v>
      </c>
      <c r="N19">
        <v>16</v>
      </c>
      <c r="O19">
        <v>16</v>
      </c>
      <c r="P19">
        <v>16</v>
      </c>
      <c r="Q19">
        <v>28.1925775000127</v>
      </c>
      <c r="V19">
        <v>28.180298299994298</v>
      </c>
      <c r="W19">
        <v>28.1925775000127</v>
      </c>
      <c r="X19">
        <v>28.6928227000171</v>
      </c>
      <c r="Y19">
        <v>28.6928227000171</v>
      </c>
      <c r="Z19">
        <v>28.6928227000171</v>
      </c>
      <c r="AA19">
        <v>29.377971899986701</v>
      </c>
      <c r="AB19" t="s">
        <v>63</v>
      </c>
      <c r="AC19">
        <v>1</v>
      </c>
      <c r="AD19">
        <v>0.67668199999025003</v>
      </c>
      <c r="AE19" t="s">
        <v>51</v>
      </c>
      <c r="AJ19">
        <v>4</v>
      </c>
      <c r="AK19">
        <v>1</v>
      </c>
      <c r="AL19" t="s">
        <v>85</v>
      </c>
      <c r="AM19" t="s">
        <v>43</v>
      </c>
      <c r="AO19" t="s">
        <v>44</v>
      </c>
      <c r="AP19">
        <v>59.992644915568597</v>
      </c>
      <c r="AQ19" t="s">
        <v>86</v>
      </c>
    </row>
    <row r="20" spans="1:43" x14ac:dyDescent="0.3">
      <c r="A20" t="s">
        <v>55</v>
      </c>
      <c r="B20" t="s">
        <v>47</v>
      </c>
      <c r="C20" t="s">
        <v>56</v>
      </c>
      <c r="D20" t="s">
        <v>49</v>
      </c>
      <c r="E20" t="s">
        <v>57</v>
      </c>
      <c r="F20">
        <v>17</v>
      </c>
      <c r="G20">
        <v>17</v>
      </c>
      <c r="H20">
        <v>0</v>
      </c>
      <c r="I20" t="s">
        <v>57</v>
      </c>
      <c r="J20">
        <v>1</v>
      </c>
      <c r="K20">
        <v>1.6939309000153999</v>
      </c>
      <c r="L20" t="s">
        <v>51</v>
      </c>
      <c r="M20">
        <v>0</v>
      </c>
      <c r="N20">
        <v>17</v>
      </c>
      <c r="O20">
        <v>17</v>
      </c>
      <c r="P20">
        <v>13</v>
      </c>
      <c r="Q20">
        <v>29.3931083999923</v>
      </c>
      <c r="V20">
        <v>29.379678700002799</v>
      </c>
      <c r="W20">
        <v>29.3931083999923</v>
      </c>
      <c r="X20">
        <v>29.892969799984701</v>
      </c>
      <c r="Y20">
        <v>29.892969799984701</v>
      </c>
      <c r="Z20">
        <v>29.892969799984701</v>
      </c>
      <c r="AA20">
        <v>31.594986499985598</v>
      </c>
      <c r="AB20" t="s">
        <v>57</v>
      </c>
      <c r="AC20">
        <v>1</v>
      </c>
      <c r="AD20">
        <v>1.6939309000153999</v>
      </c>
      <c r="AE20" t="s">
        <v>51</v>
      </c>
      <c r="AJ20">
        <v>4</v>
      </c>
      <c r="AK20">
        <v>1</v>
      </c>
      <c r="AL20" t="s">
        <v>85</v>
      </c>
      <c r="AM20" t="s">
        <v>43</v>
      </c>
      <c r="AO20" t="s">
        <v>44</v>
      </c>
      <c r="AP20">
        <v>59.992644915568597</v>
      </c>
      <c r="AQ20" t="s">
        <v>86</v>
      </c>
    </row>
    <row r="21" spans="1:43" x14ac:dyDescent="0.3">
      <c r="A21" t="s">
        <v>58</v>
      </c>
      <c r="B21" t="s">
        <v>59</v>
      </c>
      <c r="C21" t="s">
        <v>48</v>
      </c>
      <c r="D21" t="s">
        <v>49</v>
      </c>
      <c r="E21" t="s">
        <v>50</v>
      </c>
      <c r="F21">
        <v>18</v>
      </c>
      <c r="G21">
        <v>18</v>
      </c>
      <c r="H21">
        <v>0</v>
      </c>
      <c r="I21" t="s">
        <v>50</v>
      </c>
      <c r="J21">
        <v>1</v>
      </c>
      <c r="K21">
        <v>0.76237050001509399</v>
      </c>
      <c r="L21" t="s">
        <v>51</v>
      </c>
      <c r="M21">
        <v>0</v>
      </c>
      <c r="N21">
        <v>18</v>
      </c>
      <c r="O21">
        <v>18</v>
      </c>
      <c r="P21">
        <v>7</v>
      </c>
      <c r="Q21">
        <v>31.609599600022101</v>
      </c>
      <c r="V21">
        <v>31.597202299977599</v>
      </c>
      <c r="W21">
        <v>31.609599600022101</v>
      </c>
      <c r="X21">
        <v>32.109715899976401</v>
      </c>
      <c r="Y21">
        <v>32.109715899976401</v>
      </c>
      <c r="Z21">
        <v>32.109715899976401</v>
      </c>
      <c r="AA21">
        <v>32.877603699977001</v>
      </c>
      <c r="AB21" t="s">
        <v>50</v>
      </c>
      <c r="AC21">
        <v>1</v>
      </c>
      <c r="AD21">
        <v>0.76237050001509399</v>
      </c>
      <c r="AE21" t="s">
        <v>51</v>
      </c>
      <c r="AJ21">
        <v>4</v>
      </c>
      <c r="AK21">
        <v>1</v>
      </c>
      <c r="AL21" t="s">
        <v>85</v>
      </c>
      <c r="AM21" t="s">
        <v>43</v>
      </c>
      <c r="AO21" t="s">
        <v>44</v>
      </c>
      <c r="AP21">
        <v>59.992644915568597</v>
      </c>
      <c r="AQ21" t="s">
        <v>86</v>
      </c>
    </row>
    <row r="22" spans="1:43" x14ac:dyDescent="0.3">
      <c r="A22" t="s">
        <v>72</v>
      </c>
      <c r="B22" t="s">
        <v>59</v>
      </c>
      <c r="C22" t="s">
        <v>61</v>
      </c>
      <c r="D22" t="s">
        <v>62</v>
      </c>
      <c r="E22" t="s">
        <v>63</v>
      </c>
      <c r="F22">
        <v>19</v>
      </c>
      <c r="G22">
        <v>19</v>
      </c>
      <c r="H22">
        <v>0</v>
      </c>
      <c r="I22" t="s">
        <v>63</v>
      </c>
      <c r="J22">
        <v>1</v>
      </c>
      <c r="K22">
        <v>0.60483680001925599</v>
      </c>
      <c r="L22" t="s">
        <v>51</v>
      </c>
      <c r="M22">
        <v>0</v>
      </c>
      <c r="N22">
        <v>19</v>
      </c>
      <c r="O22">
        <v>19</v>
      </c>
      <c r="P22">
        <v>8</v>
      </c>
      <c r="Q22">
        <v>32.892594599979901</v>
      </c>
      <c r="V22">
        <v>32.879303800000301</v>
      </c>
      <c r="W22">
        <v>32.892594599979901</v>
      </c>
      <c r="X22">
        <v>33.392521000001501</v>
      </c>
      <c r="Y22">
        <v>33.392521000001501</v>
      </c>
      <c r="Z22">
        <v>33.392521000001501</v>
      </c>
      <c r="AA22">
        <v>34.011315100011402</v>
      </c>
      <c r="AB22" t="s">
        <v>63</v>
      </c>
      <c r="AC22">
        <v>1</v>
      </c>
      <c r="AD22">
        <v>0.60483680001925599</v>
      </c>
      <c r="AE22" t="s">
        <v>51</v>
      </c>
      <c r="AJ22">
        <v>4</v>
      </c>
      <c r="AK22">
        <v>1</v>
      </c>
      <c r="AL22" t="s">
        <v>85</v>
      </c>
      <c r="AM22" t="s">
        <v>43</v>
      </c>
      <c r="AO22" t="s">
        <v>44</v>
      </c>
      <c r="AP22">
        <v>59.992644915568597</v>
      </c>
      <c r="AQ22" t="s">
        <v>86</v>
      </c>
    </row>
    <row r="23" spans="1:43" x14ac:dyDescent="0.3">
      <c r="A23" t="s">
        <v>73</v>
      </c>
      <c r="B23" t="s">
        <v>59</v>
      </c>
      <c r="C23" t="s">
        <v>56</v>
      </c>
      <c r="D23" t="s">
        <v>49</v>
      </c>
      <c r="E23" t="s">
        <v>57</v>
      </c>
      <c r="F23">
        <v>20</v>
      </c>
      <c r="G23">
        <v>0</v>
      </c>
      <c r="H23">
        <v>1</v>
      </c>
      <c r="I23" t="s">
        <v>57</v>
      </c>
      <c r="J23">
        <v>1</v>
      </c>
      <c r="K23">
        <v>0.72160699998494204</v>
      </c>
      <c r="L23" t="s">
        <v>51</v>
      </c>
      <c r="M23">
        <v>1</v>
      </c>
      <c r="N23">
        <v>0</v>
      </c>
      <c r="O23">
        <v>20</v>
      </c>
      <c r="P23">
        <v>1</v>
      </c>
      <c r="Q23">
        <v>34.026534800010197</v>
      </c>
      <c r="V23">
        <v>34.012655000027699</v>
      </c>
      <c r="W23">
        <v>34.026534800010197</v>
      </c>
      <c r="X23">
        <v>34.526002699974903</v>
      </c>
      <c r="Y23">
        <v>34.526002699974903</v>
      </c>
      <c r="Z23">
        <v>34.526002699974903</v>
      </c>
      <c r="AA23">
        <v>35.261167499993398</v>
      </c>
      <c r="AB23" t="s">
        <v>57</v>
      </c>
      <c r="AC23">
        <v>1</v>
      </c>
      <c r="AD23">
        <v>0.72160699998494204</v>
      </c>
      <c r="AE23" t="s">
        <v>51</v>
      </c>
      <c r="AJ23">
        <v>4</v>
      </c>
      <c r="AK23">
        <v>1</v>
      </c>
      <c r="AL23" t="s">
        <v>85</v>
      </c>
      <c r="AM23" t="s">
        <v>43</v>
      </c>
      <c r="AO23" t="s">
        <v>44</v>
      </c>
      <c r="AP23">
        <v>59.992644915568597</v>
      </c>
      <c r="AQ23" t="s">
        <v>86</v>
      </c>
    </row>
    <row r="24" spans="1:43" x14ac:dyDescent="0.3">
      <c r="A24" t="s">
        <v>68</v>
      </c>
      <c r="B24" t="s">
        <v>59</v>
      </c>
      <c r="C24" t="s">
        <v>53</v>
      </c>
      <c r="D24" t="s">
        <v>49</v>
      </c>
      <c r="E24" t="s">
        <v>54</v>
      </c>
      <c r="F24">
        <v>21</v>
      </c>
      <c r="G24">
        <v>1</v>
      </c>
      <c r="H24">
        <v>1</v>
      </c>
      <c r="I24" t="s">
        <v>54</v>
      </c>
      <c r="J24">
        <v>1</v>
      </c>
      <c r="K24">
        <v>0.76921579998452205</v>
      </c>
      <c r="L24" t="s">
        <v>51</v>
      </c>
      <c r="M24">
        <v>1</v>
      </c>
      <c r="N24">
        <v>1</v>
      </c>
      <c r="O24">
        <v>21</v>
      </c>
      <c r="P24">
        <v>6</v>
      </c>
      <c r="Q24">
        <v>35.276094899978403</v>
      </c>
      <c r="V24">
        <v>35.263157000008498</v>
      </c>
      <c r="W24">
        <v>35.276094899978403</v>
      </c>
      <c r="X24">
        <v>35.775918599974801</v>
      </c>
      <c r="Y24">
        <v>35.775918599974801</v>
      </c>
      <c r="Z24">
        <v>35.775918599974801</v>
      </c>
      <c r="AA24">
        <v>36.562048199994003</v>
      </c>
      <c r="AB24" t="s">
        <v>54</v>
      </c>
      <c r="AC24">
        <v>1</v>
      </c>
      <c r="AD24">
        <v>0.76921579998452205</v>
      </c>
      <c r="AE24" t="s">
        <v>51</v>
      </c>
      <c r="AJ24">
        <v>4</v>
      </c>
      <c r="AK24">
        <v>1</v>
      </c>
      <c r="AL24" t="s">
        <v>85</v>
      </c>
      <c r="AM24" t="s">
        <v>43</v>
      </c>
      <c r="AO24" t="s">
        <v>44</v>
      </c>
      <c r="AP24">
        <v>59.992644915568597</v>
      </c>
      <c r="AQ24" t="s">
        <v>86</v>
      </c>
    </row>
    <row r="25" spans="1:43" x14ac:dyDescent="0.3">
      <c r="A25" t="s">
        <v>76</v>
      </c>
      <c r="B25" t="s">
        <v>59</v>
      </c>
      <c r="C25" t="s">
        <v>48</v>
      </c>
      <c r="D25" t="s">
        <v>49</v>
      </c>
      <c r="E25" t="s">
        <v>50</v>
      </c>
      <c r="F25">
        <v>22</v>
      </c>
      <c r="G25">
        <v>2</v>
      </c>
      <c r="H25">
        <v>1</v>
      </c>
      <c r="I25" t="s">
        <v>50</v>
      </c>
      <c r="J25">
        <v>1</v>
      </c>
      <c r="K25">
        <v>0.60974960000021305</v>
      </c>
      <c r="L25" t="s">
        <v>51</v>
      </c>
      <c r="M25">
        <v>1</v>
      </c>
      <c r="N25">
        <v>2</v>
      </c>
      <c r="O25">
        <v>22</v>
      </c>
      <c r="P25">
        <v>3</v>
      </c>
      <c r="Q25">
        <v>36.576062100008102</v>
      </c>
      <c r="V25">
        <v>36.5642472999752</v>
      </c>
      <c r="W25">
        <v>36.576062100008102</v>
      </c>
      <c r="X25">
        <v>37.075983699993202</v>
      </c>
      <c r="Y25">
        <v>37.075983699993202</v>
      </c>
      <c r="Z25">
        <v>37.075983699993202</v>
      </c>
      <c r="AA25">
        <v>37.695214000006601</v>
      </c>
      <c r="AB25" t="s">
        <v>50</v>
      </c>
      <c r="AC25">
        <v>1</v>
      </c>
      <c r="AD25">
        <v>0.60974960000021305</v>
      </c>
      <c r="AE25" t="s">
        <v>51</v>
      </c>
      <c r="AJ25">
        <v>4</v>
      </c>
      <c r="AK25">
        <v>1</v>
      </c>
      <c r="AL25" t="s">
        <v>85</v>
      </c>
      <c r="AM25" t="s">
        <v>43</v>
      </c>
      <c r="AO25" t="s">
        <v>44</v>
      </c>
      <c r="AP25">
        <v>59.992644915568597</v>
      </c>
      <c r="AQ25" t="s">
        <v>86</v>
      </c>
    </row>
    <row r="26" spans="1:43" x14ac:dyDescent="0.3">
      <c r="A26" t="s">
        <v>67</v>
      </c>
      <c r="B26" t="s">
        <v>47</v>
      </c>
      <c r="C26" t="s">
        <v>53</v>
      </c>
      <c r="D26" t="s">
        <v>49</v>
      </c>
      <c r="E26" t="s">
        <v>54</v>
      </c>
      <c r="F26">
        <v>23</v>
      </c>
      <c r="G26">
        <v>3</v>
      </c>
      <c r="H26">
        <v>1</v>
      </c>
      <c r="I26" t="s">
        <v>54</v>
      </c>
      <c r="J26">
        <v>1</v>
      </c>
      <c r="K26">
        <v>0.64120610000099898</v>
      </c>
      <c r="L26" t="s">
        <v>51</v>
      </c>
      <c r="M26">
        <v>1</v>
      </c>
      <c r="N26">
        <v>3</v>
      </c>
      <c r="O26">
        <v>23</v>
      </c>
      <c r="P26">
        <v>10</v>
      </c>
      <c r="Q26">
        <v>37.7095349000301</v>
      </c>
      <c r="V26">
        <v>37.696984899987001</v>
      </c>
      <c r="W26">
        <v>37.7095349000301</v>
      </c>
      <c r="X26">
        <v>38.209384199988499</v>
      </c>
      <c r="Y26">
        <v>38.209384199988499</v>
      </c>
      <c r="Z26">
        <v>38.209384199988499</v>
      </c>
      <c r="AA26">
        <v>38.861672400031203</v>
      </c>
      <c r="AB26" t="s">
        <v>54</v>
      </c>
      <c r="AC26">
        <v>1</v>
      </c>
      <c r="AD26">
        <v>0.64120610000099898</v>
      </c>
      <c r="AE26" t="s">
        <v>51</v>
      </c>
      <c r="AJ26">
        <v>4</v>
      </c>
      <c r="AK26">
        <v>1</v>
      </c>
      <c r="AL26" t="s">
        <v>85</v>
      </c>
      <c r="AM26" t="s">
        <v>43</v>
      </c>
      <c r="AO26" t="s">
        <v>44</v>
      </c>
      <c r="AP26">
        <v>59.992644915568597</v>
      </c>
      <c r="AQ26" t="s">
        <v>86</v>
      </c>
    </row>
    <row r="27" spans="1:43" x14ac:dyDescent="0.3">
      <c r="A27" t="s">
        <v>69</v>
      </c>
      <c r="B27" t="s">
        <v>59</v>
      </c>
      <c r="C27" t="s">
        <v>56</v>
      </c>
      <c r="D27" t="s">
        <v>49</v>
      </c>
      <c r="E27" t="s">
        <v>57</v>
      </c>
      <c r="F27">
        <v>24</v>
      </c>
      <c r="G27">
        <v>4</v>
      </c>
      <c r="H27">
        <v>1</v>
      </c>
      <c r="I27" t="s">
        <v>57</v>
      </c>
      <c r="J27">
        <v>1</v>
      </c>
      <c r="K27">
        <v>1.3204508000053401</v>
      </c>
      <c r="L27" t="s">
        <v>51</v>
      </c>
      <c r="M27">
        <v>1</v>
      </c>
      <c r="N27">
        <v>4</v>
      </c>
      <c r="O27">
        <v>24</v>
      </c>
      <c r="P27">
        <v>5</v>
      </c>
      <c r="Q27">
        <v>38.876662200025699</v>
      </c>
      <c r="V27">
        <v>38.8639292999869</v>
      </c>
      <c r="W27">
        <v>38.876662200025699</v>
      </c>
      <c r="X27">
        <v>39.376081700029303</v>
      </c>
      <c r="Y27">
        <v>39.376081700029303</v>
      </c>
      <c r="Z27">
        <v>39.376081700029303</v>
      </c>
      <c r="AA27">
        <v>40.711248999985401</v>
      </c>
      <c r="AB27" t="s">
        <v>57</v>
      </c>
      <c r="AC27">
        <v>1</v>
      </c>
      <c r="AD27">
        <v>1.3204508000053401</v>
      </c>
      <c r="AE27" t="s">
        <v>51</v>
      </c>
      <c r="AJ27">
        <v>4</v>
      </c>
      <c r="AK27">
        <v>1</v>
      </c>
      <c r="AL27" t="s">
        <v>85</v>
      </c>
      <c r="AM27" t="s">
        <v>43</v>
      </c>
      <c r="AO27" t="s">
        <v>44</v>
      </c>
      <c r="AP27">
        <v>59.992644915568597</v>
      </c>
      <c r="AQ27" t="s">
        <v>86</v>
      </c>
    </row>
    <row r="28" spans="1:43" x14ac:dyDescent="0.3">
      <c r="A28" t="s">
        <v>46</v>
      </c>
      <c r="B28" t="s">
        <v>47</v>
      </c>
      <c r="C28" t="s">
        <v>48</v>
      </c>
      <c r="D28" t="s">
        <v>49</v>
      </c>
      <c r="E28" t="s">
        <v>50</v>
      </c>
      <c r="F28">
        <v>25</v>
      </c>
      <c r="G28">
        <v>5</v>
      </c>
      <c r="H28">
        <v>1</v>
      </c>
      <c r="I28" t="s">
        <v>50</v>
      </c>
      <c r="J28">
        <v>1</v>
      </c>
      <c r="K28">
        <v>0.99954400002025001</v>
      </c>
      <c r="L28" t="s">
        <v>51</v>
      </c>
      <c r="M28">
        <v>1</v>
      </c>
      <c r="N28">
        <v>5</v>
      </c>
      <c r="O28">
        <v>25</v>
      </c>
      <c r="P28">
        <v>19</v>
      </c>
      <c r="Q28">
        <v>40.725603500031802</v>
      </c>
      <c r="V28">
        <v>40.712957500014397</v>
      </c>
      <c r="W28">
        <v>40.725603500031802</v>
      </c>
      <c r="X28">
        <v>41.2256909999996</v>
      </c>
      <c r="Y28">
        <v>41.2256909999996</v>
      </c>
      <c r="Z28">
        <v>41.2256909999996</v>
      </c>
      <c r="AA28">
        <v>42.228746599983403</v>
      </c>
      <c r="AB28" t="s">
        <v>50</v>
      </c>
      <c r="AC28">
        <v>1</v>
      </c>
      <c r="AD28">
        <v>0.99954400002025001</v>
      </c>
      <c r="AE28" t="s">
        <v>51</v>
      </c>
      <c r="AJ28">
        <v>4</v>
      </c>
      <c r="AK28">
        <v>1</v>
      </c>
      <c r="AL28" t="s">
        <v>85</v>
      </c>
      <c r="AM28" t="s">
        <v>43</v>
      </c>
      <c r="AO28" t="s">
        <v>44</v>
      </c>
      <c r="AP28">
        <v>59.992644915568597</v>
      </c>
      <c r="AQ28" t="s">
        <v>86</v>
      </c>
    </row>
    <row r="29" spans="1:43" x14ac:dyDescent="0.3">
      <c r="A29" t="s">
        <v>74</v>
      </c>
      <c r="B29" t="s">
        <v>47</v>
      </c>
      <c r="C29" t="s">
        <v>48</v>
      </c>
      <c r="D29" t="s">
        <v>49</v>
      </c>
      <c r="E29" t="s">
        <v>50</v>
      </c>
      <c r="F29">
        <v>26</v>
      </c>
      <c r="G29">
        <v>6</v>
      </c>
      <c r="H29">
        <v>1</v>
      </c>
      <c r="I29" t="s">
        <v>50</v>
      </c>
      <c r="J29">
        <v>1</v>
      </c>
      <c r="K29">
        <v>0.50198280002223306</v>
      </c>
      <c r="L29" t="s">
        <v>51</v>
      </c>
      <c r="M29">
        <v>1</v>
      </c>
      <c r="N29">
        <v>6</v>
      </c>
      <c r="O29">
        <v>26</v>
      </c>
      <c r="P29">
        <v>11</v>
      </c>
      <c r="Q29">
        <v>42.242713399988098</v>
      </c>
      <c r="V29">
        <v>42.230700400017597</v>
      </c>
      <c r="W29">
        <v>42.242713399988098</v>
      </c>
      <c r="X29">
        <v>42.742327400017501</v>
      </c>
      <c r="Y29">
        <v>42.742327400017501</v>
      </c>
      <c r="Z29">
        <v>42.742327400017501</v>
      </c>
      <c r="AA29">
        <v>43.261805200017903</v>
      </c>
      <c r="AB29" t="s">
        <v>50</v>
      </c>
      <c r="AC29">
        <v>1</v>
      </c>
      <c r="AD29">
        <v>0.50198280002223306</v>
      </c>
      <c r="AE29" t="s">
        <v>51</v>
      </c>
      <c r="AJ29">
        <v>4</v>
      </c>
      <c r="AK29">
        <v>1</v>
      </c>
      <c r="AL29" t="s">
        <v>85</v>
      </c>
      <c r="AM29" t="s">
        <v>43</v>
      </c>
      <c r="AO29" t="s">
        <v>44</v>
      </c>
      <c r="AP29">
        <v>59.992644915568597</v>
      </c>
      <c r="AQ29" t="s">
        <v>86</v>
      </c>
    </row>
    <row r="30" spans="1:43" x14ac:dyDescent="0.3">
      <c r="A30" t="s">
        <v>66</v>
      </c>
      <c r="B30" t="s">
        <v>47</v>
      </c>
      <c r="C30" t="s">
        <v>61</v>
      </c>
      <c r="D30" t="s">
        <v>49</v>
      </c>
      <c r="E30" t="s">
        <v>63</v>
      </c>
      <c r="F30">
        <v>27</v>
      </c>
      <c r="G30">
        <v>7</v>
      </c>
      <c r="H30">
        <v>1</v>
      </c>
      <c r="I30" t="s">
        <v>63</v>
      </c>
      <c r="J30">
        <v>1</v>
      </c>
      <c r="K30">
        <v>0.64625540003180504</v>
      </c>
      <c r="L30" t="s">
        <v>51</v>
      </c>
      <c r="M30">
        <v>1</v>
      </c>
      <c r="N30">
        <v>7</v>
      </c>
      <c r="O30">
        <v>27</v>
      </c>
      <c r="P30">
        <v>12</v>
      </c>
      <c r="Q30">
        <v>43.275576399988402</v>
      </c>
      <c r="V30">
        <v>43.263991600018898</v>
      </c>
      <c r="W30">
        <v>43.275576399988402</v>
      </c>
      <c r="X30">
        <v>43.775904599984599</v>
      </c>
      <c r="Y30">
        <v>43.775904599984599</v>
      </c>
      <c r="Z30">
        <v>43.775904599984599</v>
      </c>
      <c r="AA30">
        <v>44.427840000018399</v>
      </c>
      <c r="AB30" t="s">
        <v>63</v>
      </c>
      <c r="AC30">
        <v>1</v>
      </c>
      <c r="AD30">
        <v>0.64625540003180504</v>
      </c>
      <c r="AE30" t="s">
        <v>51</v>
      </c>
      <c r="AJ30">
        <v>4</v>
      </c>
      <c r="AK30">
        <v>1</v>
      </c>
      <c r="AL30" t="s">
        <v>85</v>
      </c>
      <c r="AM30" t="s">
        <v>43</v>
      </c>
      <c r="AO30" t="s">
        <v>44</v>
      </c>
      <c r="AP30">
        <v>59.992644915568597</v>
      </c>
      <c r="AQ30" t="s">
        <v>86</v>
      </c>
    </row>
    <row r="31" spans="1:43" x14ac:dyDescent="0.3">
      <c r="A31" t="s">
        <v>71</v>
      </c>
      <c r="B31" t="s">
        <v>47</v>
      </c>
      <c r="C31" t="s">
        <v>48</v>
      </c>
      <c r="D31" t="s">
        <v>49</v>
      </c>
      <c r="E31" t="s">
        <v>50</v>
      </c>
      <c r="F31">
        <v>28</v>
      </c>
      <c r="G31">
        <v>8</v>
      </c>
      <c r="H31">
        <v>1</v>
      </c>
      <c r="I31" t="s">
        <v>50</v>
      </c>
      <c r="J31">
        <v>1</v>
      </c>
      <c r="K31">
        <v>0.87070219998713505</v>
      </c>
      <c r="L31" t="s">
        <v>51</v>
      </c>
      <c r="M31">
        <v>1</v>
      </c>
      <c r="N31">
        <v>8</v>
      </c>
      <c r="O31">
        <v>28</v>
      </c>
      <c r="P31">
        <v>15</v>
      </c>
      <c r="Q31">
        <v>44.442539000010498</v>
      </c>
      <c r="V31">
        <v>44.429789600020698</v>
      </c>
      <c r="W31">
        <v>44.442539000010498</v>
      </c>
      <c r="X31">
        <v>44.942437199992099</v>
      </c>
      <c r="Y31">
        <v>44.942437199992099</v>
      </c>
      <c r="Z31">
        <v>44.942437199992099</v>
      </c>
      <c r="AA31">
        <v>45.827292000001698</v>
      </c>
      <c r="AB31" t="s">
        <v>50</v>
      </c>
      <c r="AC31">
        <v>1</v>
      </c>
      <c r="AD31">
        <v>0.87070219998713505</v>
      </c>
      <c r="AE31" t="s">
        <v>51</v>
      </c>
      <c r="AJ31">
        <v>4</v>
      </c>
      <c r="AK31">
        <v>1</v>
      </c>
      <c r="AL31" t="s">
        <v>85</v>
      </c>
      <c r="AM31" t="s">
        <v>43</v>
      </c>
      <c r="AO31" t="s">
        <v>44</v>
      </c>
      <c r="AP31">
        <v>59.992644915568597</v>
      </c>
      <c r="AQ31" t="s">
        <v>86</v>
      </c>
    </row>
    <row r="32" spans="1:43" x14ac:dyDescent="0.3">
      <c r="A32" t="s">
        <v>72</v>
      </c>
      <c r="B32" t="s">
        <v>59</v>
      </c>
      <c r="C32" t="s">
        <v>61</v>
      </c>
      <c r="D32" t="s">
        <v>62</v>
      </c>
      <c r="E32" t="s">
        <v>63</v>
      </c>
      <c r="F32">
        <v>29</v>
      </c>
      <c r="G32">
        <v>9</v>
      </c>
      <c r="H32">
        <v>1</v>
      </c>
      <c r="I32" t="s">
        <v>63</v>
      </c>
      <c r="J32">
        <v>1</v>
      </c>
      <c r="K32">
        <v>0.60543649998726301</v>
      </c>
      <c r="L32" t="s">
        <v>51</v>
      </c>
      <c r="M32">
        <v>1</v>
      </c>
      <c r="N32">
        <v>9</v>
      </c>
      <c r="O32">
        <v>29</v>
      </c>
      <c r="P32">
        <v>8</v>
      </c>
      <c r="Q32">
        <v>45.842263200029201</v>
      </c>
      <c r="V32">
        <v>45.828767600003602</v>
      </c>
      <c r="W32">
        <v>45.842263200029201</v>
      </c>
      <c r="X32">
        <v>46.342238600016501</v>
      </c>
      <c r="Y32">
        <v>46.342238600016501</v>
      </c>
      <c r="Z32">
        <v>46.342238600016501</v>
      </c>
      <c r="AA32">
        <v>46.960997499991201</v>
      </c>
      <c r="AB32" t="s">
        <v>63</v>
      </c>
      <c r="AC32">
        <v>1</v>
      </c>
      <c r="AD32">
        <v>0.60543649998726301</v>
      </c>
      <c r="AE32" t="s">
        <v>51</v>
      </c>
      <c r="AJ32">
        <v>4</v>
      </c>
      <c r="AK32">
        <v>1</v>
      </c>
      <c r="AL32" t="s">
        <v>85</v>
      </c>
      <c r="AM32" t="s">
        <v>43</v>
      </c>
      <c r="AO32" t="s">
        <v>44</v>
      </c>
      <c r="AP32">
        <v>59.992644915568597</v>
      </c>
      <c r="AQ32" t="s">
        <v>86</v>
      </c>
    </row>
    <row r="33" spans="1:43" x14ac:dyDescent="0.3">
      <c r="A33" t="s">
        <v>55</v>
      </c>
      <c r="B33" t="s">
        <v>47</v>
      </c>
      <c r="C33" t="s">
        <v>56</v>
      </c>
      <c r="D33" t="s">
        <v>49</v>
      </c>
      <c r="E33" t="s">
        <v>57</v>
      </c>
      <c r="F33">
        <v>30</v>
      </c>
      <c r="G33">
        <v>10</v>
      </c>
      <c r="H33">
        <v>1</v>
      </c>
      <c r="I33" t="s">
        <v>57</v>
      </c>
      <c r="J33">
        <v>1</v>
      </c>
      <c r="K33">
        <v>0.82922339998185601</v>
      </c>
      <c r="L33" t="s">
        <v>51</v>
      </c>
      <c r="M33">
        <v>1</v>
      </c>
      <c r="N33">
        <v>10</v>
      </c>
      <c r="O33">
        <v>30</v>
      </c>
      <c r="P33">
        <v>13</v>
      </c>
      <c r="Q33">
        <v>46.975575799995497</v>
      </c>
      <c r="V33">
        <v>46.963203300023402</v>
      </c>
      <c r="W33">
        <v>46.975575799995497</v>
      </c>
      <c r="X33">
        <v>47.475382199976501</v>
      </c>
      <c r="Y33">
        <v>47.475382199976501</v>
      </c>
      <c r="Z33">
        <v>47.475382199976501</v>
      </c>
      <c r="AA33">
        <v>48.310887500003403</v>
      </c>
      <c r="AB33" t="s">
        <v>57</v>
      </c>
      <c r="AC33">
        <v>1</v>
      </c>
      <c r="AD33">
        <v>0.82922339998185601</v>
      </c>
      <c r="AE33" t="s">
        <v>51</v>
      </c>
      <c r="AJ33">
        <v>4</v>
      </c>
      <c r="AK33">
        <v>1</v>
      </c>
      <c r="AL33" t="s">
        <v>85</v>
      </c>
      <c r="AM33" t="s">
        <v>43</v>
      </c>
      <c r="AO33" t="s">
        <v>44</v>
      </c>
      <c r="AP33">
        <v>59.992644915568597</v>
      </c>
      <c r="AQ33" t="s">
        <v>86</v>
      </c>
    </row>
    <row r="34" spans="1:43" x14ac:dyDescent="0.3">
      <c r="A34" t="s">
        <v>64</v>
      </c>
      <c r="B34" t="s">
        <v>47</v>
      </c>
      <c r="C34" t="s">
        <v>53</v>
      </c>
      <c r="D34" t="s">
        <v>49</v>
      </c>
      <c r="E34" t="s">
        <v>54</v>
      </c>
      <c r="F34">
        <v>31</v>
      </c>
      <c r="G34">
        <v>11</v>
      </c>
      <c r="H34">
        <v>1</v>
      </c>
      <c r="I34" t="s">
        <v>54</v>
      </c>
      <c r="J34">
        <v>1</v>
      </c>
      <c r="K34">
        <v>0.75141169998096302</v>
      </c>
      <c r="L34" t="s">
        <v>51</v>
      </c>
      <c r="M34">
        <v>1</v>
      </c>
      <c r="N34">
        <v>11</v>
      </c>
      <c r="O34">
        <v>31</v>
      </c>
      <c r="P34">
        <v>18</v>
      </c>
      <c r="Q34">
        <v>48.325650100014101</v>
      </c>
      <c r="V34">
        <v>48.312531700008499</v>
      </c>
      <c r="W34">
        <v>48.325650100014101</v>
      </c>
      <c r="X34">
        <v>48.8253527000197</v>
      </c>
      <c r="Y34">
        <v>48.8253527000197</v>
      </c>
      <c r="Z34">
        <v>48.8253527000197</v>
      </c>
      <c r="AA34">
        <v>49.577561700018101</v>
      </c>
      <c r="AB34" t="s">
        <v>54</v>
      </c>
      <c r="AC34">
        <v>1</v>
      </c>
      <c r="AD34">
        <v>0.75141169998096302</v>
      </c>
      <c r="AE34" t="s">
        <v>51</v>
      </c>
      <c r="AJ34">
        <v>4</v>
      </c>
      <c r="AK34">
        <v>1</v>
      </c>
      <c r="AL34" t="s">
        <v>85</v>
      </c>
      <c r="AM34" t="s">
        <v>43</v>
      </c>
      <c r="AO34" t="s">
        <v>44</v>
      </c>
      <c r="AP34">
        <v>59.992644915568597</v>
      </c>
      <c r="AQ34" t="s">
        <v>86</v>
      </c>
    </row>
    <row r="35" spans="1:43" x14ac:dyDescent="0.3">
      <c r="A35" t="s">
        <v>78</v>
      </c>
      <c r="B35" t="s">
        <v>47</v>
      </c>
      <c r="C35" t="s">
        <v>56</v>
      </c>
      <c r="D35" t="s">
        <v>49</v>
      </c>
      <c r="E35" t="s">
        <v>57</v>
      </c>
      <c r="F35">
        <v>32</v>
      </c>
      <c r="G35">
        <v>12</v>
      </c>
      <c r="H35">
        <v>1</v>
      </c>
      <c r="I35" t="s">
        <v>57</v>
      </c>
      <c r="J35">
        <v>1</v>
      </c>
      <c r="K35">
        <v>0.7906057999935</v>
      </c>
      <c r="L35" t="s">
        <v>51</v>
      </c>
      <c r="M35">
        <v>1</v>
      </c>
      <c r="N35">
        <v>12</v>
      </c>
      <c r="O35">
        <v>32</v>
      </c>
      <c r="P35">
        <v>17</v>
      </c>
      <c r="Q35">
        <v>49.592637900030198</v>
      </c>
      <c r="V35">
        <v>49.578903799992901</v>
      </c>
      <c r="W35">
        <v>49.592637900030198</v>
      </c>
      <c r="X35">
        <v>50.091895800025597</v>
      </c>
      <c r="Y35">
        <v>50.091895800025597</v>
      </c>
      <c r="Z35">
        <v>50.091895800025597</v>
      </c>
      <c r="AA35">
        <v>50.894144300022099</v>
      </c>
      <c r="AB35" t="s">
        <v>57</v>
      </c>
      <c r="AC35">
        <v>1</v>
      </c>
      <c r="AD35">
        <v>0.7906057999935</v>
      </c>
      <c r="AE35" t="s">
        <v>51</v>
      </c>
      <c r="AJ35">
        <v>4</v>
      </c>
      <c r="AK35">
        <v>1</v>
      </c>
      <c r="AL35" t="s">
        <v>85</v>
      </c>
      <c r="AM35" t="s">
        <v>43</v>
      </c>
      <c r="AO35" t="s">
        <v>44</v>
      </c>
      <c r="AP35">
        <v>59.992644915568597</v>
      </c>
      <c r="AQ35" t="s">
        <v>86</v>
      </c>
    </row>
    <row r="36" spans="1:43" x14ac:dyDescent="0.3">
      <c r="A36" t="s">
        <v>70</v>
      </c>
      <c r="B36" t="s">
        <v>59</v>
      </c>
      <c r="C36" t="s">
        <v>53</v>
      </c>
      <c r="D36" t="s">
        <v>49</v>
      </c>
      <c r="E36" t="s">
        <v>54</v>
      </c>
      <c r="F36">
        <v>33</v>
      </c>
      <c r="G36">
        <v>13</v>
      </c>
      <c r="H36">
        <v>1</v>
      </c>
      <c r="I36" t="s">
        <v>54</v>
      </c>
      <c r="J36">
        <v>1</v>
      </c>
      <c r="K36">
        <v>1.0398826000164201</v>
      </c>
      <c r="L36" t="s">
        <v>51</v>
      </c>
      <c r="M36">
        <v>1</v>
      </c>
      <c r="N36">
        <v>13</v>
      </c>
      <c r="O36">
        <v>33</v>
      </c>
      <c r="P36">
        <v>2</v>
      </c>
      <c r="Q36">
        <v>50.908742500003399</v>
      </c>
      <c r="V36">
        <v>50.895661099988502</v>
      </c>
      <c r="W36">
        <v>50.908742500003399</v>
      </c>
      <c r="X36">
        <v>51.408906800032099</v>
      </c>
      <c r="Y36">
        <v>51.408906800032099</v>
      </c>
      <c r="Z36">
        <v>51.408906800032099</v>
      </c>
      <c r="AA36">
        <v>52.460746199998503</v>
      </c>
      <c r="AB36" t="s">
        <v>54</v>
      </c>
      <c r="AC36">
        <v>1</v>
      </c>
      <c r="AD36">
        <v>1.0398826000164201</v>
      </c>
      <c r="AE36" t="s">
        <v>51</v>
      </c>
      <c r="AJ36">
        <v>4</v>
      </c>
      <c r="AK36">
        <v>1</v>
      </c>
      <c r="AL36" t="s">
        <v>85</v>
      </c>
      <c r="AM36" t="s">
        <v>43</v>
      </c>
      <c r="AO36" t="s">
        <v>44</v>
      </c>
      <c r="AP36">
        <v>59.992644915568597</v>
      </c>
      <c r="AQ36" t="s">
        <v>86</v>
      </c>
    </row>
    <row r="37" spans="1:43" x14ac:dyDescent="0.3">
      <c r="A37" t="s">
        <v>75</v>
      </c>
      <c r="B37" t="s">
        <v>47</v>
      </c>
      <c r="C37" t="s">
        <v>61</v>
      </c>
      <c r="D37" t="s">
        <v>49</v>
      </c>
      <c r="E37" t="s">
        <v>63</v>
      </c>
      <c r="F37">
        <v>34</v>
      </c>
      <c r="G37">
        <v>14</v>
      </c>
      <c r="H37">
        <v>1</v>
      </c>
      <c r="I37" t="s">
        <v>63</v>
      </c>
      <c r="J37">
        <v>1</v>
      </c>
      <c r="K37">
        <v>0.98065719997975898</v>
      </c>
      <c r="L37" t="s">
        <v>51</v>
      </c>
      <c r="M37">
        <v>1</v>
      </c>
      <c r="N37">
        <v>14</v>
      </c>
      <c r="O37">
        <v>34</v>
      </c>
      <c r="P37">
        <v>16</v>
      </c>
      <c r="Q37">
        <v>52.475276599987403</v>
      </c>
      <c r="V37">
        <v>52.462442799995102</v>
      </c>
      <c r="W37">
        <v>52.475276599987403</v>
      </c>
      <c r="X37">
        <v>52.975146899989298</v>
      </c>
      <c r="Y37">
        <v>52.975146899989298</v>
      </c>
      <c r="Z37">
        <v>52.975146899989298</v>
      </c>
      <c r="AA37">
        <v>53.960415399982502</v>
      </c>
      <c r="AB37" t="s">
        <v>63</v>
      </c>
      <c r="AC37">
        <v>1</v>
      </c>
      <c r="AD37">
        <v>0.98065719997975898</v>
      </c>
      <c r="AE37" t="s">
        <v>51</v>
      </c>
      <c r="AJ37">
        <v>4</v>
      </c>
      <c r="AK37">
        <v>1</v>
      </c>
      <c r="AL37" t="s">
        <v>85</v>
      </c>
      <c r="AM37" t="s">
        <v>43</v>
      </c>
      <c r="AO37" t="s">
        <v>44</v>
      </c>
      <c r="AP37">
        <v>59.992644915568597</v>
      </c>
      <c r="AQ37" t="s">
        <v>86</v>
      </c>
    </row>
    <row r="38" spans="1:43" x14ac:dyDescent="0.3">
      <c r="A38" t="s">
        <v>77</v>
      </c>
      <c r="B38" t="s">
        <v>59</v>
      </c>
      <c r="C38" t="s">
        <v>61</v>
      </c>
      <c r="D38" t="s">
        <v>62</v>
      </c>
      <c r="E38" t="s">
        <v>63</v>
      </c>
      <c r="F38">
        <v>35</v>
      </c>
      <c r="G38">
        <v>15</v>
      </c>
      <c r="H38">
        <v>1</v>
      </c>
      <c r="I38" t="s">
        <v>63</v>
      </c>
      <c r="J38">
        <v>1</v>
      </c>
      <c r="K38">
        <v>0.53055779996793695</v>
      </c>
      <c r="L38" t="s">
        <v>51</v>
      </c>
      <c r="M38">
        <v>1</v>
      </c>
      <c r="N38">
        <v>15</v>
      </c>
      <c r="O38">
        <v>35</v>
      </c>
      <c r="P38">
        <v>4</v>
      </c>
      <c r="Q38">
        <v>53.975257400015799</v>
      </c>
      <c r="V38">
        <v>53.961823999998103</v>
      </c>
      <c r="W38">
        <v>53.975257400015799</v>
      </c>
      <c r="X38">
        <v>54.474933399993397</v>
      </c>
      <c r="Y38">
        <v>54.474933399993397</v>
      </c>
      <c r="Z38">
        <v>54.474933399993397</v>
      </c>
      <c r="AA38">
        <v>55.011750400008097</v>
      </c>
      <c r="AB38" t="s">
        <v>63</v>
      </c>
      <c r="AC38">
        <v>1</v>
      </c>
      <c r="AD38">
        <v>0.53055779996793695</v>
      </c>
      <c r="AE38" t="s">
        <v>51</v>
      </c>
      <c r="AJ38">
        <v>4</v>
      </c>
      <c r="AK38">
        <v>1</v>
      </c>
      <c r="AL38" t="s">
        <v>85</v>
      </c>
      <c r="AM38" t="s">
        <v>43</v>
      </c>
      <c r="AO38" t="s">
        <v>44</v>
      </c>
      <c r="AP38">
        <v>59.992644915568597</v>
      </c>
      <c r="AQ38" t="s">
        <v>86</v>
      </c>
    </row>
    <row r="39" spans="1:43" x14ac:dyDescent="0.3">
      <c r="A39" t="s">
        <v>65</v>
      </c>
      <c r="B39" t="s">
        <v>59</v>
      </c>
      <c r="C39" t="s">
        <v>56</v>
      </c>
      <c r="D39" t="s">
        <v>49</v>
      </c>
      <c r="E39" t="s">
        <v>57</v>
      </c>
      <c r="F39">
        <v>36</v>
      </c>
      <c r="G39">
        <v>16</v>
      </c>
      <c r="H39">
        <v>1</v>
      </c>
      <c r="I39" t="s">
        <v>57</v>
      </c>
      <c r="J39">
        <v>1</v>
      </c>
      <c r="K39">
        <v>0.79727300000376999</v>
      </c>
      <c r="L39" t="s">
        <v>51</v>
      </c>
      <c r="M39">
        <v>1</v>
      </c>
      <c r="N39">
        <v>16</v>
      </c>
      <c r="O39">
        <v>36</v>
      </c>
      <c r="P39">
        <v>9</v>
      </c>
      <c r="Q39">
        <v>55.0249630000325</v>
      </c>
      <c r="V39">
        <v>55.014358700020203</v>
      </c>
      <c r="W39">
        <v>55.0249630000325</v>
      </c>
      <c r="X39">
        <v>55.524973499996101</v>
      </c>
      <c r="Y39">
        <v>55.524973499996101</v>
      </c>
      <c r="Z39">
        <v>55.524973499996101</v>
      </c>
      <c r="AA39">
        <v>56.3288022999768</v>
      </c>
      <c r="AB39" t="s">
        <v>57</v>
      </c>
      <c r="AC39">
        <v>1</v>
      </c>
      <c r="AD39">
        <v>0.79727300000376999</v>
      </c>
      <c r="AE39" t="s">
        <v>51</v>
      </c>
      <c r="AJ39">
        <v>4</v>
      </c>
      <c r="AK39">
        <v>1</v>
      </c>
      <c r="AL39" t="s">
        <v>85</v>
      </c>
      <c r="AM39" t="s">
        <v>43</v>
      </c>
      <c r="AO39" t="s">
        <v>44</v>
      </c>
      <c r="AP39">
        <v>59.992644915568597</v>
      </c>
      <c r="AQ39" t="s">
        <v>86</v>
      </c>
    </row>
    <row r="40" spans="1:43" x14ac:dyDescent="0.3">
      <c r="A40" t="s">
        <v>58</v>
      </c>
      <c r="B40" t="s">
        <v>59</v>
      </c>
      <c r="C40" t="s">
        <v>48</v>
      </c>
      <c r="D40" t="s">
        <v>49</v>
      </c>
      <c r="E40" t="s">
        <v>50</v>
      </c>
      <c r="F40">
        <v>37</v>
      </c>
      <c r="G40">
        <v>17</v>
      </c>
      <c r="H40">
        <v>1</v>
      </c>
      <c r="I40" t="s">
        <v>50</v>
      </c>
      <c r="J40">
        <v>1</v>
      </c>
      <c r="K40">
        <v>0.77685750002274201</v>
      </c>
      <c r="L40" t="s">
        <v>51</v>
      </c>
      <c r="M40">
        <v>1</v>
      </c>
      <c r="N40">
        <v>17</v>
      </c>
      <c r="O40">
        <v>37</v>
      </c>
      <c r="P40">
        <v>7</v>
      </c>
      <c r="Q40">
        <v>56.3422404000302</v>
      </c>
      <c r="V40">
        <v>56.3313777000294</v>
      </c>
      <c r="W40">
        <v>56.3422404000302</v>
      </c>
      <c r="X40">
        <v>56.842082299990501</v>
      </c>
      <c r="Y40">
        <v>56.842082299990501</v>
      </c>
      <c r="Z40">
        <v>56.842082299990501</v>
      </c>
      <c r="AA40">
        <v>57.628961900016201</v>
      </c>
      <c r="AB40" t="s">
        <v>50</v>
      </c>
      <c r="AC40">
        <v>1</v>
      </c>
      <c r="AD40">
        <v>0.77685750002274201</v>
      </c>
      <c r="AE40" t="s">
        <v>51</v>
      </c>
      <c r="AJ40">
        <v>4</v>
      </c>
      <c r="AK40">
        <v>1</v>
      </c>
      <c r="AL40" t="s">
        <v>85</v>
      </c>
      <c r="AM40" t="s">
        <v>43</v>
      </c>
      <c r="AO40" t="s">
        <v>44</v>
      </c>
      <c r="AP40">
        <v>59.992644915568597</v>
      </c>
      <c r="AQ40" t="s">
        <v>86</v>
      </c>
    </row>
    <row r="41" spans="1:43" x14ac:dyDescent="0.3">
      <c r="A41" t="s">
        <v>60</v>
      </c>
      <c r="B41" t="s">
        <v>59</v>
      </c>
      <c r="C41" t="s">
        <v>61</v>
      </c>
      <c r="D41" t="s">
        <v>62</v>
      </c>
      <c r="E41" t="s">
        <v>63</v>
      </c>
      <c r="F41">
        <v>38</v>
      </c>
      <c r="G41">
        <v>18</v>
      </c>
      <c r="H41">
        <v>1</v>
      </c>
      <c r="I41" t="s">
        <v>63</v>
      </c>
      <c r="J41">
        <v>1</v>
      </c>
      <c r="K41">
        <v>0.65935309999622405</v>
      </c>
      <c r="L41" t="s">
        <v>51</v>
      </c>
      <c r="M41">
        <v>1</v>
      </c>
      <c r="N41">
        <v>18</v>
      </c>
      <c r="O41">
        <v>38</v>
      </c>
      <c r="P41">
        <v>0</v>
      </c>
      <c r="Q41">
        <v>57.641951400029903</v>
      </c>
      <c r="V41">
        <v>57.631140800018301</v>
      </c>
      <c r="W41">
        <v>57.641951400029903</v>
      </c>
      <c r="X41">
        <v>58.142327899986398</v>
      </c>
      <c r="Y41">
        <v>58.142327899986398</v>
      </c>
      <c r="Z41">
        <v>58.142327899986398</v>
      </c>
      <c r="AA41">
        <v>58.812436899985101</v>
      </c>
      <c r="AB41" t="s">
        <v>63</v>
      </c>
      <c r="AC41">
        <v>1</v>
      </c>
      <c r="AD41">
        <v>0.65935309999622405</v>
      </c>
      <c r="AE41" t="s">
        <v>51</v>
      </c>
      <c r="AJ41">
        <v>4</v>
      </c>
      <c r="AK41">
        <v>1</v>
      </c>
      <c r="AL41" t="s">
        <v>85</v>
      </c>
      <c r="AM41" t="s">
        <v>43</v>
      </c>
      <c r="AO41" t="s">
        <v>44</v>
      </c>
      <c r="AP41">
        <v>59.992644915568597</v>
      </c>
      <c r="AQ41" t="s">
        <v>86</v>
      </c>
    </row>
    <row r="42" spans="1:43" x14ac:dyDescent="0.3">
      <c r="A42" t="s">
        <v>52</v>
      </c>
      <c r="B42" t="s">
        <v>47</v>
      </c>
      <c r="C42" t="s">
        <v>53</v>
      </c>
      <c r="D42" t="s">
        <v>49</v>
      </c>
      <c r="E42" t="s">
        <v>54</v>
      </c>
      <c r="F42">
        <v>39</v>
      </c>
      <c r="G42">
        <v>19</v>
      </c>
      <c r="H42">
        <v>1</v>
      </c>
      <c r="I42" t="s">
        <v>54</v>
      </c>
      <c r="J42">
        <v>1</v>
      </c>
      <c r="K42">
        <v>0.98113929998362404</v>
      </c>
      <c r="L42" t="s">
        <v>51</v>
      </c>
      <c r="M42">
        <v>1</v>
      </c>
      <c r="N42">
        <v>19</v>
      </c>
      <c r="O42">
        <v>39</v>
      </c>
      <c r="P42">
        <v>14</v>
      </c>
      <c r="Q42">
        <v>58.825652400031601</v>
      </c>
      <c r="V42">
        <v>58.815124300017402</v>
      </c>
      <c r="W42">
        <v>58.825652400031601</v>
      </c>
      <c r="X42">
        <v>59.325310499989399</v>
      </c>
      <c r="Y42">
        <v>59.325310499989399</v>
      </c>
      <c r="Z42">
        <v>59.325310499989399</v>
      </c>
      <c r="AA42">
        <v>60.313429200032203</v>
      </c>
      <c r="AB42" t="s">
        <v>54</v>
      </c>
      <c r="AC42">
        <v>1</v>
      </c>
      <c r="AD42">
        <v>0.98113929998362404</v>
      </c>
      <c r="AE42" t="s">
        <v>51</v>
      </c>
      <c r="AJ42">
        <v>4</v>
      </c>
      <c r="AK42">
        <v>1</v>
      </c>
      <c r="AL42" t="s">
        <v>85</v>
      </c>
      <c r="AM42" t="s">
        <v>43</v>
      </c>
      <c r="AO42" t="s">
        <v>44</v>
      </c>
      <c r="AP42">
        <v>59.992644915568597</v>
      </c>
      <c r="AQ42" t="s">
        <v>86</v>
      </c>
    </row>
    <row r="43" spans="1:43" x14ac:dyDescent="0.3">
      <c r="A43" t="s">
        <v>60</v>
      </c>
      <c r="B43" t="s">
        <v>59</v>
      </c>
      <c r="C43" t="s">
        <v>61</v>
      </c>
      <c r="D43" t="s">
        <v>62</v>
      </c>
      <c r="E43" t="s">
        <v>63</v>
      </c>
      <c r="F43">
        <v>40</v>
      </c>
      <c r="G43">
        <v>0</v>
      </c>
      <c r="H43">
        <v>2</v>
      </c>
      <c r="I43" t="s">
        <v>63</v>
      </c>
      <c r="J43">
        <v>1</v>
      </c>
      <c r="K43">
        <v>0.57776660000672497</v>
      </c>
      <c r="L43" t="s">
        <v>51</v>
      </c>
      <c r="M43">
        <v>2</v>
      </c>
      <c r="N43">
        <v>0</v>
      </c>
      <c r="O43">
        <v>40</v>
      </c>
      <c r="P43">
        <v>0</v>
      </c>
      <c r="Q43">
        <v>60.325207000016199</v>
      </c>
      <c r="V43">
        <v>60.315887300006501</v>
      </c>
      <c r="W43">
        <v>60.325207000016199</v>
      </c>
      <c r="X43">
        <v>60.8252478999784</v>
      </c>
      <c r="Y43">
        <v>60.8252478999784</v>
      </c>
      <c r="Z43">
        <v>60.8252478999784</v>
      </c>
      <c r="AA43">
        <v>61.412219299992998</v>
      </c>
      <c r="AB43" t="s">
        <v>63</v>
      </c>
      <c r="AC43">
        <v>1</v>
      </c>
      <c r="AD43">
        <v>0.57776660000672497</v>
      </c>
      <c r="AE43" t="s">
        <v>51</v>
      </c>
      <c r="AJ43">
        <v>4</v>
      </c>
      <c r="AK43">
        <v>1</v>
      </c>
      <c r="AL43" t="s">
        <v>85</v>
      </c>
      <c r="AM43" t="s">
        <v>43</v>
      </c>
      <c r="AO43" t="s">
        <v>44</v>
      </c>
      <c r="AP43">
        <v>59.992644915568597</v>
      </c>
      <c r="AQ43" t="s">
        <v>86</v>
      </c>
    </row>
    <row r="44" spans="1:43" x14ac:dyDescent="0.3">
      <c r="A44" t="s">
        <v>77</v>
      </c>
      <c r="B44" t="s">
        <v>59</v>
      </c>
      <c r="C44" t="s">
        <v>61</v>
      </c>
      <c r="D44" t="s">
        <v>62</v>
      </c>
      <c r="E44" t="s">
        <v>63</v>
      </c>
      <c r="F44">
        <v>41</v>
      </c>
      <c r="G44">
        <v>1</v>
      </c>
      <c r="H44">
        <v>2</v>
      </c>
      <c r="I44" t="s">
        <v>63</v>
      </c>
      <c r="J44">
        <v>1</v>
      </c>
      <c r="K44">
        <v>0.56156489998102099</v>
      </c>
      <c r="L44" t="s">
        <v>51</v>
      </c>
      <c r="M44">
        <v>2</v>
      </c>
      <c r="N44">
        <v>1</v>
      </c>
      <c r="O44">
        <v>41</v>
      </c>
      <c r="P44">
        <v>4</v>
      </c>
      <c r="Q44">
        <v>61.425751900009303</v>
      </c>
      <c r="V44">
        <v>61.414541399979498</v>
      </c>
      <c r="W44">
        <v>61.425751900009303</v>
      </c>
      <c r="X44">
        <v>61.925201700010803</v>
      </c>
      <c r="Y44">
        <v>61.925201700010803</v>
      </c>
      <c r="Z44">
        <v>61.925201700010803</v>
      </c>
      <c r="AA44">
        <v>62.495233100024002</v>
      </c>
      <c r="AB44" t="s">
        <v>63</v>
      </c>
      <c r="AC44">
        <v>1</v>
      </c>
      <c r="AD44">
        <v>0.56156489998102099</v>
      </c>
      <c r="AE44" t="s">
        <v>51</v>
      </c>
      <c r="AJ44">
        <v>4</v>
      </c>
      <c r="AK44">
        <v>1</v>
      </c>
      <c r="AL44" t="s">
        <v>85</v>
      </c>
      <c r="AM44" t="s">
        <v>43</v>
      </c>
      <c r="AO44" t="s">
        <v>44</v>
      </c>
      <c r="AP44">
        <v>59.992644915568597</v>
      </c>
      <c r="AQ44" t="s">
        <v>86</v>
      </c>
    </row>
    <row r="45" spans="1:43" x14ac:dyDescent="0.3">
      <c r="A45" t="s">
        <v>76</v>
      </c>
      <c r="B45" t="s">
        <v>59</v>
      </c>
      <c r="C45" t="s">
        <v>48</v>
      </c>
      <c r="D45" t="s">
        <v>49</v>
      </c>
      <c r="E45" t="s">
        <v>50</v>
      </c>
      <c r="F45">
        <v>42</v>
      </c>
      <c r="G45">
        <v>2</v>
      </c>
      <c r="H45">
        <v>2</v>
      </c>
      <c r="I45" t="s">
        <v>57</v>
      </c>
      <c r="J45">
        <v>0</v>
      </c>
      <c r="K45">
        <v>0.72918770002433997</v>
      </c>
      <c r="L45" t="s">
        <v>51</v>
      </c>
      <c r="M45">
        <v>2</v>
      </c>
      <c r="N45">
        <v>2</v>
      </c>
      <c r="O45">
        <v>42</v>
      </c>
      <c r="P45">
        <v>3</v>
      </c>
      <c r="Q45">
        <v>62.508249700011199</v>
      </c>
      <c r="V45">
        <v>62.498238100029901</v>
      </c>
      <c r="W45">
        <v>62.508249700011199</v>
      </c>
      <c r="X45">
        <v>63.0088016000227</v>
      </c>
      <c r="Y45">
        <v>63.0088016000227</v>
      </c>
      <c r="Z45">
        <v>63.0088016000227</v>
      </c>
      <c r="AA45">
        <v>63.745346700015901</v>
      </c>
      <c r="AB45" t="s">
        <v>57</v>
      </c>
      <c r="AC45">
        <v>0</v>
      </c>
      <c r="AD45">
        <v>0.72918770002433997</v>
      </c>
      <c r="AE45" t="s">
        <v>51</v>
      </c>
      <c r="AJ45">
        <v>4</v>
      </c>
      <c r="AK45">
        <v>1</v>
      </c>
      <c r="AL45" t="s">
        <v>85</v>
      </c>
      <c r="AM45" t="s">
        <v>43</v>
      </c>
      <c r="AO45" t="s">
        <v>44</v>
      </c>
      <c r="AP45">
        <v>59.992644915568597</v>
      </c>
      <c r="AQ45" t="s">
        <v>86</v>
      </c>
    </row>
    <row r="46" spans="1:43" x14ac:dyDescent="0.3">
      <c r="A46" t="s">
        <v>70</v>
      </c>
      <c r="B46" t="s">
        <v>59</v>
      </c>
      <c r="C46" t="s">
        <v>53</v>
      </c>
      <c r="D46" t="s">
        <v>49</v>
      </c>
      <c r="E46" t="s">
        <v>54</v>
      </c>
      <c r="F46">
        <v>43</v>
      </c>
      <c r="G46">
        <v>3</v>
      </c>
      <c r="H46">
        <v>2</v>
      </c>
      <c r="I46" t="s">
        <v>54</v>
      </c>
      <c r="J46">
        <v>1</v>
      </c>
      <c r="K46">
        <v>0.77791549998801202</v>
      </c>
      <c r="L46" t="s">
        <v>51</v>
      </c>
      <c r="M46">
        <v>2</v>
      </c>
      <c r="N46">
        <v>3</v>
      </c>
      <c r="O46">
        <v>43</v>
      </c>
      <c r="P46">
        <v>2</v>
      </c>
      <c r="Q46">
        <v>63.758399099984601</v>
      </c>
      <c r="V46">
        <v>63.747861900017597</v>
      </c>
      <c r="W46">
        <v>63.758399099984601</v>
      </c>
      <c r="X46">
        <v>64.258455900009693</v>
      </c>
      <c r="Y46">
        <v>64.258455900009693</v>
      </c>
      <c r="Z46">
        <v>64.258455900009693</v>
      </c>
      <c r="AA46">
        <v>65.045757899992097</v>
      </c>
      <c r="AB46" t="s">
        <v>54</v>
      </c>
      <c r="AC46">
        <v>1</v>
      </c>
      <c r="AD46">
        <v>0.77791549998801202</v>
      </c>
      <c r="AE46" t="s">
        <v>51</v>
      </c>
      <c r="AJ46">
        <v>4</v>
      </c>
      <c r="AK46">
        <v>1</v>
      </c>
      <c r="AL46" t="s">
        <v>85</v>
      </c>
      <c r="AM46" t="s">
        <v>43</v>
      </c>
      <c r="AO46" t="s">
        <v>44</v>
      </c>
      <c r="AP46">
        <v>59.992644915568597</v>
      </c>
      <c r="AQ46" t="s">
        <v>86</v>
      </c>
    </row>
    <row r="47" spans="1:43" x14ac:dyDescent="0.3">
      <c r="A47" t="s">
        <v>55</v>
      </c>
      <c r="B47" t="s">
        <v>47</v>
      </c>
      <c r="C47" t="s">
        <v>56</v>
      </c>
      <c r="D47" t="s">
        <v>49</v>
      </c>
      <c r="E47" t="s">
        <v>57</v>
      </c>
      <c r="F47">
        <v>44</v>
      </c>
      <c r="G47">
        <v>4</v>
      </c>
      <c r="H47">
        <v>2</v>
      </c>
      <c r="I47" t="s">
        <v>57</v>
      </c>
      <c r="J47">
        <v>1</v>
      </c>
      <c r="K47">
        <v>0.95712340000318297</v>
      </c>
      <c r="L47" t="s">
        <v>51</v>
      </c>
      <c r="M47">
        <v>2</v>
      </c>
      <c r="N47">
        <v>4</v>
      </c>
      <c r="O47">
        <v>44</v>
      </c>
      <c r="P47">
        <v>13</v>
      </c>
      <c r="Q47">
        <v>65.058557600015703</v>
      </c>
      <c r="V47">
        <v>65.049093600013293</v>
      </c>
      <c r="W47">
        <v>65.058557600015703</v>
      </c>
      <c r="X47">
        <v>65.558416699990602</v>
      </c>
      <c r="Y47">
        <v>65.558416699990602</v>
      </c>
      <c r="Z47">
        <v>65.558416699990602</v>
      </c>
      <c r="AA47">
        <v>66.529772099980605</v>
      </c>
      <c r="AB47" t="s">
        <v>57</v>
      </c>
      <c r="AC47">
        <v>1</v>
      </c>
      <c r="AD47">
        <v>0.95712340000318297</v>
      </c>
      <c r="AE47" t="s">
        <v>51</v>
      </c>
      <c r="AJ47">
        <v>4</v>
      </c>
      <c r="AK47">
        <v>1</v>
      </c>
      <c r="AL47" t="s">
        <v>85</v>
      </c>
      <c r="AM47" t="s">
        <v>43</v>
      </c>
      <c r="AO47" t="s">
        <v>44</v>
      </c>
      <c r="AP47">
        <v>59.992644915568597</v>
      </c>
      <c r="AQ47" t="s">
        <v>86</v>
      </c>
    </row>
    <row r="48" spans="1:43" x14ac:dyDescent="0.3">
      <c r="A48" t="s">
        <v>78</v>
      </c>
      <c r="B48" t="s">
        <v>47</v>
      </c>
      <c r="C48" t="s">
        <v>56</v>
      </c>
      <c r="D48" t="s">
        <v>49</v>
      </c>
      <c r="E48" t="s">
        <v>57</v>
      </c>
      <c r="F48">
        <v>45</v>
      </c>
      <c r="G48">
        <v>5</v>
      </c>
      <c r="H48">
        <v>2</v>
      </c>
      <c r="I48" t="s">
        <v>63</v>
      </c>
      <c r="J48">
        <v>0</v>
      </c>
      <c r="K48">
        <v>0.77052419999381505</v>
      </c>
      <c r="L48" t="s">
        <v>51</v>
      </c>
      <c r="M48">
        <v>2</v>
      </c>
      <c r="N48">
        <v>5</v>
      </c>
      <c r="O48">
        <v>45</v>
      </c>
      <c r="P48">
        <v>17</v>
      </c>
      <c r="Q48">
        <v>66.5413050000206</v>
      </c>
      <c r="V48">
        <v>66.532533099991198</v>
      </c>
      <c r="W48">
        <v>66.5413050000206</v>
      </c>
      <c r="X48">
        <v>67.042655800003502</v>
      </c>
      <c r="Y48">
        <v>67.042655800003502</v>
      </c>
      <c r="Z48">
        <v>67.042655800003502</v>
      </c>
      <c r="AA48">
        <v>67.8289458000217</v>
      </c>
      <c r="AB48" t="s">
        <v>63</v>
      </c>
      <c r="AC48">
        <v>0</v>
      </c>
      <c r="AD48">
        <v>0.77052419999381505</v>
      </c>
      <c r="AE48" t="s">
        <v>51</v>
      </c>
      <c r="AJ48">
        <v>4</v>
      </c>
      <c r="AK48">
        <v>1</v>
      </c>
      <c r="AL48" t="s">
        <v>85</v>
      </c>
      <c r="AM48" t="s">
        <v>43</v>
      </c>
      <c r="AO48" t="s">
        <v>44</v>
      </c>
      <c r="AP48">
        <v>59.992644915568597</v>
      </c>
      <c r="AQ48" t="s">
        <v>86</v>
      </c>
    </row>
    <row r="49" spans="1:43" x14ac:dyDescent="0.3">
      <c r="A49" t="s">
        <v>72</v>
      </c>
      <c r="B49" t="s">
        <v>59</v>
      </c>
      <c r="C49" t="s">
        <v>61</v>
      </c>
      <c r="D49" t="s">
        <v>62</v>
      </c>
      <c r="E49" t="s">
        <v>63</v>
      </c>
      <c r="F49">
        <v>46</v>
      </c>
      <c r="G49">
        <v>6</v>
      </c>
      <c r="H49">
        <v>2</v>
      </c>
      <c r="I49" t="s">
        <v>63</v>
      </c>
      <c r="J49">
        <v>1</v>
      </c>
      <c r="K49">
        <v>0.53022070002043598</v>
      </c>
      <c r="L49" t="s">
        <v>51</v>
      </c>
      <c r="M49">
        <v>2</v>
      </c>
      <c r="N49">
        <v>6</v>
      </c>
      <c r="O49">
        <v>46</v>
      </c>
      <c r="P49">
        <v>8</v>
      </c>
      <c r="Q49">
        <v>67.842245500010904</v>
      </c>
      <c r="V49">
        <v>67.832124000007695</v>
      </c>
      <c r="W49">
        <v>67.842245500010904</v>
      </c>
      <c r="X49">
        <v>68.341479499998897</v>
      </c>
      <c r="Y49">
        <v>68.341479499998897</v>
      </c>
      <c r="Z49">
        <v>68.341479499998897</v>
      </c>
      <c r="AA49">
        <v>68.879183900018603</v>
      </c>
      <c r="AB49" t="s">
        <v>63</v>
      </c>
      <c r="AC49">
        <v>1</v>
      </c>
      <c r="AD49">
        <v>0.53022070002043598</v>
      </c>
      <c r="AE49" t="s">
        <v>51</v>
      </c>
      <c r="AJ49">
        <v>4</v>
      </c>
      <c r="AK49">
        <v>1</v>
      </c>
      <c r="AL49" t="s">
        <v>85</v>
      </c>
      <c r="AM49" t="s">
        <v>43</v>
      </c>
      <c r="AO49" t="s">
        <v>44</v>
      </c>
      <c r="AP49">
        <v>59.992644915568597</v>
      </c>
      <c r="AQ49" t="s">
        <v>86</v>
      </c>
    </row>
    <row r="50" spans="1:43" x14ac:dyDescent="0.3">
      <c r="A50" t="s">
        <v>66</v>
      </c>
      <c r="B50" t="s">
        <v>47</v>
      </c>
      <c r="C50" t="s">
        <v>61</v>
      </c>
      <c r="D50" t="s">
        <v>49</v>
      </c>
      <c r="E50" t="s">
        <v>63</v>
      </c>
      <c r="F50">
        <v>47</v>
      </c>
      <c r="G50">
        <v>7</v>
      </c>
      <c r="H50">
        <v>2</v>
      </c>
      <c r="I50" t="s">
        <v>63</v>
      </c>
      <c r="J50">
        <v>1</v>
      </c>
      <c r="K50">
        <v>0.366891099954955</v>
      </c>
      <c r="L50" t="s">
        <v>51</v>
      </c>
      <c r="M50">
        <v>2</v>
      </c>
      <c r="N50">
        <v>7</v>
      </c>
      <c r="O50">
        <v>47</v>
      </c>
      <c r="P50">
        <v>12</v>
      </c>
      <c r="Q50">
        <v>68.891866000019903</v>
      </c>
      <c r="V50">
        <v>68.882774600002406</v>
      </c>
      <c r="W50">
        <v>68.891866000019903</v>
      </c>
      <c r="X50">
        <v>69.391593599982997</v>
      </c>
      <c r="Y50">
        <v>69.391593599982997</v>
      </c>
      <c r="Z50">
        <v>69.391593599982997</v>
      </c>
      <c r="AA50">
        <v>69.761658200004604</v>
      </c>
      <c r="AB50" t="s">
        <v>63</v>
      </c>
      <c r="AC50">
        <v>1</v>
      </c>
      <c r="AD50">
        <v>0.366891099954955</v>
      </c>
      <c r="AE50" t="s">
        <v>51</v>
      </c>
      <c r="AJ50">
        <v>4</v>
      </c>
      <c r="AK50">
        <v>1</v>
      </c>
      <c r="AL50" t="s">
        <v>85</v>
      </c>
      <c r="AM50" t="s">
        <v>43</v>
      </c>
      <c r="AO50" t="s">
        <v>44</v>
      </c>
      <c r="AP50">
        <v>59.992644915568597</v>
      </c>
      <c r="AQ50" t="s">
        <v>86</v>
      </c>
    </row>
    <row r="51" spans="1:43" x14ac:dyDescent="0.3">
      <c r="A51" t="s">
        <v>65</v>
      </c>
      <c r="B51" t="s">
        <v>59</v>
      </c>
      <c r="C51" t="s">
        <v>56</v>
      </c>
      <c r="D51" t="s">
        <v>49</v>
      </c>
      <c r="E51" t="s">
        <v>57</v>
      </c>
      <c r="F51">
        <v>48</v>
      </c>
      <c r="G51">
        <v>8</v>
      </c>
      <c r="H51">
        <v>2</v>
      </c>
      <c r="I51" t="s">
        <v>57</v>
      </c>
      <c r="J51">
        <v>1</v>
      </c>
      <c r="K51">
        <v>0.693160799972247</v>
      </c>
      <c r="L51" t="s">
        <v>51</v>
      </c>
      <c r="M51">
        <v>2</v>
      </c>
      <c r="N51">
        <v>8</v>
      </c>
      <c r="O51">
        <v>48</v>
      </c>
      <c r="P51">
        <v>9</v>
      </c>
      <c r="Q51">
        <v>69.774863699974901</v>
      </c>
      <c r="V51">
        <v>69.765221300011007</v>
      </c>
      <c r="W51">
        <v>69.774863699974901</v>
      </c>
      <c r="X51">
        <v>70.274693100014701</v>
      </c>
      <c r="Y51">
        <v>70.274693100014701</v>
      </c>
      <c r="Z51">
        <v>70.274693100014701</v>
      </c>
      <c r="AA51">
        <v>70.978853599983196</v>
      </c>
      <c r="AB51" t="s">
        <v>57</v>
      </c>
      <c r="AC51">
        <v>1</v>
      </c>
      <c r="AD51">
        <v>0.693160799972247</v>
      </c>
      <c r="AE51" t="s">
        <v>51</v>
      </c>
      <c r="AJ51">
        <v>4</v>
      </c>
      <c r="AK51">
        <v>1</v>
      </c>
      <c r="AL51" t="s">
        <v>85</v>
      </c>
      <c r="AM51" t="s">
        <v>43</v>
      </c>
      <c r="AO51" t="s">
        <v>44</v>
      </c>
      <c r="AP51">
        <v>59.992644915568597</v>
      </c>
      <c r="AQ51" t="s">
        <v>86</v>
      </c>
    </row>
    <row r="52" spans="1:43" x14ac:dyDescent="0.3">
      <c r="A52" t="s">
        <v>69</v>
      </c>
      <c r="B52" t="s">
        <v>59</v>
      </c>
      <c r="C52" t="s">
        <v>56</v>
      </c>
      <c r="D52" t="s">
        <v>49</v>
      </c>
      <c r="E52" t="s">
        <v>57</v>
      </c>
      <c r="F52">
        <v>49</v>
      </c>
      <c r="G52">
        <v>9</v>
      </c>
      <c r="H52">
        <v>2</v>
      </c>
      <c r="I52" t="s">
        <v>57</v>
      </c>
      <c r="J52">
        <v>1</v>
      </c>
      <c r="K52">
        <v>1.0865412999992199</v>
      </c>
      <c r="L52" t="s">
        <v>51</v>
      </c>
      <c r="M52">
        <v>2</v>
      </c>
      <c r="N52">
        <v>9</v>
      </c>
      <c r="O52">
        <v>49</v>
      </c>
      <c r="P52">
        <v>5</v>
      </c>
      <c r="Q52">
        <v>70.991587999975295</v>
      </c>
      <c r="V52">
        <v>70.982713799981795</v>
      </c>
      <c r="W52">
        <v>70.991587999975295</v>
      </c>
      <c r="X52">
        <v>71.491290199977797</v>
      </c>
      <c r="Y52">
        <v>71.491290199977797</v>
      </c>
      <c r="Z52">
        <v>71.491290199977797</v>
      </c>
      <c r="AA52">
        <v>72.578217700007301</v>
      </c>
      <c r="AB52" t="s">
        <v>57</v>
      </c>
      <c r="AC52">
        <v>1</v>
      </c>
      <c r="AD52">
        <v>1.0865412999992199</v>
      </c>
      <c r="AE52" t="s">
        <v>51</v>
      </c>
      <c r="AJ52">
        <v>4</v>
      </c>
      <c r="AK52">
        <v>1</v>
      </c>
      <c r="AL52" t="s">
        <v>85</v>
      </c>
      <c r="AM52" t="s">
        <v>43</v>
      </c>
      <c r="AO52" t="s">
        <v>44</v>
      </c>
      <c r="AP52">
        <v>59.992644915568597</v>
      </c>
      <c r="AQ52" t="s">
        <v>86</v>
      </c>
    </row>
    <row r="53" spans="1:43" x14ac:dyDescent="0.3">
      <c r="A53" t="s">
        <v>52</v>
      </c>
      <c r="B53" t="s">
        <v>47</v>
      </c>
      <c r="C53" t="s">
        <v>53</v>
      </c>
      <c r="D53" t="s">
        <v>49</v>
      </c>
      <c r="E53" t="s">
        <v>54</v>
      </c>
      <c r="F53">
        <v>50</v>
      </c>
      <c r="G53">
        <v>10</v>
      </c>
      <c r="H53">
        <v>2</v>
      </c>
      <c r="I53" t="s">
        <v>54</v>
      </c>
      <c r="J53">
        <v>1</v>
      </c>
      <c r="K53">
        <v>0.67173040000488904</v>
      </c>
      <c r="L53" t="s">
        <v>51</v>
      </c>
      <c r="M53">
        <v>2</v>
      </c>
      <c r="N53">
        <v>10</v>
      </c>
      <c r="O53">
        <v>50</v>
      </c>
      <c r="P53">
        <v>14</v>
      </c>
      <c r="Q53">
        <v>72.591306700021903</v>
      </c>
      <c r="V53">
        <v>72.581427299999604</v>
      </c>
      <c r="W53">
        <v>72.591306700021903</v>
      </c>
      <c r="X53">
        <v>73.091208100027799</v>
      </c>
      <c r="Y53">
        <v>73.091208100027799</v>
      </c>
      <c r="Z53">
        <v>73.091208100027799</v>
      </c>
      <c r="AA53">
        <v>73.778169299999703</v>
      </c>
      <c r="AB53" t="s">
        <v>54</v>
      </c>
      <c r="AC53">
        <v>1</v>
      </c>
      <c r="AD53">
        <v>0.67173040000488904</v>
      </c>
      <c r="AE53" t="s">
        <v>51</v>
      </c>
      <c r="AJ53">
        <v>4</v>
      </c>
      <c r="AK53">
        <v>1</v>
      </c>
      <c r="AL53" t="s">
        <v>85</v>
      </c>
      <c r="AM53" t="s">
        <v>43</v>
      </c>
      <c r="AO53" t="s">
        <v>44</v>
      </c>
      <c r="AP53">
        <v>59.992644915568597</v>
      </c>
      <c r="AQ53" t="s">
        <v>86</v>
      </c>
    </row>
    <row r="54" spans="1:43" x14ac:dyDescent="0.3">
      <c r="A54" t="s">
        <v>73</v>
      </c>
      <c r="B54" t="s">
        <v>59</v>
      </c>
      <c r="C54" t="s">
        <v>56</v>
      </c>
      <c r="D54" t="s">
        <v>49</v>
      </c>
      <c r="E54" t="s">
        <v>57</v>
      </c>
      <c r="F54">
        <v>51</v>
      </c>
      <c r="G54">
        <v>11</v>
      </c>
      <c r="H54">
        <v>2</v>
      </c>
      <c r="I54" t="s">
        <v>57</v>
      </c>
      <c r="J54">
        <v>1</v>
      </c>
      <c r="K54">
        <v>0.85491759999422301</v>
      </c>
      <c r="L54" t="s">
        <v>51</v>
      </c>
      <c r="M54">
        <v>2</v>
      </c>
      <c r="N54">
        <v>11</v>
      </c>
      <c r="O54">
        <v>51</v>
      </c>
      <c r="P54">
        <v>1</v>
      </c>
      <c r="Q54">
        <v>73.791702500020605</v>
      </c>
      <c r="V54">
        <v>73.780714599997694</v>
      </c>
      <c r="W54">
        <v>73.791702500020605</v>
      </c>
      <c r="X54">
        <v>74.291416399995796</v>
      </c>
      <c r="Y54">
        <v>74.291416399995796</v>
      </c>
      <c r="Z54">
        <v>74.291416399995796</v>
      </c>
      <c r="AA54">
        <v>75.161478499998296</v>
      </c>
      <c r="AB54" t="s">
        <v>57</v>
      </c>
      <c r="AC54">
        <v>1</v>
      </c>
      <c r="AD54">
        <v>0.85491759999422301</v>
      </c>
      <c r="AE54" t="s">
        <v>51</v>
      </c>
      <c r="AJ54">
        <v>4</v>
      </c>
      <c r="AK54">
        <v>1</v>
      </c>
      <c r="AL54" t="s">
        <v>85</v>
      </c>
      <c r="AM54" t="s">
        <v>43</v>
      </c>
      <c r="AO54" t="s">
        <v>44</v>
      </c>
      <c r="AP54">
        <v>59.992644915568597</v>
      </c>
      <c r="AQ54" t="s">
        <v>86</v>
      </c>
    </row>
    <row r="55" spans="1:43" x14ac:dyDescent="0.3">
      <c r="A55" t="s">
        <v>64</v>
      </c>
      <c r="B55" t="s">
        <v>47</v>
      </c>
      <c r="C55" t="s">
        <v>53</v>
      </c>
      <c r="D55" t="s">
        <v>49</v>
      </c>
      <c r="E55" t="s">
        <v>54</v>
      </c>
      <c r="F55">
        <v>52</v>
      </c>
      <c r="G55">
        <v>12</v>
      </c>
      <c r="H55">
        <v>2</v>
      </c>
      <c r="I55" t="s">
        <v>54</v>
      </c>
      <c r="J55">
        <v>1</v>
      </c>
      <c r="K55">
        <v>1.42252079996978</v>
      </c>
      <c r="L55" t="s">
        <v>51</v>
      </c>
      <c r="M55">
        <v>2</v>
      </c>
      <c r="N55">
        <v>12</v>
      </c>
      <c r="O55">
        <v>52</v>
      </c>
      <c r="P55">
        <v>18</v>
      </c>
      <c r="Q55">
        <v>75.175102700013596</v>
      </c>
      <c r="V55">
        <v>75.163862699991995</v>
      </c>
      <c r="W55">
        <v>75.175102700013596</v>
      </c>
      <c r="X55">
        <v>75.674556599988094</v>
      </c>
      <c r="Y55">
        <v>75.674556599988094</v>
      </c>
      <c r="Z55">
        <v>75.674556599988094</v>
      </c>
      <c r="AA55">
        <v>77.113217999984002</v>
      </c>
      <c r="AB55" t="s">
        <v>54</v>
      </c>
      <c r="AC55">
        <v>1</v>
      </c>
      <c r="AD55">
        <v>1.42252079996978</v>
      </c>
      <c r="AE55" t="s">
        <v>51</v>
      </c>
      <c r="AJ55">
        <v>4</v>
      </c>
      <c r="AK55">
        <v>1</v>
      </c>
      <c r="AL55" t="s">
        <v>85</v>
      </c>
      <c r="AM55" t="s">
        <v>43</v>
      </c>
      <c r="AO55" t="s">
        <v>44</v>
      </c>
      <c r="AP55">
        <v>59.992644915568597</v>
      </c>
      <c r="AQ55" t="s">
        <v>86</v>
      </c>
    </row>
    <row r="56" spans="1:43" x14ac:dyDescent="0.3">
      <c r="A56" t="s">
        <v>46</v>
      </c>
      <c r="B56" t="s">
        <v>47</v>
      </c>
      <c r="C56" t="s">
        <v>48</v>
      </c>
      <c r="D56" t="s">
        <v>49</v>
      </c>
      <c r="E56" t="s">
        <v>50</v>
      </c>
      <c r="F56">
        <v>53</v>
      </c>
      <c r="G56">
        <v>13</v>
      </c>
      <c r="H56">
        <v>2</v>
      </c>
      <c r="I56" t="s">
        <v>50</v>
      </c>
      <c r="J56">
        <v>1</v>
      </c>
      <c r="K56">
        <v>0.84413089998997703</v>
      </c>
      <c r="L56" t="s">
        <v>51</v>
      </c>
      <c r="M56">
        <v>2</v>
      </c>
      <c r="N56">
        <v>13</v>
      </c>
      <c r="O56">
        <v>53</v>
      </c>
      <c r="P56">
        <v>19</v>
      </c>
      <c r="Q56">
        <v>77.125854799989597</v>
      </c>
      <c r="V56">
        <v>77.116895999992195</v>
      </c>
      <c r="W56">
        <v>77.125854799989597</v>
      </c>
      <c r="X56">
        <v>77.624675300030503</v>
      </c>
      <c r="Y56">
        <v>77.624675300030503</v>
      </c>
      <c r="Z56">
        <v>77.624675300030503</v>
      </c>
      <c r="AA56">
        <v>78.477898399985804</v>
      </c>
      <c r="AB56" t="s">
        <v>50</v>
      </c>
      <c r="AC56">
        <v>1</v>
      </c>
      <c r="AD56">
        <v>0.84413089998997703</v>
      </c>
      <c r="AE56" t="s">
        <v>51</v>
      </c>
      <c r="AJ56">
        <v>4</v>
      </c>
      <c r="AK56">
        <v>1</v>
      </c>
      <c r="AL56" t="s">
        <v>85</v>
      </c>
      <c r="AM56" t="s">
        <v>43</v>
      </c>
      <c r="AO56" t="s">
        <v>44</v>
      </c>
      <c r="AP56">
        <v>59.992644915568597</v>
      </c>
      <c r="AQ56" t="s">
        <v>86</v>
      </c>
    </row>
    <row r="57" spans="1:43" x14ac:dyDescent="0.3">
      <c r="A57" t="s">
        <v>75</v>
      </c>
      <c r="B57" t="s">
        <v>47</v>
      </c>
      <c r="C57" t="s">
        <v>61</v>
      </c>
      <c r="D57" t="s">
        <v>49</v>
      </c>
      <c r="E57" t="s">
        <v>63</v>
      </c>
      <c r="F57">
        <v>54</v>
      </c>
      <c r="G57">
        <v>14</v>
      </c>
      <c r="H57">
        <v>2</v>
      </c>
      <c r="I57" t="s">
        <v>63</v>
      </c>
      <c r="J57">
        <v>1</v>
      </c>
      <c r="K57">
        <v>0.64040319999912698</v>
      </c>
      <c r="L57" t="s">
        <v>51</v>
      </c>
      <c r="M57">
        <v>2</v>
      </c>
      <c r="N57">
        <v>14</v>
      </c>
      <c r="O57">
        <v>54</v>
      </c>
      <c r="P57">
        <v>16</v>
      </c>
      <c r="Q57">
        <v>78.491096000012405</v>
      </c>
      <c r="V57">
        <v>78.480270700005306</v>
      </c>
      <c r="W57">
        <v>78.491096000012405</v>
      </c>
      <c r="X57">
        <v>78.9913954000221</v>
      </c>
      <c r="Y57">
        <v>78.9913954000221</v>
      </c>
      <c r="Z57">
        <v>78.9913954000221</v>
      </c>
      <c r="AA57">
        <v>79.644956999982199</v>
      </c>
      <c r="AB57" t="s">
        <v>63</v>
      </c>
      <c r="AC57">
        <v>1</v>
      </c>
      <c r="AD57">
        <v>0.64040319999912698</v>
      </c>
      <c r="AE57" t="s">
        <v>51</v>
      </c>
      <c r="AJ57">
        <v>4</v>
      </c>
      <c r="AK57">
        <v>1</v>
      </c>
      <c r="AL57" t="s">
        <v>85</v>
      </c>
      <c r="AM57" t="s">
        <v>43</v>
      </c>
      <c r="AO57" t="s">
        <v>44</v>
      </c>
      <c r="AP57">
        <v>59.992644915568597</v>
      </c>
      <c r="AQ57" t="s">
        <v>86</v>
      </c>
    </row>
    <row r="58" spans="1:43" x14ac:dyDescent="0.3">
      <c r="A58" t="s">
        <v>68</v>
      </c>
      <c r="B58" t="s">
        <v>59</v>
      </c>
      <c r="C58" t="s">
        <v>53</v>
      </c>
      <c r="D58" t="s">
        <v>49</v>
      </c>
      <c r="E58" t="s">
        <v>54</v>
      </c>
      <c r="F58">
        <v>55</v>
      </c>
      <c r="G58">
        <v>15</v>
      </c>
      <c r="H58">
        <v>2</v>
      </c>
      <c r="I58" t="s">
        <v>54</v>
      </c>
      <c r="J58">
        <v>1</v>
      </c>
      <c r="K58">
        <v>0.84014300000853803</v>
      </c>
      <c r="L58" t="s">
        <v>51</v>
      </c>
      <c r="M58">
        <v>2</v>
      </c>
      <c r="N58">
        <v>15</v>
      </c>
      <c r="O58">
        <v>55</v>
      </c>
      <c r="P58">
        <v>6</v>
      </c>
      <c r="Q58">
        <v>79.657459600013595</v>
      </c>
      <c r="V58">
        <v>79.648164600017395</v>
      </c>
      <c r="W58">
        <v>79.657459600013595</v>
      </c>
      <c r="X58">
        <v>80.157935300027006</v>
      </c>
      <c r="Y58">
        <v>80.157935300027006</v>
      </c>
      <c r="Z58">
        <v>80.157935300027006</v>
      </c>
      <c r="AA58">
        <v>81.011157300032195</v>
      </c>
      <c r="AB58" t="s">
        <v>54</v>
      </c>
      <c r="AC58">
        <v>1</v>
      </c>
      <c r="AD58">
        <v>0.84014300000853803</v>
      </c>
      <c r="AE58" t="s">
        <v>51</v>
      </c>
      <c r="AJ58">
        <v>4</v>
      </c>
      <c r="AK58">
        <v>1</v>
      </c>
      <c r="AL58" t="s">
        <v>85</v>
      </c>
      <c r="AM58" t="s">
        <v>43</v>
      </c>
      <c r="AO58" t="s">
        <v>44</v>
      </c>
      <c r="AP58">
        <v>59.992644915568597</v>
      </c>
      <c r="AQ58" t="s">
        <v>86</v>
      </c>
    </row>
    <row r="59" spans="1:43" x14ac:dyDescent="0.3">
      <c r="A59" t="s">
        <v>58</v>
      </c>
      <c r="B59" t="s">
        <v>59</v>
      </c>
      <c r="C59" t="s">
        <v>48</v>
      </c>
      <c r="D59" t="s">
        <v>49</v>
      </c>
      <c r="E59" t="s">
        <v>50</v>
      </c>
      <c r="F59">
        <v>56</v>
      </c>
      <c r="G59">
        <v>16</v>
      </c>
      <c r="H59">
        <v>2</v>
      </c>
      <c r="I59" t="s">
        <v>50</v>
      </c>
      <c r="J59">
        <v>1</v>
      </c>
      <c r="K59">
        <v>0.83044669998344001</v>
      </c>
      <c r="L59" t="s">
        <v>51</v>
      </c>
      <c r="M59">
        <v>2</v>
      </c>
      <c r="N59">
        <v>16</v>
      </c>
      <c r="O59">
        <v>56</v>
      </c>
      <c r="P59">
        <v>7</v>
      </c>
      <c r="Q59">
        <v>81.0250052000046</v>
      </c>
      <c r="V59">
        <v>81.013883400009902</v>
      </c>
      <c r="W59">
        <v>81.0250052000046</v>
      </c>
      <c r="X59">
        <v>81.524684800009695</v>
      </c>
      <c r="Y59">
        <v>81.524684800009695</v>
      </c>
      <c r="Z59">
        <v>81.524684800009695</v>
      </c>
      <c r="AA59">
        <v>82.361323699995395</v>
      </c>
      <c r="AB59" t="s">
        <v>50</v>
      </c>
      <c r="AC59">
        <v>1</v>
      </c>
      <c r="AD59">
        <v>0.83044669998344001</v>
      </c>
      <c r="AE59" t="s">
        <v>51</v>
      </c>
      <c r="AJ59">
        <v>4</v>
      </c>
      <c r="AK59">
        <v>1</v>
      </c>
      <c r="AL59" t="s">
        <v>85</v>
      </c>
      <c r="AM59" t="s">
        <v>43</v>
      </c>
      <c r="AO59" t="s">
        <v>44</v>
      </c>
      <c r="AP59">
        <v>59.992644915568597</v>
      </c>
      <c r="AQ59" t="s">
        <v>86</v>
      </c>
    </row>
    <row r="60" spans="1:43" x14ac:dyDescent="0.3">
      <c r="A60" t="s">
        <v>67</v>
      </c>
      <c r="B60" t="s">
        <v>47</v>
      </c>
      <c r="C60" t="s">
        <v>53</v>
      </c>
      <c r="D60" t="s">
        <v>49</v>
      </c>
      <c r="E60" t="s">
        <v>54</v>
      </c>
      <c r="F60">
        <v>57</v>
      </c>
      <c r="G60">
        <v>17</v>
      </c>
      <c r="H60">
        <v>2</v>
      </c>
      <c r="I60" t="s">
        <v>54</v>
      </c>
      <c r="J60">
        <v>1</v>
      </c>
      <c r="K60">
        <v>0.79632580000907105</v>
      </c>
      <c r="L60" t="s">
        <v>51</v>
      </c>
      <c r="M60">
        <v>2</v>
      </c>
      <c r="N60">
        <v>17</v>
      </c>
      <c r="O60">
        <v>57</v>
      </c>
      <c r="P60">
        <v>10</v>
      </c>
      <c r="Q60">
        <v>82.374602199997696</v>
      </c>
      <c r="V60">
        <v>82.363841300015295</v>
      </c>
      <c r="W60">
        <v>82.374602199997696</v>
      </c>
      <c r="X60">
        <v>82.874548499996294</v>
      </c>
      <c r="Y60">
        <v>82.874548499996294</v>
      </c>
      <c r="Z60">
        <v>82.874548499996294</v>
      </c>
      <c r="AA60">
        <v>83.677900300011899</v>
      </c>
      <c r="AB60" t="s">
        <v>54</v>
      </c>
      <c r="AC60">
        <v>1</v>
      </c>
      <c r="AD60">
        <v>0.79632580000907105</v>
      </c>
      <c r="AE60" t="s">
        <v>51</v>
      </c>
      <c r="AJ60">
        <v>4</v>
      </c>
      <c r="AK60">
        <v>1</v>
      </c>
      <c r="AL60" t="s">
        <v>85</v>
      </c>
      <c r="AM60" t="s">
        <v>43</v>
      </c>
      <c r="AO60" t="s">
        <v>44</v>
      </c>
      <c r="AP60">
        <v>59.992644915568597</v>
      </c>
      <c r="AQ60" t="s">
        <v>86</v>
      </c>
    </row>
    <row r="61" spans="1:43" x14ac:dyDescent="0.3">
      <c r="A61" t="s">
        <v>71</v>
      </c>
      <c r="B61" t="s">
        <v>47</v>
      </c>
      <c r="C61" t="s">
        <v>48</v>
      </c>
      <c r="D61" t="s">
        <v>49</v>
      </c>
      <c r="E61" t="s">
        <v>50</v>
      </c>
      <c r="F61">
        <v>58</v>
      </c>
      <c r="G61">
        <v>18</v>
      </c>
      <c r="H61">
        <v>2</v>
      </c>
      <c r="I61" t="s">
        <v>50</v>
      </c>
      <c r="J61">
        <v>1</v>
      </c>
      <c r="K61">
        <v>0.93522879999363795</v>
      </c>
      <c r="L61" t="s">
        <v>51</v>
      </c>
      <c r="M61">
        <v>2</v>
      </c>
      <c r="N61">
        <v>18</v>
      </c>
      <c r="O61">
        <v>58</v>
      </c>
      <c r="P61">
        <v>15</v>
      </c>
      <c r="Q61">
        <v>83.691385500016594</v>
      </c>
      <c r="V61">
        <v>83.680732799984895</v>
      </c>
      <c r="W61">
        <v>83.691385500016594</v>
      </c>
      <c r="X61">
        <v>84.190643100009694</v>
      </c>
      <c r="Y61">
        <v>84.190643100009694</v>
      </c>
      <c r="Z61">
        <v>84.190643100009694</v>
      </c>
      <c r="AA61">
        <v>85.127754300017799</v>
      </c>
      <c r="AB61" t="s">
        <v>50</v>
      </c>
      <c r="AC61">
        <v>1</v>
      </c>
      <c r="AD61">
        <v>0.93522879999363795</v>
      </c>
      <c r="AE61" t="s">
        <v>51</v>
      </c>
      <c r="AJ61">
        <v>4</v>
      </c>
      <c r="AK61">
        <v>1</v>
      </c>
      <c r="AL61" t="s">
        <v>85</v>
      </c>
      <c r="AM61" t="s">
        <v>43</v>
      </c>
      <c r="AO61" t="s">
        <v>44</v>
      </c>
      <c r="AP61">
        <v>59.992644915568597</v>
      </c>
      <c r="AQ61" t="s">
        <v>86</v>
      </c>
    </row>
    <row r="62" spans="1:43" x14ac:dyDescent="0.3">
      <c r="A62" t="s">
        <v>74</v>
      </c>
      <c r="B62" t="s">
        <v>47</v>
      </c>
      <c r="C62" t="s">
        <v>48</v>
      </c>
      <c r="D62" t="s">
        <v>49</v>
      </c>
      <c r="E62" t="s">
        <v>50</v>
      </c>
      <c r="F62">
        <v>59</v>
      </c>
      <c r="G62">
        <v>19</v>
      </c>
      <c r="H62">
        <v>2</v>
      </c>
      <c r="I62" t="s">
        <v>50</v>
      </c>
      <c r="J62">
        <v>1</v>
      </c>
      <c r="K62">
        <v>0.46373600000515502</v>
      </c>
      <c r="L62" t="s">
        <v>51</v>
      </c>
      <c r="M62">
        <v>2</v>
      </c>
      <c r="N62">
        <v>19</v>
      </c>
      <c r="O62">
        <v>59</v>
      </c>
      <c r="P62">
        <v>11</v>
      </c>
      <c r="Q62">
        <v>85.140550300013203</v>
      </c>
      <c r="V62">
        <v>85.130849500012104</v>
      </c>
      <c r="W62">
        <v>85.140550300013203</v>
      </c>
      <c r="X62">
        <v>85.640851099975393</v>
      </c>
      <c r="Y62">
        <v>85.640851099975393</v>
      </c>
      <c r="Z62">
        <v>85.640851099975393</v>
      </c>
      <c r="AA62">
        <v>86.110969699977403</v>
      </c>
      <c r="AB62" t="s">
        <v>50</v>
      </c>
      <c r="AC62">
        <v>1</v>
      </c>
      <c r="AD62">
        <v>0.46373600000515502</v>
      </c>
      <c r="AE62" t="s">
        <v>51</v>
      </c>
      <c r="AJ62">
        <v>4</v>
      </c>
      <c r="AK62">
        <v>1</v>
      </c>
      <c r="AL62" t="s">
        <v>85</v>
      </c>
      <c r="AM62" t="s">
        <v>43</v>
      </c>
      <c r="AO62" t="s">
        <v>44</v>
      </c>
      <c r="AP62">
        <v>59.992644915568597</v>
      </c>
      <c r="AQ62" t="s">
        <v>86</v>
      </c>
    </row>
    <row r="63" spans="1:43" x14ac:dyDescent="0.3">
      <c r="A63" t="s">
        <v>46</v>
      </c>
      <c r="B63" t="s">
        <v>47</v>
      </c>
      <c r="C63" t="s">
        <v>48</v>
      </c>
      <c r="D63" t="s">
        <v>49</v>
      </c>
      <c r="E63" t="s">
        <v>50</v>
      </c>
      <c r="F63">
        <v>60</v>
      </c>
      <c r="G63">
        <v>0</v>
      </c>
      <c r="H63">
        <v>3</v>
      </c>
      <c r="I63" t="s">
        <v>50</v>
      </c>
      <c r="J63">
        <v>1</v>
      </c>
      <c r="K63">
        <v>0.46756799996364801</v>
      </c>
      <c r="L63" t="s">
        <v>51</v>
      </c>
      <c r="M63">
        <v>3</v>
      </c>
      <c r="N63">
        <v>0</v>
      </c>
      <c r="O63">
        <v>60</v>
      </c>
      <c r="P63">
        <v>19</v>
      </c>
      <c r="Q63">
        <v>86.124205600004601</v>
      </c>
      <c r="V63">
        <v>86.114042699977205</v>
      </c>
      <c r="W63">
        <v>86.124205600004601</v>
      </c>
      <c r="X63">
        <v>86.624579499999498</v>
      </c>
      <c r="Y63">
        <v>86.624579499999498</v>
      </c>
      <c r="Z63">
        <v>86.624579499999498</v>
      </c>
      <c r="AA63">
        <v>87.094266999978501</v>
      </c>
      <c r="AB63" t="s">
        <v>50</v>
      </c>
      <c r="AC63">
        <v>1</v>
      </c>
      <c r="AD63">
        <v>0.46756799996364801</v>
      </c>
      <c r="AE63" t="s">
        <v>51</v>
      </c>
      <c r="AJ63">
        <v>4</v>
      </c>
      <c r="AK63">
        <v>1</v>
      </c>
      <c r="AL63" t="s">
        <v>85</v>
      </c>
      <c r="AM63" t="s">
        <v>43</v>
      </c>
      <c r="AO63" t="s">
        <v>44</v>
      </c>
      <c r="AP63">
        <v>59.992644915568597</v>
      </c>
      <c r="AQ63" t="s">
        <v>86</v>
      </c>
    </row>
    <row r="64" spans="1:43" x14ac:dyDescent="0.3">
      <c r="A64" t="s">
        <v>55</v>
      </c>
      <c r="B64" t="s">
        <v>47</v>
      </c>
      <c r="C64" t="s">
        <v>56</v>
      </c>
      <c r="D64" t="s">
        <v>49</v>
      </c>
      <c r="E64" t="s">
        <v>57</v>
      </c>
      <c r="F64">
        <v>61</v>
      </c>
      <c r="G64">
        <v>1</v>
      </c>
      <c r="H64">
        <v>3</v>
      </c>
      <c r="I64" t="s">
        <v>54</v>
      </c>
      <c r="J64">
        <v>0</v>
      </c>
      <c r="K64">
        <v>0.69957510003587198</v>
      </c>
      <c r="L64" t="s">
        <v>51</v>
      </c>
      <c r="M64">
        <v>3</v>
      </c>
      <c r="N64">
        <v>1</v>
      </c>
      <c r="O64">
        <v>61</v>
      </c>
      <c r="P64">
        <v>13</v>
      </c>
      <c r="Q64">
        <v>87.107280900003303</v>
      </c>
      <c r="V64">
        <v>87.096933800028594</v>
      </c>
      <c r="W64">
        <v>87.107280900003303</v>
      </c>
      <c r="X64">
        <v>87.607438899984103</v>
      </c>
      <c r="Y64">
        <v>87.607438899984103</v>
      </c>
      <c r="Z64">
        <v>87.607438899984103</v>
      </c>
      <c r="AA64">
        <v>88.312116299988702</v>
      </c>
      <c r="AB64" t="s">
        <v>54</v>
      </c>
      <c r="AC64">
        <v>0</v>
      </c>
      <c r="AD64">
        <v>0.69957510003587198</v>
      </c>
      <c r="AE64" t="s">
        <v>51</v>
      </c>
      <c r="AJ64">
        <v>4</v>
      </c>
      <c r="AK64">
        <v>1</v>
      </c>
      <c r="AL64" t="s">
        <v>85</v>
      </c>
      <c r="AM64" t="s">
        <v>43</v>
      </c>
      <c r="AO64" t="s">
        <v>44</v>
      </c>
      <c r="AP64">
        <v>59.992644915568597</v>
      </c>
      <c r="AQ64" t="s">
        <v>86</v>
      </c>
    </row>
    <row r="65" spans="1:43" x14ac:dyDescent="0.3">
      <c r="A65" t="s">
        <v>66</v>
      </c>
      <c r="B65" t="s">
        <v>47</v>
      </c>
      <c r="C65" t="s">
        <v>61</v>
      </c>
      <c r="D65" t="s">
        <v>49</v>
      </c>
      <c r="E65" t="s">
        <v>63</v>
      </c>
      <c r="F65">
        <v>62</v>
      </c>
      <c r="G65">
        <v>2</v>
      </c>
      <c r="H65">
        <v>3</v>
      </c>
      <c r="I65" t="s">
        <v>63</v>
      </c>
      <c r="J65">
        <v>1</v>
      </c>
      <c r="K65">
        <v>0.64872410002863001</v>
      </c>
      <c r="L65" t="s">
        <v>51</v>
      </c>
      <c r="M65">
        <v>3</v>
      </c>
      <c r="N65">
        <v>2</v>
      </c>
      <c r="O65">
        <v>62</v>
      </c>
      <c r="P65">
        <v>12</v>
      </c>
      <c r="Q65">
        <v>88.323703999980296</v>
      </c>
      <c r="V65">
        <v>88.314825600013094</v>
      </c>
      <c r="W65">
        <v>88.323703999980296</v>
      </c>
      <c r="X65">
        <v>88.8237845000112</v>
      </c>
      <c r="Y65">
        <v>88.8237845000112</v>
      </c>
      <c r="Z65">
        <v>88.8237845000112</v>
      </c>
      <c r="AA65">
        <v>89.477806399983805</v>
      </c>
      <c r="AB65" t="s">
        <v>63</v>
      </c>
      <c r="AC65">
        <v>1</v>
      </c>
      <c r="AD65">
        <v>0.64872410002863001</v>
      </c>
      <c r="AE65" t="s">
        <v>51</v>
      </c>
      <c r="AJ65">
        <v>4</v>
      </c>
      <c r="AK65">
        <v>1</v>
      </c>
      <c r="AL65" t="s">
        <v>85</v>
      </c>
      <c r="AM65" t="s">
        <v>43</v>
      </c>
      <c r="AO65" t="s">
        <v>44</v>
      </c>
      <c r="AP65">
        <v>59.992644915568597</v>
      </c>
      <c r="AQ65" t="s">
        <v>86</v>
      </c>
    </row>
    <row r="66" spans="1:43" x14ac:dyDescent="0.3">
      <c r="A66" t="s">
        <v>65</v>
      </c>
      <c r="B66" t="s">
        <v>59</v>
      </c>
      <c r="C66" t="s">
        <v>56</v>
      </c>
      <c r="D66" t="s">
        <v>49</v>
      </c>
      <c r="E66" t="s">
        <v>57</v>
      </c>
      <c r="F66">
        <v>63</v>
      </c>
      <c r="G66">
        <v>3</v>
      </c>
      <c r="H66">
        <v>3</v>
      </c>
      <c r="I66" t="s">
        <v>57</v>
      </c>
      <c r="J66">
        <v>1</v>
      </c>
      <c r="K66">
        <v>1.03936860000249</v>
      </c>
      <c r="L66" t="s">
        <v>51</v>
      </c>
      <c r="M66">
        <v>3</v>
      </c>
      <c r="N66">
        <v>3</v>
      </c>
      <c r="O66">
        <v>63</v>
      </c>
      <c r="P66">
        <v>9</v>
      </c>
      <c r="Q66">
        <v>89.491840699978596</v>
      </c>
      <c r="V66">
        <v>89.4803925000014</v>
      </c>
      <c r="W66">
        <v>89.491840699978596</v>
      </c>
      <c r="X66">
        <v>89.990855499985599</v>
      </c>
      <c r="Y66">
        <v>89.990855499985599</v>
      </c>
      <c r="Z66">
        <v>89.990855499985599</v>
      </c>
      <c r="AA66">
        <v>91.045921400014706</v>
      </c>
      <c r="AB66" t="s">
        <v>57</v>
      </c>
      <c r="AC66">
        <v>1</v>
      </c>
      <c r="AD66">
        <v>1.03936860000249</v>
      </c>
      <c r="AE66" t="s">
        <v>51</v>
      </c>
      <c r="AJ66">
        <v>4</v>
      </c>
      <c r="AK66">
        <v>1</v>
      </c>
      <c r="AL66" t="s">
        <v>85</v>
      </c>
      <c r="AM66" t="s">
        <v>43</v>
      </c>
      <c r="AO66" t="s">
        <v>44</v>
      </c>
      <c r="AP66">
        <v>59.992644915568597</v>
      </c>
      <c r="AQ66" t="s">
        <v>86</v>
      </c>
    </row>
    <row r="67" spans="1:43" x14ac:dyDescent="0.3">
      <c r="A67" t="s">
        <v>76</v>
      </c>
      <c r="B67" t="s">
        <v>59</v>
      </c>
      <c r="C67" t="s">
        <v>48</v>
      </c>
      <c r="D67" t="s">
        <v>49</v>
      </c>
      <c r="E67" t="s">
        <v>50</v>
      </c>
      <c r="F67">
        <v>64</v>
      </c>
      <c r="G67">
        <v>4</v>
      </c>
      <c r="H67">
        <v>3</v>
      </c>
      <c r="I67" t="s">
        <v>50</v>
      </c>
      <c r="J67">
        <v>1</v>
      </c>
      <c r="K67">
        <v>1.04481240001041</v>
      </c>
      <c r="L67" t="s">
        <v>51</v>
      </c>
      <c r="M67">
        <v>3</v>
      </c>
      <c r="N67">
        <v>4</v>
      </c>
      <c r="O67">
        <v>64</v>
      </c>
      <c r="P67">
        <v>3</v>
      </c>
      <c r="Q67">
        <v>91.058702300011603</v>
      </c>
      <c r="V67">
        <v>91.048546999983898</v>
      </c>
      <c r="W67">
        <v>91.058702300011603</v>
      </c>
      <c r="X67">
        <v>91.558962000009998</v>
      </c>
      <c r="Y67">
        <v>91.558962000009998</v>
      </c>
      <c r="Z67">
        <v>91.558962000009998</v>
      </c>
      <c r="AA67">
        <v>92.612177399976602</v>
      </c>
      <c r="AB67" t="s">
        <v>50</v>
      </c>
      <c r="AC67">
        <v>1</v>
      </c>
      <c r="AD67">
        <v>1.04481240001041</v>
      </c>
      <c r="AE67" t="s">
        <v>51</v>
      </c>
      <c r="AJ67">
        <v>4</v>
      </c>
      <c r="AK67">
        <v>1</v>
      </c>
      <c r="AL67" t="s">
        <v>85</v>
      </c>
      <c r="AM67" t="s">
        <v>43</v>
      </c>
      <c r="AO67" t="s">
        <v>44</v>
      </c>
      <c r="AP67">
        <v>59.992644915568597</v>
      </c>
      <c r="AQ67" t="s">
        <v>86</v>
      </c>
    </row>
    <row r="68" spans="1:43" x14ac:dyDescent="0.3">
      <c r="A68" t="s">
        <v>70</v>
      </c>
      <c r="B68" t="s">
        <v>59</v>
      </c>
      <c r="C68" t="s">
        <v>53</v>
      </c>
      <c r="D68" t="s">
        <v>49</v>
      </c>
      <c r="E68" t="s">
        <v>54</v>
      </c>
      <c r="F68">
        <v>65</v>
      </c>
      <c r="G68">
        <v>5</v>
      </c>
      <c r="H68">
        <v>3</v>
      </c>
      <c r="I68" t="s">
        <v>54</v>
      </c>
      <c r="J68">
        <v>1</v>
      </c>
      <c r="K68">
        <v>1.52983220003079</v>
      </c>
      <c r="L68" t="s">
        <v>51</v>
      </c>
      <c r="M68">
        <v>3</v>
      </c>
      <c r="N68">
        <v>5</v>
      </c>
      <c r="O68">
        <v>65</v>
      </c>
      <c r="P68">
        <v>2</v>
      </c>
      <c r="Q68">
        <v>92.630067399994005</v>
      </c>
      <c r="V68">
        <v>92.614812200015805</v>
      </c>
      <c r="W68">
        <v>92.630067399994005</v>
      </c>
      <c r="X68">
        <v>93.124932400009101</v>
      </c>
      <c r="Y68">
        <v>93.124932400009101</v>
      </c>
      <c r="Z68">
        <v>93.124932400009101</v>
      </c>
      <c r="AA68">
        <v>94.663107400003298</v>
      </c>
      <c r="AB68" t="s">
        <v>54</v>
      </c>
      <c r="AC68">
        <v>1</v>
      </c>
      <c r="AD68">
        <v>1.52983220003079</v>
      </c>
      <c r="AE68" t="s">
        <v>51</v>
      </c>
      <c r="AJ68">
        <v>4</v>
      </c>
      <c r="AK68">
        <v>1</v>
      </c>
      <c r="AL68" t="s">
        <v>85</v>
      </c>
      <c r="AM68" t="s">
        <v>43</v>
      </c>
      <c r="AO68" t="s">
        <v>44</v>
      </c>
      <c r="AP68">
        <v>59.992644915568597</v>
      </c>
      <c r="AQ68" t="s">
        <v>86</v>
      </c>
    </row>
    <row r="69" spans="1:43" x14ac:dyDescent="0.3">
      <c r="A69" t="s">
        <v>68</v>
      </c>
      <c r="B69" t="s">
        <v>59</v>
      </c>
      <c r="C69" t="s">
        <v>53</v>
      </c>
      <c r="D69" t="s">
        <v>49</v>
      </c>
      <c r="E69" t="s">
        <v>54</v>
      </c>
      <c r="F69">
        <v>66</v>
      </c>
      <c r="G69">
        <v>6</v>
      </c>
      <c r="H69">
        <v>3</v>
      </c>
      <c r="I69" t="s">
        <v>54</v>
      </c>
      <c r="J69">
        <v>1</v>
      </c>
      <c r="K69">
        <v>0.61253189999843005</v>
      </c>
      <c r="L69" t="s">
        <v>51</v>
      </c>
      <c r="M69">
        <v>3</v>
      </c>
      <c r="N69">
        <v>6</v>
      </c>
      <c r="O69">
        <v>66</v>
      </c>
      <c r="P69">
        <v>6</v>
      </c>
      <c r="Q69">
        <v>94.675358999986202</v>
      </c>
      <c r="V69">
        <v>94.6656115999794</v>
      </c>
      <c r="W69">
        <v>94.675358999986202</v>
      </c>
      <c r="X69">
        <v>95.176567099988404</v>
      </c>
      <c r="Y69">
        <v>95.176567099988404</v>
      </c>
      <c r="Z69">
        <v>95.176567099988404</v>
      </c>
      <c r="AA69">
        <v>95.795443399983895</v>
      </c>
      <c r="AB69" t="s">
        <v>54</v>
      </c>
      <c r="AC69">
        <v>1</v>
      </c>
      <c r="AD69">
        <v>0.61253189999843005</v>
      </c>
      <c r="AE69" t="s">
        <v>51</v>
      </c>
      <c r="AJ69">
        <v>4</v>
      </c>
      <c r="AK69">
        <v>1</v>
      </c>
      <c r="AL69" t="s">
        <v>85</v>
      </c>
      <c r="AM69" t="s">
        <v>43</v>
      </c>
      <c r="AO69" t="s">
        <v>44</v>
      </c>
      <c r="AP69">
        <v>59.992644915568597</v>
      </c>
      <c r="AQ69" t="s">
        <v>86</v>
      </c>
    </row>
    <row r="70" spans="1:43" x14ac:dyDescent="0.3">
      <c r="A70" t="s">
        <v>64</v>
      </c>
      <c r="B70" t="s">
        <v>47</v>
      </c>
      <c r="C70" t="s">
        <v>53</v>
      </c>
      <c r="D70" t="s">
        <v>49</v>
      </c>
      <c r="E70" t="s">
        <v>54</v>
      </c>
      <c r="F70">
        <v>67</v>
      </c>
      <c r="G70">
        <v>7</v>
      </c>
      <c r="H70">
        <v>3</v>
      </c>
      <c r="I70" t="s">
        <v>54</v>
      </c>
      <c r="J70">
        <v>1</v>
      </c>
      <c r="K70">
        <v>0.49875070003326899</v>
      </c>
      <c r="L70" t="s">
        <v>51</v>
      </c>
      <c r="M70">
        <v>3</v>
      </c>
      <c r="N70">
        <v>7</v>
      </c>
      <c r="O70">
        <v>67</v>
      </c>
      <c r="P70">
        <v>18</v>
      </c>
      <c r="Q70">
        <v>95.808879600022905</v>
      </c>
      <c r="V70">
        <v>95.798611200007102</v>
      </c>
      <c r="W70">
        <v>95.808879600022905</v>
      </c>
      <c r="X70">
        <v>96.308643400028799</v>
      </c>
      <c r="Y70">
        <v>96.308643400028799</v>
      </c>
      <c r="Z70">
        <v>96.308643400028799</v>
      </c>
      <c r="AA70">
        <v>96.813326700008403</v>
      </c>
      <c r="AB70" t="s">
        <v>54</v>
      </c>
      <c r="AC70">
        <v>1</v>
      </c>
      <c r="AD70">
        <v>0.49875070003326899</v>
      </c>
      <c r="AE70" t="s">
        <v>51</v>
      </c>
      <c r="AJ70">
        <v>4</v>
      </c>
      <c r="AK70">
        <v>1</v>
      </c>
      <c r="AL70" t="s">
        <v>85</v>
      </c>
      <c r="AM70" t="s">
        <v>43</v>
      </c>
      <c r="AO70" t="s">
        <v>44</v>
      </c>
      <c r="AP70">
        <v>59.992644915568597</v>
      </c>
      <c r="AQ70" t="s">
        <v>86</v>
      </c>
    </row>
    <row r="71" spans="1:43" x14ac:dyDescent="0.3">
      <c r="A71" t="s">
        <v>74</v>
      </c>
      <c r="B71" t="s">
        <v>47</v>
      </c>
      <c r="C71" t="s">
        <v>48</v>
      </c>
      <c r="D71" t="s">
        <v>49</v>
      </c>
      <c r="E71" t="s">
        <v>50</v>
      </c>
      <c r="F71">
        <v>68</v>
      </c>
      <c r="G71">
        <v>8</v>
      </c>
      <c r="H71">
        <v>3</v>
      </c>
      <c r="I71" t="s">
        <v>50</v>
      </c>
      <c r="J71">
        <v>1</v>
      </c>
      <c r="K71">
        <v>0.84326400002464597</v>
      </c>
      <c r="L71" t="s">
        <v>51</v>
      </c>
      <c r="M71">
        <v>3</v>
      </c>
      <c r="N71">
        <v>8</v>
      </c>
      <c r="O71">
        <v>68</v>
      </c>
      <c r="P71">
        <v>11</v>
      </c>
      <c r="Q71">
        <v>96.824868199997496</v>
      </c>
      <c r="V71">
        <v>96.817437499994398</v>
      </c>
      <c r="W71">
        <v>96.824868199997496</v>
      </c>
      <c r="X71">
        <v>97.325423999980501</v>
      </c>
      <c r="Y71">
        <v>97.325423999980501</v>
      </c>
      <c r="Z71">
        <v>97.325423999980501</v>
      </c>
      <c r="AA71">
        <v>98.178698399977193</v>
      </c>
      <c r="AB71" t="s">
        <v>50</v>
      </c>
      <c r="AC71">
        <v>1</v>
      </c>
      <c r="AD71">
        <v>0.84326400002464597</v>
      </c>
      <c r="AE71" t="s">
        <v>51</v>
      </c>
      <c r="AJ71">
        <v>4</v>
      </c>
      <c r="AK71">
        <v>1</v>
      </c>
      <c r="AL71" t="s">
        <v>85</v>
      </c>
      <c r="AM71" t="s">
        <v>43</v>
      </c>
      <c r="AO71" t="s">
        <v>44</v>
      </c>
      <c r="AP71">
        <v>59.992644915568597</v>
      </c>
      <c r="AQ71" t="s">
        <v>86</v>
      </c>
    </row>
    <row r="72" spans="1:43" x14ac:dyDescent="0.3">
      <c r="A72" t="s">
        <v>73</v>
      </c>
      <c r="B72" t="s">
        <v>59</v>
      </c>
      <c r="C72" t="s">
        <v>56</v>
      </c>
      <c r="D72" t="s">
        <v>49</v>
      </c>
      <c r="E72" t="s">
        <v>57</v>
      </c>
      <c r="F72">
        <v>69</v>
      </c>
      <c r="G72">
        <v>9</v>
      </c>
      <c r="H72">
        <v>3</v>
      </c>
      <c r="I72" t="s">
        <v>57</v>
      </c>
      <c r="J72">
        <v>1</v>
      </c>
      <c r="K72">
        <v>0.87362869997741599</v>
      </c>
      <c r="L72" t="s">
        <v>51</v>
      </c>
      <c r="M72">
        <v>3</v>
      </c>
      <c r="N72">
        <v>9</v>
      </c>
      <c r="O72">
        <v>69</v>
      </c>
      <c r="P72">
        <v>1</v>
      </c>
      <c r="Q72">
        <v>98.191524000023406</v>
      </c>
      <c r="V72">
        <v>98.181897700007497</v>
      </c>
      <c r="W72">
        <v>98.191524000023406</v>
      </c>
      <c r="X72">
        <v>98.691848499991394</v>
      </c>
      <c r="Y72">
        <v>98.691848499991394</v>
      </c>
      <c r="Z72">
        <v>98.691848499991394</v>
      </c>
      <c r="AA72">
        <v>99.579063299985094</v>
      </c>
      <c r="AB72" t="s">
        <v>57</v>
      </c>
      <c r="AC72">
        <v>1</v>
      </c>
      <c r="AD72">
        <v>0.87362869997741599</v>
      </c>
      <c r="AE72" t="s">
        <v>51</v>
      </c>
      <c r="AJ72">
        <v>4</v>
      </c>
      <c r="AK72">
        <v>1</v>
      </c>
      <c r="AL72" t="s">
        <v>85</v>
      </c>
      <c r="AM72" t="s">
        <v>43</v>
      </c>
      <c r="AO72" t="s">
        <v>44</v>
      </c>
      <c r="AP72">
        <v>59.992644915568597</v>
      </c>
      <c r="AQ72" t="s">
        <v>86</v>
      </c>
    </row>
    <row r="73" spans="1:43" x14ac:dyDescent="0.3">
      <c r="A73" t="s">
        <v>60</v>
      </c>
      <c r="B73" t="s">
        <v>59</v>
      </c>
      <c r="C73" t="s">
        <v>61</v>
      </c>
      <c r="D73" t="s">
        <v>62</v>
      </c>
      <c r="E73" t="s">
        <v>63</v>
      </c>
      <c r="F73">
        <v>70</v>
      </c>
      <c r="G73">
        <v>10</v>
      </c>
      <c r="H73">
        <v>3</v>
      </c>
      <c r="I73" t="s">
        <v>63</v>
      </c>
      <c r="J73">
        <v>1</v>
      </c>
      <c r="K73">
        <v>0.83119050000095696</v>
      </c>
      <c r="L73" t="s">
        <v>51</v>
      </c>
      <c r="M73">
        <v>3</v>
      </c>
      <c r="N73">
        <v>10</v>
      </c>
      <c r="O73">
        <v>70</v>
      </c>
      <c r="P73">
        <v>0</v>
      </c>
      <c r="Q73">
        <v>99.591882599983293</v>
      </c>
      <c r="V73">
        <v>99.581588400003895</v>
      </c>
      <c r="W73">
        <v>99.591882599983293</v>
      </c>
      <c r="X73">
        <v>100.091512800019</v>
      </c>
      <c r="Y73">
        <v>100.091512800019</v>
      </c>
      <c r="Z73">
        <v>100.091512800019</v>
      </c>
      <c r="AA73">
        <v>100.9286709</v>
      </c>
      <c r="AB73" t="s">
        <v>63</v>
      </c>
      <c r="AC73">
        <v>1</v>
      </c>
      <c r="AD73">
        <v>0.83119050000095696</v>
      </c>
      <c r="AE73" t="s">
        <v>51</v>
      </c>
      <c r="AJ73">
        <v>4</v>
      </c>
      <c r="AK73">
        <v>1</v>
      </c>
      <c r="AL73" t="s">
        <v>85</v>
      </c>
      <c r="AM73" t="s">
        <v>43</v>
      </c>
      <c r="AO73" t="s">
        <v>44</v>
      </c>
      <c r="AP73">
        <v>59.992644915568597</v>
      </c>
      <c r="AQ73" t="s">
        <v>86</v>
      </c>
    </row>
    <row r="74" spans="1:43" x14ac:dyDescent="0.3">
      <c r="A74" t="s">
        <v>77</v>
      </c>
      <c r="B74" t="s">
        <v>59</v>
      </c>
      <c r="C74" t="s">
        <v>61</v>
      </c>
      <c r="D74" t="s">
        <v>62</v>
      </c>
      <c r="E74" t="s">
        <v>63</v>
      </c>
      <c r="F74">
        <v>71</v>
      </c>
      <c r="G74">
        <v>11</v>
      </c>
      <c r="H74">
        <v>3</v>
      </c>
      <c r="I74" t="s">
        <v>63</v>
      </c>
      <c r="J74">
        <v>1</v>
      </c>
      <c r="K74">
        <v>0.46516530000371797</v>
      </c>
      <c r="L74" t="s">
        <v>51</v>
      </c>
      <c r="M74">
        <v>3</v>
      </c>
      <c r="N74">
        <v>11</v>
      </c>
      <c r="O74">
        <v>71</v>
      </c>
      <c r="P74">
        <v>4</v>
      </c>
      <c r="Q74">
        <v>100.94138670002501</v>
      </c>
      <c r="V74">
        <v>100.931454800011</v>
      </c>
      <c r="W74">
        <v>100.94138670002501</v>
      </c>
      <c r="X74">
        <v>101.44160189997601</v>
      </c>
      <c r="Y74">
        <v>101.44160189997601</v>
      </c>
      <c r="Z74">
        <v>101.44160189997601</v>
      </c>
      <c r="AA74">
        <v>101.912925400014</v>
      </c>
      <c r="AB74" t="s">
        <v>63</v>
      </c>
      <c r="AC74">
        <v>1</v>
      </c>
      <c r="AD74">
        <v>0.46516530000371797</v>
      </c>
      <c r="AE74" t="s">
        <v>51</v>
      </c>
      <c r="AJ74">
        <v>4</v>
      </c>
      <c r="AK74">
        <v>1</v>
      </c>
      <c r="AL74" t="s">
        <v>85</v>
      </c>
      <c r="AM74" t="s">
        <v>43</v>
      </c>
      <c r="AO74" t="s">
        <v>44</v>
      </c>
      <c r="AP74">
        <v>59.992644915568597</v>
      </c>
      <c r="AQ74" t="s">
        <v>86</v>
      </c>
    </row>
    <row r="75" spans="1:43" x14ac:dyDescent="0.3">
      <c r="A75" t="s">
        <v>72</v>
      </c>
      <c r="B75" t="s">
        <v>59</v>
      </c>
      <c r="C75" t="s">
        <v>61</v>
      </c>
      <c r="D75" t="s">
        <v>62</v>
      </c>
      <c r="E75" t="s">
        <v>63</v>
      </c>
      <c r="F75">
        <v>72</v>
      </c>
      <c r="G75">
        <v>12</v>
      </c>
      <c r="H75">
        <v>3</v>
      </c>
      <c r="I75" t="s">
        <v>63</v>
      </c>
      <c r="J75">
        <v>1</v>
      </c>
      <c r="K75">
        <v>0.43837280001025603</v>
      </c>
      <c r="L75" t="s">
        <v>51</v>
      </c>
      <c r="M75">
        <v>3</v>
      </c>
      <c r="N75">
        <v>12</v>
      </c>
      <c r="O75">
        <v>72</v>
      </c>
      <c r="P75">
        <v>8</v>
      </c>
      <c r="Q75">
        <v>101.924754699983</v>
      </c>
      <c r="V75">
        <v>101.91630510002101</v>
      </c>
      <c r="W75">
        <v>101.924754699983</v>
      </c>
      <c r="X75">
        <v>102.425335199979</v>
      </c>
      <c r="Y75">
        <v>102.425335199979</v>
      </c>
      <c r="Z75">
        <v>102.425335199979</v>
      </c>
      <c r="AA75">
        <v>102.878727399976</v>
      </c>
      <c r="AB75" t="s">
        <v>63</v>
      </c>
      <c r="AC75">
        <v>1</v>
      </c>
      <c r="AD75">
        <v>0.43837280001025603</v>
      </c>
      <c r="AE75" t="s">
        <v>51</v>
      </c>
      <c r="AJ75">
        <v>4</v>
      </c>
      <c r="AK75">
        <v>1</v>
      </c>
      <c r="AL75" t="s">
        <v>85</v>
      </c>
      <c r="AM75" t="s">
        <v>43</v>
      </c>
      <c r="AO75" t="s">
        <v>44</v>
      </c>
      <c r="AP75">
        <v>59.992644915568597</v>
      </c>
      <c r="AQ75" t="s">
        <v>86</v>
      </c>
    </row>
    <row r="76" spans="1:43" x14ac:dyDescent="0.3">
      <c r="A76" t="s">
        <v>58</v>
      </c>
      <c r="B76" t="s">
        <v>59</v>
      </c>
      <c r="C76" t="s">
        <v>48</v>
      </c>
      <c r="D76" t="s">
        <v>49</v>
      </c>
      <c r="E76" t="s">
        <v>50</v>
      </c>
      <c r="F76">
        <v>73</v>
      </c>
      <c r="G76">
        <v>13</v>
      </c>
      <c r="H76">
        <v>3</v>
      </c>
      <c r="I76" t="s">
        <v>50</v>
      </c>
      <c r="J76">
        <v>1</v>
      </c>
      <c r="K76">
        <v>0.68386430002283305</v>
      </c>
      <c r="L76" t="s">
        <v>51</v>
      </c>
      <c r="M76">
        <v>3</v>
      </c>
      <c r="N76">
        <v>13</v>
      </c>
      <c r="O76">
        <v>73</v>
      </c>
      <c r="P76">
        <v>7</v>
      </c>
      <c r="Q76">
        <v>102.891384300019</v>
      </c>
      <c r="V76">
        <v>102.881429200002</v>
      </c>
      <c r="W76">
        <v>102.891384300019</v>
      </c>
      <c r="X76">
        <v>103.391267099999</v>
      </c>
      <c r="Y76">
        <v>103.391267099999</v>
      </c>
      <c r="Z76">
        <v>103.391267099999</v>
      </c>
      <c r="AA76">
        <v>104.07849769998499</v>
      </c>
      <c r="AB76" t="s">
        <v>50</v>
      </c>
      <c r="AC76">
        <v>1</v>
      </c>
      <c r="AD76">
        <v>0.68386430002283305</v>
      </c>
      <c r="AE76" t="s">
        <v>51</v>
      </c>
      <c r="AJ76">
        <v>4</v>
      </c>
      <c r="AK76">
        <v>1</v>
      </c>
      <c r="AL76" t="s">
        <v>85</v>
      </c>
      <c r="AM76" t="s">
        <v>43</v>
      </c>
      <c r="AO76" t="s">
        <v>44</v>
      </c>
      <c r="AP76">
        <v>59.992644915568597</v>
      </c>
      <c r="AQ76" t="s">
        <v>86</v>
      </c>
    </row>
    <row r="77" spans="1:43" x14ac:dyDescent="0.3">
      <c r="A77" t="s">
        <v>75</v>
      </c>
      <c r="B77" t="s">
        <v>47</v>
      </c>
      <c r="C77" t="s">
        <v>61</v>
      </c>
      <c r="D77" t="s">
        <v>49</v>
      </c>
      <c r="E77" t="s">
        <v>63</v>
      </c>
      <c r="F77">
        <v>74</v>
      </c>
      <c r="G77">
        <v>14</v>
      </c>
      <c r="H77">
        <v>3</v>
      </c>
      <c r="I77" t="s">
        <v>63</v>
      </c>
      <c r="J77">
        <v>1</v>
      </c>
      <c r="K77">
        <v>0.63033010001527101</v>
      </c>
      <c r="L77" t="s">
        <v>51</v>
      </c>
      <c r="M77">
        <v>3</v>
      </c>
      <c r="N77">
        <v>14</v>
      </c>
      <c r="O77">
        <v>74</v>
      </c>
      <c r="P77">
        <v>16</v>
      </c>
      <c r="Q77">
        <v>104.091480600007</v>
      </c>
      <c r="V77">
        <v>104.08126419998</v>
      </c>
      <c r="W77">
        <v>104.091480600007</v>
      </c>
      <c r="X77">
        <v>104.59114510001299</v>
      </c>
      <c r="Y77">
        <v>104.59114510001299</v>
      </c>
      <c r="Z77">
        <v>104.59114510001299</v>
      </c>
      <c r="AA77">
        <v>105.229039800004</v>
      </c>
      <c r="AB77" t="s">
        <v>63</v>
      </c>
      <c r="AC77">
        <v>1</v>
      </c>
      <c r="AD77">
        <v>0.63033010001527101</v>
      </c>
      <c r="AE77" t="s">
        <v>51</v>
      </c>
      <c r="AJ77">
        <v>4</v>
      </c>
      <c r="AK77">
        <v>1</v>
      </c>
      <c r="AL77" t="s">
        <v>85</v>
      </c>
      <c r="AM77" t="s">
        <v>43</v>
      </c>
      <c r="AO77" t="s">
        <v>44</v>
      </c>
      <c r="AP77">
        <v>59.992644915568597</v>
      </c>
      <c r="AQ77" t="s">
        <v>86</v>
      </c>
    </row>
    <row r="78" spans="1:43" x14ac:dyDescent="0.3">
      <c r="A78" t="s">
        <v>71</v>
      </c>
      <c r="B78" t="s">
        <v>47</v>
      </c>
      <c r="C78" t="s">
        <v>48</v>
      </c>
      <c r="D78" t="s">
        <v>49</v>
      </c>
      <c r="E78" t="s">
        <v>50</v>
      </c>
      <c r="F78">
        <v>75</v>
      </c>
      <c r="G78">
        <v>15</v>
      </c>
      <c r="H78">
        <v>3</v>
      </c>
      <c r="I78" t="s">
        <v>50</v>
      </c>
      <c r="J78">
        <v>1</v>
      </c>
      <c r="K78">
        <v>0.66497869999147896</v>
      </c>
      <c r="L78" t="s">
        <v>51</v>
      </c>
      <c r="M78">
        <v>3</v>
      </c>
      <c r="N78">
        <v>15</v>
      </c>
      <c r="O78">
        <v>75</v>
      </c>
      <c r="P78">
        <v>15</v>
      </c>
      <c r="Q78">
        <v>105.241866099997</v>
      </c>
      <c r="V78">
        <v>105.231695100024</v>
      </c>
      <c r="W78">
        <v>105.241866099997</v>
      </c>
      <c r="X78">
        <v>105.74169679998801</v>
      </c>
      <c r="Y78">
        <v>105.74169679998801</v>
      </c>
      <c r="Z78">
        <v>105.74169679998801</v>
      </c>
      <c r="AA78">
        <v>106.411967699998</v>
      </c>
      <c r="AB78" t="s">
        <v>50</v>
      </c>
      <c r="AC78">
        <v>1</v>
      </c>
      <c r="AD78">
        <v>0.66497869999147896</v>
      </c>
      <c r="AE78" t="s">
        <v>51</v>
      </c>
      <c r="AJ78">
        <v>4</v>
      </c>
      <c r="AK78">
        <v>1</v>
      </c>
      <c r="AL78" t="s">
        <v>85</v>
      </c>
      <c r="AM78" t="s">
        <v>43</v>
      </c>
      <c r="AO78" t="s">
        <v>44</v>
      </c>
      <c r="AP78">
        <v>59.992644915568597</v>
      </c>
      <c r="AQ78" t="s">
        <v>86</v>
      </c>
    </row>
    <row r="79" spans="1:43" x14ac:dyDescent="0.3">
      <c r="A79" t="s">
        <v>78</v>
      </c>
      <c r="B79" t="s">
        <v>47</v>
      </c>
      <c r="C79" t="s">
        <v>56</v>
      </c>
      <c r="D79" t="s">
        <v>49</v>
      </c>
      <c r="E79" t="s">
        <v>57</v>
      </c>
      <c r="F79">
        <v>76</v>
      </c>
      <c r="G79">
        <v>16</v>
      </c>
      <c r="H79">
        <v>3</v>
      </c>
      <c r="I79" t="s">
        <v>57</v>
      </c>
      <c r="J79">
        <v>1</v>
      </c>
      <c r="K79">
        <v>0.97042039997177199</v>
      </c>
      <c r="L79" t="s">
        <v>51</v>
      </c>
      <c r="M79">
        <v>3</v>
      </c>
      <c r="N79">
        <v>16</v>
      </c>
      <c r="O79">
        <v>76</v>
      </c>
      <c r="P79">
        <v>17</v>
      </c>
      <c r="Q79">
        <v>106.424981900025</v>
      </c>
      <c r="V79">
        <v>106.414806500019</v>
      </c>
      <c r="W79">
        <v>106.424981900025</v>
      </c>
      <c r="X79">
        <v>106.924586399982</v>
      </c>
      <c r="Y79">
        <v>106.924586399982</v>
      </c>
      <c r="Z79">
        <v>106.924586399982</v>
      </c>
      <c r="AA79">
        <v>107.911709700012</v>
      </c>
      <c r="AB79" t="s">
        <v>57</v>
      </c>
      <c r="AC79">
        <v>1</v>
      </c>
      <c r="AD79">
        <v>0.97042039997177199</v>
      </c>
      <c r="AE79" t="s">
        <v>51</v>
      </c>
      <c r="AJ79">
        <v>4</v>
      </c>
      <c r="AK79">
        <v>1</v>
      </c>
      <c r="AL79" t="s">
        <v>85</v>
      </c>
      <c r="AM79" t="s">
        <v>43</v>
      </c>
      <c r="AO79" t="s">
        <v>44</v>
      </c>
      <c r="AP79">
        <v>59.992644915568597</v>
      </c>
      <c r="AQ79" t="s">
        <v>86</v>
      </c>
    </row>
    <row r="80" spans="1:43" x14ac:dyDescent="0.3">
      <c r="A80" t="s">
        <v>67</v>
      </c>
      <c r="B80" t="s">
        <v>47</v>
      </c>
      <c r="C80" t="s">
        <v>53</v>
      </c>
      <c r="D80" t="s">
        <v>49</v>
      </c>
      <c r="E80" t="s">
        <v>54</v>
      </c>
      <c r="F80">
        <v>77</v>
      </c>
      <c r="G80">
        <v>17</v>
      </c>
      <c r="H80">
        <v>3</v>
      </c>
      <c r="I80" t="s">
        <v>54</v>
      </c>
      <c r="J80">
        <v>1</v>
      </c>
      <c r="K80">
        <v>0.69643349997932003</v>
      </c>
      <c r="L80" t="s">
        <v>51</v>
      </c>
      <c r="M80">
        <v>3</v>
      </c>
      <c r="N80">
        <v>17</v>
      </c>
      <c r="O80">
        <v>77</v>
      </c>
      <c r="P80">
        <v>10</v>
      </c>
      <c r="Q80">
        <v>107.92432470002601</v>
      </c>
      <c r="V80">
        <v>107.914339400012</v>
      </c>
      <c r="W80">
        <v>107.92432470002601</v>
      </c>
      <c r="X80">
        <v>108.42425219999799</v>
      </c>
      <c r="Y80">
        <v>108.42425219999799</v>
      </c>
      <c r="Z80">
        <v>108.42425219999799</v>
      </c>
      <c r="AA80">
        <v>109.12820570002</v>
      </c>
      <c r="AB80" t="s">
        <v>54</v>
      </c>
      <c r="AC80">
        <v>1</v>
      </c>
      <c r="AD80">
        <v>0.69643349997932003</v>
      </c>
      <c r="AE80" t="s">
        <v>51</v>
      </c>
      <c r="AJ80">
        <v>4</v>
      </c>
      <c r="AK80">
        <v>1</v>
      </c>
      <c r="AL80" t="s">
        <v>85</v>
      </c>
      <c r="AM80" t="s">
        <v>43</v>
      </c>
      <c r="AO80" t="s">
        <v>44</v>
      </c>
      <c r="AP80">
        <v>59.992644915568597</v>
      </c>
      <c r="AQ80" t="s">
        <v>86</v>
      </c>
    </row>
    <row r="81" spans="1:43" x14ac:dyDescent="0.3">
      <c r="A81" t="s">
        <v>52</v>
      </c>
      <c r="B81" t="s">
        <v>47</v>
      </c>
      <c r="C81" t="s">
        <v>53</v>
      </c>
      <c r="D81" t="s">
        <v>49</v>
      </c>
      <c r="E81" t="s">
        <v>54</v>
      </c>
      <c r="F81">
        <v>78</v>
      </c>
      <c r="G81">
        <v>18</v>
      </c>
      <c r="H81">
        <v>3</v>
      </c>
      <c r="I81" t="s">
        <v>54</v>
      </c>
      <c r="J81">
        <v>1</v>
      </c>
      <c r="K81">
        <v>0.49359560001175801</v>
      </c>
      <c r="L81" t="s">
        <v>51</v>
      </c>
      <c r="M81">
        <v>3</v>
      </c>
      <c r="N81">
        <v>18</v>
      </c>
      <c r="O81">
        <v>78</v>
      </c>
      <c r="P81">
        <v>14</v>
      </c>
      <c r="Q81">
        <v>109.142121499986</v>
      </c>
      <c r="V81">
        <v>109.130876199982</v>
      </c>
      <c r="W81">
        <v>109.142121499986</v>
      </c>
      <c r="X81">
        <v>109.641120399988</v>
      </c>
      <c r="Y81">
        <v>109.641120399988</v>
      </c>
      <c r="Z81">
        <v>109.641120399988</v>
      </c>
      <c r="AA81">
        <v>110.14458110003</v>
      </c>
      <c r="AB81" t="s">
        <v>54</v>
      </c>
      <c r="AC81">
        <v>1</v>
      </c>
      <c r="AD81">
        <v>0.49359560001175801</v>
      </c>
      <c r="AE81" t="s">
        <v>51</v>
      </c>
      <c r="AJ81">
        <v>4</v>
      </c>
      <c r="AK81">
        <v>1</v>
      </c>
      <c r="AL81" t="s">
        <v>85</v>
      </c>
      <c r="AM81" t="s">
        <v>43</v>
      </c>
      <c r="AO81" t="s">
        <v>44</v>
      </c>
      <c r="AP81">
        <v>59.992644915568597</v>
      </c>
      <c r="AQ81" t="s">
        <v>86</v>
      </c>
    </row>
    <row r="82" spans="1:43" x14ac:dyDescent="0.3">
      <c r="A82" t="s">
        <v>69</v>
      </c>
      <c r="B82" t="s">
        <v>59</v>
      </c>
      <c r="C82" t="s">
        <v>56</v>
      </c>
      <c r="D82" t="s">
        <v>49</v>
      </c>
      <c r="E82" t="s">
        <v>57</v>
      </c>
      <c r="F82">
        <v>79</v>
      </c>
      <c r="G82">
        <v>19</v>
      </c>
      <c r="H82">
        <v>3</v>
      </c>
      <c r="I82" t="s">
        <v>57</v>
      </c>
      <c r="J82">
        <v>1</v>
      </c>
      <c r="K82">
        <v>1.0763615000178099</v>
      </c>
      <c r="L82" t="s">
        <v>51</v>
      </c>
      <c r="M82">
        <v>3</v>
      </c>
      <c r="N82">
        <v>19</v>
      </c>
      <c r="O82">
        <v>79</v>
      </c>
      <c r="P82">
        <v>5</v>
      </c>
      <c r="Q82">
        <v>110.157714300032</v>
      </c>
      <c r="V82">
        <v>110.147223600011</v>
      </c>
      <c r="W82">
        <v>110.157714300032</v>
      </c>
      <c r="X82">
        <v>110.658132100012</v>
      </c>
      <c r="Y82">
        <v>110.658132100012</v>
      </c>
      <c r="Z82">
        <v>110.658132100012</v>
      </c>
      <c r="AA82">
        <v>111.745928800024</v>
      </c>
      <c r="AB82" t="s">
        <v>57</v>
      </c>
      <c r="AC82">
        <v>1</v>
      </c>
      <c r="AD82">
        <v>1.0763615000178099</v>
      </c>
      <c r="AE82" t="s">
        <v>51</v>
      </c>
      <c r="AJ82">
        <v>4</v>
      </c>
      <c r="AK82">
        <v>1</v>
      </c>
      <c r="AL82" t="s">
        <v>85</v>
      </c>
      <c r="AM82" t="s">
        <v>43</v>
      </c>
      <c r="AO82" t="s">
        <v>44</v>
      </c>
      <c r="AP82">
        <v>59.992644915568597</v>
      </c>
      <c r="AQ82" t="s">
        <v>86</v>
      </c>
    </row>
    <row r="83" spans="1:43" x14ac:dyDescent="0.3">
      <c r="A83" t="s">
        <v>77</v>
      </c>
      <c r="B83" t="s">
        <v>59</v>
      </c>
      <c r="C83" t="s">
        <v>61</v>
      </c>
      <c r="D83" t="s">
        <v>62</v>
      </c>
      <c r="E83" t="s">
        <v>63</v>
      </c>
      <c r="F83">
        <v>80</v>
      </c>
      <c r="G83">
        <v>0</v>
      </c>
      <c r="H83">
        <v>4</v>
      </c>
      <c r="I83" t="s">
        <v>63</v>
      </c>
      <c r="J83">
        <v>1</v>
      </c>
      <c r="K83">
        <v>0.599536199995782</v>
      </c>
      <c r="L83" t="s">
        <v>51</v>
      </c>
      <c r="M83">
        <v>4</v>
      </c>
      <c r="N83">
        <v>0</v>
      </c>
      <c r="O83">
        <v>80</v>
      </c>
      <c r="P83">
        <v>4</v>
      </c>
      <c r="Q83">
        <v>111.757929600018</v>
      </c>
      <c r="V83">
        <v>111.749162300024</v>
      </c>
      <c r="W83">
        <v>111.757929600018</v>
      </c>
      <c r="X83">
        <v>112.257721100002</v>
      </c>
      <c r="Y83">
        <v>112.257721100002</v>
      </c>
      <c r="Z83">
        <v>112.257721100002</v>
      </c>
      <c r="AA83">
        <v>112.86178209999299</v>
      </c>
      <c r="AB83" t="s">
        <v>63</v>
      </c>
      <c r="AC83">
        <v>1</v>
      </c>
      <c r="AD83">
        <v>0.599536199995782</v>
      </c>
      <c r="AE83" t="s">
        <v>51</v>
      </c>
      <c r="AJ83">
        <v>4</v>
      </c>
      <c r="AK83">
        <v>1</v>
      </c>
      <c r="AL83" t="s">
        <v>85</v>
      </c>
      <c r="AM83" t="s">
        <v>43</v>
      </c>
      <c r="AO83" t="s">
        <v>44</v>
      </c>
      <c r="AP83">
        <v>59.992644915568597</v>
      </c>
      <c r="AQ83" t="s">
        <v>86</v>
      </c>
    </row>
    <row r="84" spans="1:43" x14ac:dyDescent="0.3">
      <c r="A84" t="s">
        <v>69</v>
      </c>
      <c r="B84" t="s">
        <v>59</v>
      </c>
      <c r="C84" t="s">
        <v>56</v>
      </c>
      <c r="D84" t="s">
        <v>49</v>
      </c>
      <c r="E84" t="s">
        <v>57</v>
      </c>
      <c r="F84">
        <v>81</v>
      </c>
      <c r="G84">
        <v>1</v>
      </c>
      <c r="H84">
        <v>4</v>
      </c>
      <c r="I84" t="s">
        <v>57</v>
      </c>
      <c r="J84">
        <v>1</v>
      </c>
      <c r="K84">
        <v>1.21846679999725</v>
      </c>
      <c r="L84" t="s">
        <v>51</v>
      </c>
      <c r="M84">
        <v>4</v>
      </c>
      <c r="N84">
        <v>1</v>
      </c>
      <c r="O84">
        <v>81</v>
      </c>
      <c r="P84">
        <v>5</v>
      </c>
      <c r="Q84">
        <v>112.87408819998301</v>
      </c>
      <c r="V84">
        <v>112.86481180001201</v>
      </c>
      <c r="W84">
        <v>112.87408819998301</v>
      </c>
      <c r="X84">
        <v>113.37456919997901</v>
      </c>
      <c r="Y84">
        <v>113.37456919997901</v>
      </c>
      <c r="Z84">
        <v>113.37456919997901</v>
      </c>
      <c r="AA84">
        <v>114.594705900002</v>
      </c>
      <c r="AB84" t="s">
        <v>57</v>
      </c>
      <c r="AC84">
        <v>1</v>
      </c>
      <c r="AD84">
        <v>1.21846679999725</v>
      </c>
      <c r="AE84" t="s">
        <v>51</v>
      </c>
      <c r="AJ84">
        <v>4</v>
      </c>
      <c r="AK84">
        <v>1</v>
      </c>
      <c r="AL84" t="s">
        <v>85</v>
      </c>
      <c r="AM84" t="s">
        <v>43</v>
      </c>
      <c r="AO84" t="s">
        <v>44</v>
      </c>
      <c r="AP84">
        <v>59.992644915568597</v>
      </c>
      <c r="AQ84" t="s">
        <v>86</v>
      </c>
    </row>
    <row r="85" spans="1:43" x14ac:dyDescent="0.3">
      <c r="A85" t="s">
        <v>64</v>
      </c>
      <c r="B85" t="s">
        <v>47</v>
      </c>
      <c r="C85" t="s">
        <v>53</v>
      </c>
      <c r="D85" t="s">
        <v>49</v>
      </c>
      <c r="E85" t="s">
        <v>54</v>
      </c>
      <c r="F85">
        <v>82</v>
      </c>
      <c r="G85">
        <v>2</v>
      </c>
      <c r="H85">
        <v>4</v>
      </c>
      <c r="I85" t="s">
        <v>54</v>
      </c>
      <c r="J85">
        <v>1</v>
      </c>
      <c r="K85">
        <v>1.2195034000324001</v>
      </c>
      <c r="L85" t="s">
        <v>51</v>
      </c>
      <c r="M85">
        <v>4</v>
      </c>
      <c r="N85">
        <v>2</v>
      </c>
      <c r="O85">
        <v>82</v>
      </c>
      <c r="P85">
        <v>18</v>
      </c>
      <c r="Q85">
        <v>114.608274500002</v>
      </c>
      <c r="V85">
        <v>114.597170900029</v>
      </c>
      <c r="W85">
        <v>114.608274500002</v>
      </c>
      <c r="X85">
        <v>115.10821089998301</v>
      </c>
      <c r="Y85">
        <v>115.10821089998301</v>
      </c>
      <c r="Z85">
        <v>115.10821089998301</v>
      </c>
      <c r="AA85">
        <v>116.328657299978</v>
      </c>
      <c r="AB85" t="s">
        <v>54</v>
      </c>
      <c r="AC85">
        <v>1</v>
      </c>
      <c r="AD85">
        <v>1.2195034000324001</v>
      </c>
      <c r="AE85" t="s">
        <v>51</v>
      </c>
      <c r="AJ85">
        <v>4</v>
      </c>
      <c r="AK85">
        <v>1</v>
      </c>
      <c r="AL85" t="s">
        <v>85</v>
      </c>
      <c r="AM85" t="s">
        <v>43</v>
      </c>
      <c r="AO85" t="s">
        <v>44</v>
      </c>
      <c r="AP85">
        <v>59.992644915568597</v>
      </c>
      <c r="AQ85" t="s">
        <v>86</v>
      </c>
    </row>
    <row r="86" spans="1:43" x14ac:dyDescent="0.3">
      <c r="A86" t="s">
        <v>52</v>
      </c>
      <c r="B86" t="s">
        <v>47</v>
      </c>
      <c r="C86" t="s">
        <v>53</v>
      </c>
      <c r="D86" t="s">
        <v>49</v>
      </c>
      <c r="E86" t="s">
        <v>54</v>
      </c>
      <c r="F86">
        <v>83</v>
      </c>
      <c r="G86">
        <v>3</v>
      </c>
      <c r="H86">
        <v>4</v>
      </c>
      <c r="I86" t="s">
        <v>54</v>
      </c>
      <c r="J86">
        <v>1</v>
      </c>
      <c r="K86">
        <v>0.53257260000100304</v>
      </c>
      <c r="L86" t="s">
        <v>51</v>
      </c>
      <c r="M86">
        <v>4</v>
      </c>
      <c r="N86">
        <v>3</v>
      </c>
      <c r="O86">
        <v>83</v>
      </c>
      <c r="P86">
        <v>14</v>
      </c>
      <c r="Q86">
        <v>116.340954000013</v>
      </c>
      <c r="V86">
        <v>116.33133630000501</v>
      </c>
      <c r="W86">
        <v>116.340954000013</v>
      </c>
      <c r="X86">
        <v>116.841447899991</v>
      </c>
      <c r="Y86">
        <v>116.841447899991</v>
      </c>
      <c r="Z86">
        <v>116.841447899991</v>
      </c>
      <c r="AA86">
        <v>117.379401299986</v>
      </c>
      <c r="AB86" t="s">
        <v>54</v>
      </c>
      <c r="AC86">
        <v>1</v>
      </c>
      <c r="AD86">
        <v>0.53257260000100304</v>
      </c>
      <c r="AE86" t="s">
        <v>51</v>
      </c>
      <c r="AJ86">
        <v>4</v>
      </c>
      <c r="AK86">
        <v>1</v>
      </c>
      <c r="AL86" t="s">
        <v>85</v>
      </c>
      <c r="AM86" t="s">
        <v>43</v>
      </c>
      <c r="AO86" t="s">
        <v>44</v>
      </c>
      <c r="AP86">
        <v>59.992644915568597</v>
      </c>
      <c r="AQ86" t="s">
        <v>86</v>
      </c>
    </row>
    <row r="87" spans="1:43" x14ac:dyDescent="0.3">
      <c r="A87" t="s">
        <v>74</v>
      </c>
      <c r="B87" t="s">
        <v>47</v>
      </c>
      <c r="C87" t="s">
        <v>48</v>
      </c>
      <c r="D87" t="s">
        <v>49</v>
      </c>
      <c r="E87" t="s">
        <v>50</v>
      </c>
      <c r="F87">
        <v>84</v>
      </c>
      <c r="G87">
        <v>4</v>
      </c>
      <c r="H87">
        <v>4</v>
      </c>
      <c r="I87" t="s">
        <v>50</v>
      </c>
      <c r="J87">
        <v>1</v>
      </c>
      <c r="K87">
        <v>2.2882200000458299</v>
      </c>
      <c r="L87" t="s">
        <v>51</v>
      </c>
      <c r="M87">
        <v>4</v>
      </c>
      <c r="N87">
        <v>4</v>
      </c>
      <c r="O87">
        <v>84</v>
      </c>
      <c r="P87">
        <v>11</v>
      </c>
      <c r="Q87">
        <v>117.390962100005</v>
      </c>
      <c r="V87">
        <v>117.38210990000501</v>
      </c>
      <c r="W87">
        <v>117.390962100005</v>
      </c>
      <c r="X87">
        <v>117.890788300021</v>
      </c>
      <c r="Y87">
        <v>117.890788300021</v>
      </c>
      <c r="Z87">
        <v>117.890788300021</v>
      </c>
      <c r="AA87">
        <v>120.194414100027</v>
      </c>
      <c r="AB87" t="s">
        <v>50</v>
      </c>
      <c r="AC87">
        <v>1</v>
      </c>
      <c r="AD87">
        <v>2.2882200000458299</v>
      </c>
      <c r="AE87" t="s">
        <v>51</v>
      </c>
      <c r="AJ87">
        <v>4</v>
      </c>
      <c r="AK87">
        <v>1</v>
      </c>
      <c r="AL87" t="s">
        <v>85</v>
      </c>
      <c r="AM87" t="s">
        <v>43</v>
      </c>
      <c r="AO87" t="s">
        <v>44</v>
      </c>
      <c r="AP87">
        <v>59.992644915568597</v>
      </c>
      <c r="AQ87" t="s">
        <v>86</v>
      </c>
    </row>
    <row r="88" spans="1:43" x14ac:dyDescent="0.3">
      <c r="A88" t="s">
        <v>65</v>
      </c>
      <c r="B88" t="s">
        <v>59</v>
      </c>
      <c r="C88" t="s">
        <v>56</v>
      </c>
      <c r="D88" t="s">
        <v>49</v>
      </c>
      <c r="E88" t="s">
        <v>57</v>
      </c>
      <c r="F88">
        <v>85</v>
      </c>
      <c r="G88">
        <v>5</v>
      </c>
      <c r="H88">
        <v>4</v>
      </c>
      <c r="I88" t="s">
        <v>57</v>
      </c>
      <c r="J88">
        <v>1</v>
      </c>
      <c r="K88">
        <v>0.82002709998050705</v>
      </c>
      <c r="L88" t="s">
        <v>51</v>
      </c>
      <c r="M88">
        <v>4</v>
      </c>
      <c r="N88">
        <v>5</v>
      </c>
      <c r="O88">
        <v>85</v>
      </c>
      <c r="P88">
        <v>9</v>
      </c>
      <c r="Q88">
        <v>120.207353200006</v>
      </c>
      <c r="V88">
        <v>120.197214299987</v>
      </c>
      <c r="W88">
        <v>120.207353200006</v>
      </c>
      <c r="X88">
        <v>120.707289999991</v>
      </c>
      <c r="Y88">
        <v>120.707289999991</v>
      </c>
      <c r="Z88">
        <v>120.707289999991</v>
      </c>
      <c r="AA88">
        <v>121.528206199989</v>
      </c>
      <c r="AB88" t="s">
        <v>57</v>
      </c>
      <c r="AC88">
        <v>1</v>
      </c>
      <c r="AD88">
        <v>0.82002709998050705</v>
      </c>
      <c r="AE88" t="s">
        <v>51</v>
      </c>
      <c r="AJ88">
        <v>4</v>
      </c>
      <c r="AK88">
        <v>1</v>
      </c>
      <c r="AL88" t="s">
        <v>85</v>
      </c>
      <c r="AM88" t="s">
        <v>43</v>
      </c>
      <c r="AO88" t="s">
        <v>44</v>
      </c>
      <c r="AP88">
        <v>59.992644915568597</v>
      </c>
      <c r="AQ88" t="s">
        <v>86</v>
      </c>
    </row>
    <row r="89" spans="1:43" x14ac:dyDescent="0.3">
      <c r="A89" t="s">
        <v>78</v>
      </c>
      <c r="B89" t="s">
        <v>47</v>
      </c>
      <c r="C89" t="s">
        <v>56</v>
      </c>
      <c r="D89" t="s">
        <v>49</v>
      </c>
      <c r="E89" t="s">
        <v>57</v>
      </c>
      <c r="F89">
        <v>86</v>
      </c>
      <c r="G89">
        <v>6</v>
      </c>
      <c r="H89">
        <v>4</v>
      </c>
      <c r="I89" t="s">
        <v>57</v>
      </c>
      <c r="J89">
        <v>1</v>
      </c>
      <c r="K89">
        <v>0.71335420000832495</v>
      </c>
      <c r="L89" t="s">
        <v>51</v>
      </c>
      <c r="M89">
        <v>4</v>
      </c>
      <c r="N89">
        <v>6</v>
      </c>
      <c r="O89">
        <v>86</v>
      </c>
      <c r="P89">
        <v>17</v>
      </c>
      <c r="Q89">
        <v>121.541450700024</v>
      </c>
      <c r="V89">
        <v>121.531754399999</v>
      </c>
      <c r="W89">
        <v>121.541450700024</v>
      </c>
      <c r="X89">
        <v>122.04095970001001</v>
      </c>
      <c r="Y89">
        <v>122.04095970001001</v>
      </c>
      <c r="Z89">
        <v>122.04095970001001</v>
      </c>
      <c r="AA89">
        <v>122.76104240002999</v>
      </c>
      <c r="AB89" t="s">
        <v>57</v>
      </c>
      <c r="AC89">
        <v>1</v>
      </c>
      <c r="AD89">
        <v>0.71335420000832495</v>
      </c>
      <c r="AE89" t="s">
        <v>51</v>
      </c>
      <c r="AJ89">
        <v>4</v>
      </c>
      <c r="AK89">
        <v>1</v>
      </c>
      <c r="AL89" t="s">
        <v>85</v>
      </c>
      <c r="AM89" t="s">
        <v>43</v>
      </c>
      <c r="AO89" t="s">
        <v>44</v>
      </c>
      <c r="AP89">
        <v>59.992644915568597</v>
      </c>
      <c r="AQ89" t="s">
        <v>86</v>
      </c>
    </row>
    <row r="90" spans="1:43" x14ac:dyDescent="0.3">
      <c r="A90" t="s">
        <v>58</v>
      </c>
      <c r="B90" t="s">
        <v>59</v>
      </c>
      <c r="C90" t="s">
        <v>48</v>
      </c>
      <c r="D90" t="s">
        <v>49</v>
      </c>
      <c r="E90" t="s">
        <v>50</v>
      </c>
      <c r="F90">
        <v>87</v>
      </c>
      <c r="G90">
        <v>7</v>
      </c>
      <c r="H90">
        <v>4</v>
      </c>
      <c r="I90" t="s">
        <v>50</v>
      </c>
      <c r="J90">
        <v>1</v>
      </c>
      <c r="K90">
        <v>0.86942110001109496</v>
      </c>
      <c r="L90" t="s">
        <v>51</v>
      </c>
      <c r="M90">
        <v>4</v>
      </c>
      <c r="N90">
        <v>7</v>
      </c>
      <c r="O90">
        <v>87</v>
      </c>
      <c r="P90">
        <v>7</v>
      </c>
      <c r="Q90">
        <v>122.774376699991</v>
      </c>
      <c r="V90">
        <v>122.763863000029</v>
      </c>
      <c r="W90">
        <v>122.774376699991</v>
      </c>
      <c r="X90">
        <v>123.273795099987</v>
      </c>
      <c r="Y90">
        <v>123.273795099987</v>
      </c>
      <c r="Z90">
        <v>123.273795099987</v>
      </c>
      <c r="AA90">
        <v>124.144676399999</v>
      </c>
      <c r="AB90" t="s">
        <v>50</v>
      </c>
      <c r="AC90">
        <v>1</v>
      </c>
      <c r="AD90">
        <v>0.86942110001109496</v>
      </c>
      <c r="AE90" t="s">
        <v>51</v>
      </c>
      <c r="AJ90">
        <v>4</v>
      </c>
      <c r="AK90">
        <v>1</v>
      </c>
      <c r="AL90" t="s">
        <v>85</v>
      </c>
      <c r="AM90" t="s">
        <v>43</v>
      </c>
      <c r="AO90" t="s">
        <v>44</v>
      </c>
      <c r="AP90">
        <v>59.992644915568597</v>
      </c>
      <c r="AQ90" t="s">
        <v>86</v>
      </c>
    </row>
    <row r="91" spans="1:43" x14ac:dyDescent="0.3">
      <c r="A91" t="s">
        <v>68</v>
      </c>
      <c r="B91" t="s">
        <v>59</v>
      </c>
      <c r="C91" t="s">
        <v>53</v>
      </c>
      <c r="D91" t="s">
        <v>49</v>
      </c>
      <c r="E91" t="s">
        <v>54</v>
      </c>
      <c r="F91">
        <v>88</v>
      </c>
      <c r="G91">
        <v>8</v>
      </c>
      <c r="H91">
        <v>4</v>
      </c>
      <c r="I91" t="s">
        <v>54</v>
      </c>
      <c r="J91">
        <v>1</v>
      </c>
      <c r="K91">
        <v>0.88416150002740301</v>
      </c>
      <c r="L91" t="s">
        <v>51</v>
      </c>
      <c r="M91">
        <v>4</v>
      </c>
      <c r="N91">
        <v>8</v>
      </c>
      <c r="O91">
        <v>88</v>
      </c>
      <c r="P91">
        <v>6</v>
      </c>
      <c r="Q91">
        <v>124.15706040000001</v>
      </c>
      <c r="V91">
        <v>124.14736900001201</v>
      </c>
      <c r="W91">
        <v>124.15706040000001</v>
      </c>
      <c r="X91">
        <v>124.657018899975</v>
      </c>
      <c r="Y91">
        <v>124.657018899975</v>
      </c>
      <c r="Z91">
        <v>124.657018899975</v>
      </c>
      <c r="AA91">
        <v>125.544871499994</v>
      </c>
      <c r="AB91" t="s">
        <v>54</v>
      </c>
      <c r="AC91">
        <v>1</v>
      </c>
      <c r="AD91">
        <v>0.88416150002740301</v>
      </c>
      <c r="AE91" t="s">
        <v>51</v>
      </c>
      <c r="AJ91">
        <v>4</v>
      </c>
      <c r="AK91">
        <v>1</v>
      </c>
      <c r="AL91" t="s">
        <v>85</v>
      </c>
      <c r="AM91" t="s">
        <v>43</v>
      </c>
      <c r="AO91" t="s">
        <v>44</v>
      </c>
      <c r="AP91">
        <v>59.992644915568597</v>
      </c>
      <c r="AQ91" t="s">
        <v>86</v>
      </c>
    </row>
    <row r="92" spans="1:43" x14ac:dyDescent="0.3">
      <c r="A92" t="s">
        <v>71</v>
      </c>
      <c r="B92" t="s">
        <v>47</v>
      </c>
      <c r="C92" t="s">
        <v>48</v>
      </c>
      <c r="D92" t="s">
        <v>49</v>
      </c>
      <c r="E92" t="s">
        <v>50</v>
      </c>
      <c r="F92">
        <v>89</v>
      </c>
      <c r="G92">
        <v>9</v>
      </c>
      <c r="H92">
        <v>4</v>
      </c>
      <c r="I92" t="s">
        <v>50</v>
      </c>
      <c r="J92">
        <v>1</v>
      </c>
      <c r="K92">
        <v>1.31851220002863</v>
      </c>
      <c r="L92" t="s">
        <v>51</v>
      </c>
      <c r="M92">
        <v>4</v>
      </c>
      <c r="N92">
        <v>9</v>
      </c>
      <c r="O92">
        <v>89</v>
      </c>
      <c r="P92">
        <v>15</v>
      </c>
      <c r="Q92">
        <v>125.55700640002</v>
      </c>
      <c r="V92">
        <v>125.54760360001799</v>
      </c>
      <c r="W92">
        <v>125.55700640002</v>
      </c>
      <c r="X92">
        <v>126.05752450000701</v>
      </c>
      <c r="Y92">
        <v>126.05752450000701</v>
      </c>
      <c r="Z92">
        <v>126.05752450000701</v>
      </c>
      <c r="AA92">
        <v>127.377782399998</v>
      </c>
      <c r="AB92" t="s">
        <v>50</v>
      </c>
      <c r="AC92">
        <v>1</v>
      </c>
      <c r="AD92">
        <v>1.31851220002863</v>
      </c>
      <c r="AE92" t="s">
        <v>51</v>
      </c>
      <c r="AJ92">
        <v>4</v>
      </c>
      <c r="AK92">
        <v>1</v>
      </c>
      <c r="AL92" t="s">
        <v>85</v>
      </c>
      <c r="AM92" t="s">
        <v>43</v>
      </c>
      <c r="AO92" t="s">
        <v>44</v>
      </c>
      <c r="AP92">
        <v>59.992644915568597</v>
      </c>
      <c r="AQ92" t="s">
        <v>86</v>
      </c>
    </row>
    <row r="93" spans="1:43" x14ac:dyDescent="0.3">
      <c r="A93" t="s">
        <v>72</v>
      </c>
      <c r="B93" t="s">
        <v>59</v>
      </c>
      <c r="C93" t="s">
        <v>61</v>
      </c>
      <c r="D93" t="s">
        <v>62</v>
      </c>
      <c r="E93" t="s">
        <v>63</v>
      </c>
      <c r="F93">
        <v>90</v>
      </c>
      <c r="G93">
        <v>10</v>
      </c>
      <c r="H93">
        <v>4</v>
      </c>
      <c r="I93" t="s">
        <v>63</v>
      </c>
      <c r="J93">
        <v>1</v>
      </c>
      <c r="K93">
        <v>0.660410200012847</v>
      </c>
      <c r="L93" t="s">
        <v>51</v>
      </c>
      <c r="M93">
        <v>4</v>
      </c>
      <c r="N93">
        <v>10</v>
      </c>
      <c r="O93">
        <v>90</v>
      </c>
      <c r="P93">
        <v>8</v>
      </c>
      <c r="Q93">
        <v>127.390355399984</v>
      </c>
      <c r="V93">
        <v>127.381447700026</v>
      </c>
      <c r="W93">
        <v>127.390355399984</v>
      </c>
      <c r="X93">
        <v>127.890576799982</v>
      </c>
      <c r="Y93">
        <v>127.890576799982</v>
      </c>
      <c r="Z93">
        <v>127.890576799982</v>
      </c>
      <c r="AA93">
        <v>128.560973300016</v>
      </c>
      <c r="AB93" t="s">
        <v>63</v>
      </c>
      <c r="AC93">
        <v>1</v>
      </c>
      <c r="AD93">
        <v>0.660410200012847</v>
      </c>
      <c r="AE93" t="s">
        <v>51</v>
      </c>
      <c r="AJ93">
        <v>4</v>
      </c>
      <c r="AK93">
        <v>1</v>
      </c>
      <c r="AL93" t="s">
        <v>85</v>
      </c>
      <c r="AM93" t="s">
        <v>43</v>
      </c>
      <c r="AO93" t="s">
        <v>44</v>
      </c>
      <c r="AP93">
        <v>59.992644915568597</v>
      </c>
      <c r="AQ93" t="s">
        <v>86</v>
      </c>
    </row>
    <row r="94" spans="1:43" x14ac:dyDescent="0.3">
      <c r="A94" t="s">
        <v>67</v>
      </c>
      <c r="B94" t="s">
        <v>47</v>
      </c>
      <c r="C94" t="s">
        <v>53</v>
      </c>
      <c r="D94" t="s">
        <v>49</v>
      </c>
      <c r="E94" t="s">
        <v>54</v>
      </c>
      <c r="F94">
        <v>91</v>
      </c>
      <c r="G94">
        <v>11</v>
      </c>
      <c r="H94">
        <v>4</v>
      </c>
      <c r="I94" t="s">
        <v>54</v>
      </c>
      <c r="J94">
        <v>1</v>
      </c>
      <c r="K94">
        <v>0.76956929999869295</v>
      </c>
      <c r="L94" t="s">
        <v>51</v>
      </c>
      <c r="M94">
        <v>4</v>
      </c>
      <c r="N94">
        <v>11</v>
      </c>
      <c r="O94">
        <v>91</v>
      </c>
      <c r="P94">
        <v>10</v>
      </c>
      <c r="Q94">
        <v>128.57347930001501</v>
      </c>
      <c r="V94">
        <v>128.56356350000701</v>
      </c>
      <c r="W94">
        <v>128.57347930001501</v>
      </c>
      <c r="X94">
        <v>129.07370379997801</v>
      </c>
      <c r="Y94">
        <v>129.07370379997801</v>
      </c>
      <c r="Z94">
        <v>129.07370379997801</v>
      </c>
      <c r="AA94">
        <v>129.84417840000199</v>
      </c>
      <c r="AB94" t="s">
        <v>54</v>
      </c>
      <c r="AC94">
        <v>1</v>
      </c>
      <c r="AD94">
        <v>0.76956929999869295</v>
      </c>
      <c r="AE94" t="s">
        <v>51</v>
      </c>
      <c r="AJ94">
        <v>4</v>
      </c>
      <c r="AK94">
        <v>1</v>
      </c>
      <c r="AL94" t="s">
        <v>85</v>
      </c>
      <c r="AM94" t="s">
        <v>43</v>
      </c>
      <c r="AO94" t="s">
        <v>44</v>
      </c>
      <c r="AP94">
        <v>59.992644915568597</v>
      </c>
      <c r="AQ94" t="s">
        <v>86</v>
      </c>
    </row>
    <row r="95" spans="1:43" x14ac:dyDescent="0.3">
      <c r="A95" t="s">
        <v>66</v>
      </c>
      <c r="B95" t="s">
        <v>47</v>
      </c>
      <c r="C95" t="s">
        <v>61</v>
      </c>
      <c r="D95" t="s">
        <v>49</v>
      </c>
      <c r="E95" t="s">
        <v>63</v>
      </c>
      <c r="F95">
        <v>92</v>
      </c>
      <c r="G95">
        <v>12</v>
      </c>
      <c r="H95">
        <v>4</v>
      </c>
      <c r="I95" t="s">
        <v>63</v>
      </c>
      <c r="J95">
        <v>1</v>
      </c>
      <c r="K95">
        <v>0.79475280002225102</v>
      </c>
      <c r="L95" t="s">
        <v>51</v>
      </c>
      <c r="M95">
        <v>4</v>
      </c>
      <c r="N95">
        <v>12</v>
      </c>
      <c r="O95">
        <v>92</v>
      </c>
      <c r="P95">
        <v>12</v>
      </c>
      <c r="Q95">
        <v>129.856952000001</v>
      </c>
      <c r="V95">
        <v>129.84722009999601</v>
      </c>
      <c r="W95">
        <v>129.856952000001</v>
      </c>
      <c r="X95">
        <v>130.35698650003101</v>
      </c>
      <c r="Y95">
        <v>130.35698650003101</v>
      </c>
      <c r="Z95">
        <v>130.35698650003101</v>
      </c>
      <c r="AA95">
        <v>131.160433100012</v>
      </c>
      <c r="AB95" t="s">
        <v>63</v>
      </c>
      <c r="AC95">
        <v>1</v>
      </c>
      <c r="AD95">
        <v>0.79475280002225102</v>
      </c>
      <c r="AE95" t="s">
        <v>51</v>
      </c>
      <c r="AJ95">
        <v>4</v>
      </c>
      <c r="AK95">
        <v>1</v>
      </c>
      <c r="AL95" t="s">
        <v>85</v>
      </c>
      <c r="AM95" t="s">
        <v>43</v>
      </c>
      <c r="AO95" t="s">
        <v>44</v>
      </c>
      <c r="AP95">
        <v>59.992644915568597</v>
      </c>
      <c r="AQ95" t="s">
        <v>86</v>
      </c>
    </row>
    <row r="96" spans="1:43" x14ac:dyDescent="0.3">
      <c r="A96" t="s">
        <v>73</v>
      </c>
      <c r="B96" t="s">
        <v>59</v>
      </c>
      <c r="C96" t="s">
        <v>56</v>
      </c>
      <c r="D96" t="s">
        <v>49</v>
      </c>
      <c r="E96" t="s">
        <v>57</v>
      </c>
      <c r="F96">
        <v>93</v>
      </c>
      <c r="G96">
        <v>13</v>
      </c>
      <c r="H96">
        <v>4</v>
      </c>
      <c r="I96" t="s">
        <v>57</v>
      </c>
      <c r="J96">
        <v>1</v>
      </c>
      <c r="K96">
        <v>0.67508880002424099</v>
      </c>
      <c r="L96" t="s">
        <v>51</v>
      </c>
      <c r="M96">
        <v>4</v>
      </c>
      <c r="N96">
        <v>13</v>
      </c>
      <c r="O96">
        <v>93</v>
      </c>
      <c r="P96">
        <v>1</v>
      </c>
      <c r="Q96">
        <v>131.17392540001299</v>
      </c>
      <c r="V96">
        <v>131.163097899989</v>
      </c>
      <c r="W96">
        <v>131.17392540001299</v>
      </c>
      <c r="X96">
        <v>131.67369530000701</v>
      </c>
      <c r="Y96">
        <v>131.67369530000701</v>
      </c>
      <c r="Z96">
        <v>131.67369530000701</v>
      </c>
      <c r="AA96">
        <v>132.361565599974</v>
      </c>
      <c r="AB96" t="s">
        <v>57</v>
      </c>
      <c r="AC96">
        <v>1</v>
      </c>
      <c r="AD96">
        <v>0.67508880002424099</v>
      </c>
      <c r="AE96" t="s">
        <v>51</v>
      </c>
      <c r="AJ96">
        <v>4</v>
      </c>
      <c r="AK96">
        <v>1</v>
      </c>
      <c r="AL96" t="s">
        <v>85</v>
      </c>
      <c r="AM96" t="s">
        <v>43</v>
      </c>
      <c r="AO96" t="s">
        <v>44</v>
      </c>
      <c r="AP96">
        <v>59.992644915568597</v>
      </c>
      <c r="AQ96" t="s">
        <v>86</v>
      </c>
    </row>
    <row r="97" spans="1:43" x14ac:dyDescent="0.3">
      <c r="A97" t="s">
        <v>46</v>
      </c>
      <c r="B97" t="s">
        <v>47</v>
      </c>
      <c r="C97" t="s">
        <v>48</v>
      </c>
      <c r="D97" t="s">
        <v>49</v>
      </c>
      <c r="E97" t="s">
        <v>50</v>
      </c>
      <c r="F97">
        <v>94</v>
      </c>
      <c r="G97">
        <v>14</v>
      </c>
      <c r="H97">
        <v>4</v>
      </c>
      <c r="I97" t="s">
        <v>50</v>
      </c>
      <c r="J97">
        <v>1</v>
      </c>
      <c r="K97">
        <v>0.83827820001169995</v>
      </c>
      <c r="L97" t="s">
        <v>51</v>
      </c>
      <c r="M97">
        <v>4</v>
      </c>
      <c r="N97">
        <v>14</v>
      </c>
      <c r="O97">
        <v>94</v>
      </c>
      <c r="P97">
        <v>19</v>
      </c>
      <c r="Q97">
        <v>132.374490400019</v>
      </c>
      <c r="V97">
        <v>132.36540140002</v>
      </c>
      <c r="W97">
        <v>132.374490400019</v>
      </c>
      <c r="X97">
        <v>132.87382520001799</v>
      </c>
      <c r="Y97">
        <v>132.87382520001799</v>
      </c>
      <c r="Z97">
        <v>132.87382520001799</v>
      </c>
      <c r="AA97">
        <v>133.72790970001299</v>
      </c>
      <c r="AB97" t="s">
        <v>50</v>
      </c>
      <c r="AC97">
        <v>1</v>
      </c>
      <c r="AD97">
        <v>0.83827820001169995</v>
      </c>
      <c r="AE97" t="s">
        <v>51</v>
      </c>
      <c r="AJ97">
        <v>4</v>
      </c>
      <c r="AK97">
        <v>1</v>
      </c>
      <c r="AL97" t="s">
        <v>85</v>
      </c>
      <c r="AM97" t="s">
        <v>43</v>
      </c>
      <c r="AO97" t="s">
        <v>44</v>
      </c>
      <c r="AP97">
        <v>59.992644915568597</v>
      </c>
      <c r="AQ97" t="s">
        <v>86</v>
      </c>
    </row>
    <row r="98" spans="1:43" x14ac:dyDescent="0.3">
      <c r="A98" t="s">
        <v>60</v>
      </c>
      <c r="B98" t="s">
        <v>59</v>
      </c>
      <c r="C98" t="s">
        <v>61</v>
      </c>
      <c r="D98" t="s">
        <v>62</v>
      </c>
      <c r="E98" t="s">
        <v>63</v>
      </c>
      <c r="F98">
        <v>95</v>
      </c>
      <c r="G98">
        <v>15</v>
      </c>
      <c r="H98">
        <v>4</v>
      </c>
      <c r="I98" t="s">
        <v>63</v>
      </c>
      <c r="J98">
        <v>1</v>
      </c>
      <c r="K98">
        <v>0.97618420002981998</v>
      </c>
      <c r="L98" t="s">
        <v>51</v>
      </c>
      <c r="M98">
        <v>4</v>
      </c>
      <c r="N98">
        <v>15</v>
      </c>
      <c r="O98">
        <v>95</v>
      </c>
      <c r="P98">
        <v>0</v>
      </c>
      <c r="Q98">
        <v>133.73989159998001</v>
      </c>
      <c r="V98">
        <v>133.73096170002799</v>
      </c>
      <c r="W98">
        <v>133.73989159998001</v>
      </c>
      <c r="X98">
        <v>134.24037810001701</v>
      </c>
      <c r="Y98">
        <v>134.24037810001701</v>
      </c>
      <c r="Z98">
        <v>134.24037810001701</v>
      </c>
      <c r="AA98">
        <v>135.226892800012</v>
      </c>
      <c r="AB98" t="s">
        <v>63</v>
      </c>
      <c r="AC98">
        <v>1</v>
      </c>
      <c r="AD98">
        <v>0.97618420002981998</v>
      </c>
      <c r="AE98" t="s">
        <v>51</v>
      </c>
      <c r="AJ98">
        <v>4</v>
      </c>
      <c r="AK98">
        <v>1</v>
      </c>
      <c r="AL98" t="s">
        <v>85</v>
      </c>
      <c r="AM98" t="s">
        <v>43</v>
      </c>
      <c r="AO98" t="s">
        <v>44</v>
      </c>
      <c r="AP98">
        <v>59.992644915568597</v>
      </c>
      <c r="AQ98" t="s">
        <v>86</v>
      </c>
    </row>
    <row r="99" spans="1:43" x14ac:dyDescent="0.3">
      <c r="A99" t="s">
        <v>76</v>
      </c>
      <c r="B99" t="s">
        <v>59</v>
      </c>
      <c r="C99" t="s">
        <v>48</v>
      </c>
      <c r="D99" t="s">
        <v>49</v>
      </c>
      <c r="E99" t="s">
        <v>50</v>
      </c>
      <c r="F99">
        <v>96</v>
      </c>
      <c r="G99">
        <v>16</v>
      </c>
      <c r="H99">
        <v>4</v>
      </c>
      <c r="I99" t="s">
        <v>50</v>
      </c>
      <c r="J99">
        <v>1</v>
      </c>
      <c r="K99">
        <v>0.67389320000074804</v>
      </c>
      <c r="L99" t="s">
        <v>51</v>
      </c>
      <c r="M99">
        <v>4</v>
      </c>
      <c r="N99">
        <v>16</v>
      </c>
      <c r="O99">
        <v>96</v>
      </c>
      <c r="P99">
        <v>3</v>
      </c>
      <c r="Q99">
        <v>135.23995509999801</v>
      </c>
      <c r="V99">
        <v>135.230043800023</v>
      </c>
      <c r="W99">
        <v>135.23995509999801</v>
      </c>
      <c r="X99">
        <v>135.740429500001</v>
      </c>
      <c r="Y99">
        <v>135.740429500001</v>
      </c>
      <c r="Z99">
        <v>135.740429500001</v>
      </c>
      <c r="AA99">
        <v>136.428683199977</v>
      </c>
      <c r="AB99" t="s">
        <v>50</v>
      </c>
      <c r="AC99">
        <v>1</v>
      </c>
      <c r="AD99">
        <v>0.67389320000074804</v>
      </c>
      <c r="AE99" t="s">
        <v>51</v>
      </c>
      <c r="AJ99">
        <v>4</v>
      </c>
      <c r="AK99">
        <v>1</v>
      </c>
      <c r="AL99" t="s">
        <v>85</v>
      </c>
      <c r="AM99" t="s">
        <v>43</v>
      </c>
      <c r="AO99" t="s">
        <v>44</v>
      </c>
      <c r="AP99">
        <v>59.992644915568597</v>
      </c>
      <c r="AQ99" t="s">
        <v>86</v>
      </c>
    </row>
    <row r="100" spans="1:43" x14ac:dyDescent="0.3">
      <c r="A100" t="s">
        <v>70</v>
      </c>
      <c r="B100" t="s">
        <v>59</v>
      </c>
      <c r="C100" t="s">
        <v>53</v>
      </c>
      <c r="D100" t="s">
        <v>49</v>
      </c>
      <c r="E100" t="s">
        <v>54</v>
      </c>
      <c r="F100">
        <v>97</v>
      </c>
      <c r="G100">
        <v>17</v>
      </c>
      <c r="H100">
        <v>4</v>
      </c>
      <c r="I100" t="s">
        <v>54</v>
      </c>
      <c r="J100">
        <v>1</v>
      </c>
      <c r="K100">
        <v>0.46736430004238999</v>
      </c>
      <c r="L100" t="s">
        <v>51</v>
      </c>
      <c r="M100">
        <v>4</v>
      </c>
      <c r="N100">
        <v>17</v>
      </c>
      <c r="O100">
        <v>97</v>
      </c>
      <c r="P100">
        <v>2</v>
      </c>
      <c r="Q100">
        <v>136.43963789998</v>
      </c>
      <c r="V100">
        <v>136.43204560002701</v>
      </c>
      <c r="W100">
        <v>136.43963789998</v>
      </c>
      <c r="X100">
        <v>136.94044049998001</v>
      </c>
      <c r="Y100">
        <v>136.94044049998001</v>
      </c>
      <c r="Z100">
        <v>136.94044049998001</v>
      </c>
      <c r="AA100">
        <v>137.41107780003199</v>
      </c>
      <c r="AB100" t="s">
        <v>54</v>
      </c>
      <c r="AC100">
        <v>1</v>
      </c>
      <c r="AD100">
        <v>0.46736430004238999</v>
      </c>
      <c r="AE100" t="s">
        <v>51</v>
      </c>
      <c r="AJ100">
        <v>4</v>
      </c>
      <c r="AK100">
        <v>1</v>
      </c>
      <c r="AL100" t="s">
        <v>85</v>
      </c>
      <c r="AM100" t="s">
        <v>43</v>
      </c>
      <c r="AO100" t="s">
        <v>44</v>
      </c>
      <c r="AP100">
        <v>59.992644915568597</v>
      </c>
      <c r="AQ100" t="s">
        <v>86</v>
      </c>
    </row>
    <row r="101" spans="1:43" x14ac:dyDescent="0.3">
      <c r="A101" t="s">
        <v>55</v>
      </c>
      <c r="B101" t="s">
        <v>47</v>
      </c>
      <c r="C101" t="s">
        <v>56</v>
      </c>
      <c r="D101" t="s">
        <v>49</v>
      </c>
      <c r="E101" t="s">
        <v>57</v>
      </c>
      <c r="F101">
        <v>98</v>
      </c>
      <c r="G101">
        <v>18</v>
      </c>
      <c r="H101">
        <v>4</v>
      </c>
      <c r="I101" t="s">
        <v>57</v>
      </c>
      <c r="J101">
        <v>1</v>
      </c>
      <c r="K101">
        <v>0.42361409997101801</v>
      </c>
      <c r="L101" t="s">
        <v>51</v>
      </c>
      <c r="M101">
        <v>4</v>
      </c>
      <c r="N101">
        <v>18</v>
      </c>
      <c r="O101">
        <v>98</v>
      </c>
      <c r="P101">
        <v>13</v>
      </c>
      <c r="Q101">
        <v>137.42340889997999</v>
      </c>
      <c r="V101">
        <v>137.41368430003001</v>
      </c>
      <c r="W101">
        <v>137.42340889997999</v>
      </c>
      <c r="X101">
        <v>137.92323770001499</v>
      </c>
      <c r="Y101">
        <v>137.92323770001499</v>
      </c>
      <c r="Z101">
        <v>137.92323770001499</v>
      </c>
      <c r="AA101">
        <v>138.36021020001499</v>
      </c>
      <c r="AB101" t="s">
        <v>57</v>
      </c>
      <c r="AC101">
        <v>1</v>
      </c>
      <c r="AD101">
        <v>0.42361409997101801</v>
      </c>
      <c r="AE101" t="s">
        <v>51</v>
      </c>
      <c r="AJ101">
        <v>4</v>
      </c>
      <c r="AK101">
        <v>1</v>
      </c>
      <c r="AL101" t="s">
        <v>85</v>
      </c>
      <c r="AM101" t="s">
        <v>43</v>
      </c>
      <c r="AO101" t="s">
        <v>44</v>
      </c>
      <c r="AP101">
        <v>59.992644915568597</v>
      </c>
      <c r="AQ101" t="s">
        <v>86</v>
      </c>
    </row>
    <row r="102" spans="1:43" x14ac:dyDescent="0.3">
      <c r="A102" t="s">
        <v>75</v>
      </c>
      <c r="B102" t="s">
        <v>47</v>
      </c>
      <c r="C102" t="s">
        <v>61</v>
      </c>
      <c r="D102" t="s">
        <v>49</v>
      </c>
      <c r="E102" t="s">
        <v>63</v>
      </c>
      <c r="F102">
        <v>99</v>
      </c>
      <c r="G102">
        <v>19</v>
      </c>
      <c r="H102">
        <v>4</v>
      </c>
      <c r="I102" t="s">
        <v>63</v>
      </c>
      <c r="J102">
        <v>1</v>
      </c>
      <c r="K102">
        <v>0.56528869998874098</v>
      </c>
      <c r="L102" t="s">
        <v>51</v>
      </c>
      <c r="M102">
        <v>4</v>
      </c>
      <c r="N102">
        <v>19</v>
      </c>
      <c r="O102">
        <v>99</v>
      </c>
      <c r="P102">
        <v>16</v>
      </c>
      <c r="Q102">
        <v>138.3731272</v>
      </c>
      <c r="V102">
        <v>138.36269869998699</v>
      </c>
      <c r="W102">
        <v>138.3731272</v>
      </c>
      <c r="X102">
        <v>138.87299589999</v>
      </c>
      <c r="Y102">
        <v>138.87299589999</v>
      </c>
      <c r="Z102">
        <v>138.87299589999</v>
      </c>
      <c r="AA102">
        <v>139.444588300015</v>
      </c>
      <c r="AB102" t="s">
        <v>63</v>
      </c>
      <c r="AC102">
        <v>1</v>
      </c>
      <c r="AD102">
        <v>0.56528869998874098</v>
      </c>
      <c r="AE102" t="s">
        <v>51</v>
      </c>
      <c r="AJ102">
        <v>4</v>
      </c>
      <c r="AK102">
        <v>1</v>
      </c>
      <c r="AL102" t="s">
        <v>85</v>
      </c>
      <c r="AM102" t="s">
        <v>43</v>
      </c>
      <c r="AO102" t="s">
        <v>44</v>
      </c>
      <c r="AP102">
        <v>59.992644915568597</v>
      </c>
      <c r="AQ102" t="s">
        <v>86</v>
      </c>
    </row>
    <row r="103" spans="1:43" x14ac:dyDescent="0.3">
      <c r="A103" t="s">
        <v>69</v>
      </c>
      <c r="B103" t="s">
        <v>59</v>
      </c>
      <c r="C103" t="s">
        <v>56</v>
      </c>
      <c r="D103" t="s">
        <v>49</v>
      </c>
      <c r="E103" t="s">
        <v>57</v>
      </c>
      <c r="F103">
        <v>100</v>
      </c>
      <c r="G103">
        <v>0</v>
      </c>
      <c r="H103">
        <v>5</v>
      </c>
      <c r="I103" t="s">
        <v>57</v>
      </c>
      <c r="J103">
        <v>1</v>
      </c>
      <c r="K103">
        <v>0.517036300036124</v>
      </c>
      <c r="L103" t="s">
        <v>51</v>
      </c>
      <c r="M103">
        <v>5</v>
      </c>
      <c r="N103">
        <v>0</v>
      </c>
      <c r="O103">
        <v>100</v>
      </c>
      <c r="P103">
        <v>5</v>
      </c>
      <c r="Q103">
        <v>139.456600499979</v>
      </c>
      <c r="V103">
        <v>139.44810869998699</v>
      </c>
      <c r="W103">
        <v>139.456600499979</v>
      </c>
      <c r="X103">
        <v>139.956332899979</v>
      </c>
      <c r="Y103">
        <v>139.956332899979</v>
      </c>
      <c r="Z103">
        <v>139.956332899979</v>
      </c>
      <c r="AA103">
        <v>140.47660910000499</v>
      </c>
      <c r="AB103" t="s">
        <v>57</v>
      </c>
      <c r="AC103">
        <v>1</v>
      </c>
      <c r="AD103">
        <v>0.517036300036124</v>
      </c>
      <c r="AE103" t="s">
        <v>51</v>
      </c>
      <c r="AJ103">
        <v>4</v>
      </c>
      <c r="AK103">
        <v>1</v>
      </c>
      <c r="AL103" t="s">
        <v>85</v>
      </c>
      <c r="AM103" t="s">
        <v>43</v>
      </c>
      <c r="AO103" t="s">
        <v>44</v>
      </c>
      <c r="AP103">
        <v>59.992644915568597</v>
      </c>
      <c r="AQ103" t="s">
        <v>86</v>
      </c>
    </row>
    <row r="104" spans="1:43" x14ac:dyDescent="0.3">
      <c r="A104" t="s">
        <v>70</v>
      </c>
      <c r="B104" t="s">
        <v>59</v>
      </c>
      <c r="C104" t="s">
        <v>53</v>
      </c>
      <c r="D104" t="s">
        <v>49</v>
      </c>
      <c r="E104" t="s">
        <v>54</v>
      </c>
      <c r="F104">
        <v>101</v>
      </c>
      <c r="G104">
        <v>1</v>
      </c>
      <c r="H104">
        <v>5</v>
      </c>
      <c r="I104" t="s">
        <v>54</v>
      </c>
      <c r="J104">
        <v>1</v>
      </c>
      <c r="K104">
        <v>0.58903390000341405</v>
      </c>
      <c r="L104" t="s">
        <v>51</v>
      </c>
      <c r="M104">
        <v>5</v>
      </c>
      <c r="N104">
        <v>1</v>
      </c>
      <c r="O104">
        <v>101</v>
      </c>
      <c r="P104">
        <v>2</v>
      </c>
      <c r="Q104">
        <v>140.48974140000001</v>
      </c>
      <c r="V104">
        <v>140.479336999997</v>
      </c>
      <c r="W104">
        <v>140.48974140000001</v>
      </c>
      <c r="X104">
        <v>140.99019709997799</v>
      </c>
      <c r="Y104">
        <v>140.99019709997799</v>
      </c>
      <c r="Z104">
        <v>140.99019709997799</v>
      </c>
      <c r="AA104">
        <v>141.593556999985</v>
      </c>
      <c r="AB104" t="s">
        <v>54</v>
      </c>
      <c r="AC104">
        <v>1</v>
      </c>
      <c r="AD104">
        <v>0.58903390000341405</v>
      </c>
      <c r="AE104" t="s">
        <v>51</v>
      </c>
      <c r="AJ104">
        <v>4</v>
      </c>
      <c r="AK104">
        <v>1</v>
      </c>
      <c r="AL104" t="s">
        <v>85</v>
      </c>
      <c r="AM104" t="s">
        <v>43</v>
      </c>
      <c r="AO104" t="s">
        <v>44</v>
      </c>
      <c r="AP104">
        <v>59.992644915568597</v>
      </c>
      <c r="AQ104" t="s">
        <v>86</v>
      </c>
    </row>
    <row r="105" spans="1:43" x14ac:dyDescent="0.3">
      <c r="A105" t="s">
        <v>46</v>
      </c>
      <c r="B105" t="s">
        <v>47</v>
      </c>
      <c r="C105" t="s">
        <v>48</v>
      </c>
      <c r="D105" t="s">
        <v>49</v>
      </c>
      <c r="E105" t="s">
        <v>50</v>
      </c>
      <c r="F105">
        <v>102</v>
      </c>
      <c r="G105">
        <v>2</v>
      </c>
      <c r="H105">
        <v>5</v>
      </c>
      <c r="I105" t="s">
        <v>50</v>
      </c>
      <c r="J105">
        <v>1</v>
      </c>
      <c r="K105">
        <v>0.503504800028167</v>
      </c>
      <c r="L105" t="s">
        <v>51</v>
      </c>
      <c r="M105">
        <v>5</v>
      </c>
      <c r="N105">
        <v>2</v>
      </c>
      <c r="O105">
        <v>102</v>
      </c>
      <c r="P105">
        <v>19</v>
      </c>
      <c r="Q105">
        <v>141.60683940001701</v>
      </c>
      <c r="V105">
        <v>141.596284999977</v>
      </c>
      <c r="W105">
        <v>141.60683940001701</v>
      </c>
      <c r="X105">
        <v>142.10638870002001</v>
      </c>
      <c r="Y105">
        <v>142.10638870002001</v>
      </c>
      <c r="Z105">
        <v>142.10638870002001</v>
      </c>
      <c r="AA105">
        <v>142.61084799998201</v>
      </c>
      <c r="AB105" t="s">
        <v>50</v>
      </c>
      <c r="AC105">
        <v>1</v>
      </c>
      <c r="AD105">
        <v>0.503504800028167</v>
      </c>
      <c r="AE105" t="s">
        <v>51</v>
      </c>
      <c r="AJ105">
        <v>4</v>
      </c>
      <c r="AK105">
        <v>1</v>
      </c>
      <c r="AL105" t="s">
        <v>85</v>
      </c>
      <c r="AM105" t="s">
        <v>43</v>
      </c>
      <c r="AO105" t="s">
        <v>44</v>
      </c>
      <c r="AP105">
        <v>59.992644915568597</v>
      </c>
      <c r="AQ105" t="s">
        <v>86</v>
      </c>
    </row>
    <row r="106" spans="1:43" x14ac:dyDescent="0.3">
      <c r="A106" t="s">
        <v>66</v>
      </c>
      <c r="B106" t="s">
        <v>47</v>
      </c>
      <c r="C106" t="s">
        <v>61</v>
      </c>
      <c r="D106" t="s">
        <v>49</v>
      </c>
      <c r="E106" t="s">
        <v>63</v>
      </c>
      <c r="F106">
        <v>103</v>
      </c>
      <c r="G106">
        <v>3</v>
      </c>
      <c r="H106">
        <v>5</v>
      </c>
      <c r="I106" t="s">
        <v>63</v>
      </c>
      <c r="J106">
        <v>1</v>
      </c>
      <c r="K106">
        <v>0.71419450000394102</v>
      </c>
      <c r="L106" t="s">
        <v>51</v>
      </c>
      <c r="M106">
        <v>5</v>
      </c>
      <c r="N106">
        <v>3</v>
      </c>
      <c r="O106">
        <v>103</v>
      </c>
      <c r="P106">
        <v>12</v>
      </c>
      <c r="Q106">
        <v>142.62299689999699</v>
      </c>
      <c r="V106">
        <v>142.61372810002601</v>
      </c>
      <c r="W106">
        <v>142.62299689999699</v>
      </c>
      <c r="X106">
        <v>143.12329319998301</v>
      </c>
      <c r="Y106">
        <v>143.12329319998301</v>
      </c>
      <c r="Z106">
        <v>143.12329319998301</v>
      </c>
      <c r="AA106">
        <v>143.84457050001899</v>
      </c>
      <c r="AB106" t="s">
        <v>63</v>
      </c>
      <c r="AC106">
        <v>1</v>
      </c>
      <c r="AD106">
        <v>0.71419450000394102</v>
      </c>
      <c r="AE106" t="s">
        <v>51</v>
      </c>
      <c r="AJ106">
        <v>4</v>
      </c>
      <c r="AK106">
        <v>1</v>
      </c>
      <c r="AL106" t="s">
        <v>85</v>
      </c>
      <c r="AM106" t="s">
        <v>43</v>
      </c>
      <c r="AO106" t="s">
        <v>44</v>
      </c>
      <c r="AP106">
        <v>59.992644915568597</v>
      </c>
      <c r="AQ106" t="s">
        <v>86</v>
      </c>
    </row>
    <row r="107" spans="1:43" x14ac:dyDescent="0.3">
      <c r="A107" t="s">
        <v>78</v>
      </c>
      <c r="B107" t="s">
        <v>47</v>
      </c>
      <c r="C107" t="s">
        <v>56</v>
      </c>
      <c r="D107" t="s">
        <v>49</v>
      </c>
      <c r="E107" t="s">
        <v>57</v>
      </c>
      <c r="F107">
        <v>104</v>
      </c>
      <c r="G107">
        <v>4</v>
      </c>
      <c r="H107">
        <v>5</v>
      </c>
      <c r="I107" t="s">
        <v>57</v>
      </c>
      <c r="J107">
        <v>1</v>
      </c>
      <c r="K107">
        <v>0.798559200018644</v>
      </c>
      <c r="L107" t="s">
        <v>51</v>
      </c>
      <c r="M107">
        <v>5</v>
      </c>
      <c r="N107">
        <v>4</v>
      </c>
      <c r="O107">
        <v>104</v>
      </c>
      <c r="P107">
        <v>17</v>
      </c>
      <c r="Q107">
        <v>143.85640540003001</v>
      </c>
      <c r="V107">
        <v>143.84784390003099</v>
      </c>
      <c r="W107">
        <v>143.85640540003001</v>
      </c>
      <c r="X107">
        <v>144.35650150000501</v>
      </c>
      <c r="Y107">
        <v>144.35650150000501</v>
      </c>
      <c r="Z107">
        <v>144.35650150000501</v>
      </c>
      <c r="AA107">
        <v>145.160690199991</v>
      </c>
      <c r="AB107" t="s">
        <v>57</v>
      </c>
      <c r="AC107">
        <v>1</v>
      </c>
      <c r="AD107">
        <v>0.798559200018644</v>
      </c>
      <c r="AE107" t="s">
        <v>51</v>
      </c>
      <c r="AJ107">
        <v>4</v>
      </c>
      <c r="AK107">
        <v>1</v>
      </c>
      <c r="AL107" t="s">
        <v>85</v>
      </c>
      <c r="AM107" t="s">
        <v>43</v>
      </c>
      <c r="AO107" t="s">
        <v>44</v>
      </c>
      <c r="AP107">
        <v>59.992644915568597</v>
      </c>
      <c r="AQ107" t="s">
        <v>86</v>
      </c>
    </row>
    <row r="108" spans="1:43" x14ac:dyDescent="0.3">
      <c r="A108" t="s">
        <v>60</v>
      </c>
      <c r="B108" t="s">
        <v>59</v>
      </c>
      <c r="C108" t="s">
        <v>61</v>
      </c>
      <c r="D108" t="s">
        <v>62</v>
      </c>
      <c r="E108" t="s">
        <v>63</v>
      </c>
      <c r="F108">
        <v>105</v>
      </c>
      <c r="G108">
        <v>5</v>
      </c>
      <c r="H108">
        <v>5</v>
      </c>
      <c r="I108" t="s">
        <v>63</v>
      </c>
      <c r="J108">
        <v>1</v>
      </c>
      <c r="K108">
        <v>0.74298929999349606</v>
      </c>
      <c r="L108" t="s">
        <v>51</v>
      </c>
      <c r="M108">
        <v>5</v>
      </c>
      <c r="N108">
        <v>5</v>
      </c>
      <c r="O108">
        <v>105</v>
      </c>
      <c r="P108">
        <v>0</v>
      </c>
      <c r="Q108">
        <v>145.17362299998001</v>
      </c>
      <c r="V108">
        <v>145.163317799975</v>
      </c>
      <c r="W108">
        <v>145.17362299998001</v>
      </c>
      <c r="X108">
        <v>145.67416900000501</v>
      </c>
      <c r="Y108">
        <v>145.67416900000501</v>
      </c>
      <c r="Z108">
        <v>145.67416900000501</v>
      </c>
      <c r="AA108">
        <v>146.42655550001601</v>
      </c>
      <c r="AB108" t="s">
        <v>63</v>
      </c>
      <c r="AC108">
        <v>1</v>
      </c>
      <c r="AD108">
        <v>0.74298929999349606</v>
      </c>
      <c r="AE108" t="s">
        <v>51</v>
      </c>
      <c r="AJ108">
        <v>4</v>
      </c>
      <c r="AK108">
        <v>1</v>
      </c>
      <c r="AL108" t="s">
        <v>85</v>
      </c>
      <c r="AM108" t="s">
        <v>43</v>
      </c>
      <c r="AO108" t="s">
        <v>44</v>
      </c>
      <c r="AP108">
        <v>59.992644915568597</v>
      </c>
      <c r="AQ108" t="s">
        <v>86</v>
      </c>
    </row>
    <row r="109" spans="1:43" x14ac:dyDescent="0.3">
      <c r="A109" t="s">
        <v>74</v>
      </c>
      <c r="B109" t="s">
        <v>47</v>
      </c>
      <c r="C109" t="s">
        <v>48</v>
      </c>
      <c r="D109" t="s">
        <v>49</v>
      </c>
      <c r="E109" t="s">
        <v>50</v>
      </c>
      <c r="F109">
        <v>106</v>
      </c>
      <c r="G109">
        <v>6</v>
      </c>
      <c r="H109">
        <v>5</v>
      </c>
      <c r="I109" t="s">
        <v>50</v>
      </c>
      <c r="J109">
        <v>1</v>
      </c>
      <c r="K109">
        <v>0.99858529999619305</v>
      </c>
      <c r="L109" t="s">
        <v>51</v>
      </c>
      <c r="M109">
        <v>5</v>
      </c>
      <c r="N109">
        <v>6</v>
      </c>
      <c r="O109">
        <v>106</v>
      </c>
      <c r="P109">
        <v>11</v>
      </c>
      <c r="Q109">
        <v>146.43947979999899</v>
      </c>
      <c r="V109">
        <v>146.42961450002599</v>
      </c>
      <c r="W109">
        <v>146.43947979999899</v>
      </c>
      <c r="X109">
        <v>146.93936389998899</v>
      </c>
      <c r="Y109">
        <v>146.93936389998899</v>
      </c>
      <c r="Z109">
        <v>146.93936389998899</v>
      </c>
      <c r="AA109">
        <v>147.944251800014</v>
      </c>
      <c r="AB109" t="s">
        <v>50</v>
      </c>
      <c r="AC109">
        <v>1</v>
      </c>
      <c r="AD109">
        <v>0.99858529999619305</v>
      </c>
      <c r="AE109" t="s">
        <v>51</v>
      </c>
      <c r="AJ109">
        <v>4</v>
      </c>
      <c r="AK109">
        <v>1</v>
      </c>
      <c r="AL109" t="s">
        <v>85</v>
      </c>
      <c r="AM109" t="s">
        <v>43</v>
      </c>
      <c r="AO109" t="s">
        <v>44</v>
      </c>
      <c r="AP109">
        <v>59.992644915568597</v>
      </c>
      <c r="AQ109" t="s">
        <v>86</v>
      </c>
    </row>
    <row r="110" spans="1:43" x14ac:dyDescent="0.3">
      <c r="A110" t="s">
        <v>73</v>
      </c>
      <c r="B110" t="s">
        <v>59</v>
      </c>
      <c r="C110" t="s">
        <v>56</v>
      </c>
      <c r="D110" t="s">
        <v>49</v>
      </c>
      <c r="E110" t="s">
        <v>57</v>
      </c>
      <c r="F110">
        <v>107</v>
      </c>
      <c r="G110">
        <v>7</v>
      </c>
      <c r="H110">
        <v>5</v>
      </c>
      <c r="I110" t="s">
        <v>57</v>
      </c>
      <c r="J110">
        <v>1</v>
      </c>
      <c r="K110">
        <v>0.93180880002910205</v>
      </c>
      <c r="L110" t="s">
        <v>51</v>
      </c>
      <c r="M110">
        <v>5</v>
      </c>
      <c r="N110">
        <v>7</v>
      </c>
      <c r="O110">
        <v>107</v>
      </c>
      <c r="P110">
        <v>1</v>
      </c>
      <c r="Q110">
        <v>147.95610499999</v>
      </c>
      <c r="V110">
        <v>147.94669449998699</v>
      </c>
      <c r="W110">
        <v>147.95610499999</v>
      </c>
      <c r="X110">
        <v>148.45610640000001</v>
      </c>
      <c r="Y110">
        <v>148.45610640000001</v>
      </c>
      <c r="Z110">
        <v>148.45610640000001</v>
      </c>
      <c r="AA110">
        <v>149.393271700013</v>
      </c>
      <c r="AB110" t="s">
        <v>57</v>
      </c>
      <c r="AC110">
        <v>1</v>
      </c>
      <c r="AD110">
        <v>0.93180880002910205</v>
      </c>
      <c r="AE110" t="s">
        <v>51</v>
      </c>
      <c r="AJ110">
        <v>4</v>
      </c>
      <c r="AK110">
        <v>1</v>
      </c>
      <c r="AL110" t="s">
        <v>85</v>
      </c>
      <c r="AM110" t="s">
        <v>43</v>
      </c>
      <c r="AO110" t="s">
        <v>44</v>
      </c>
      <c r="AP110">
        <v>59.992644915568597</v>
      </c>
      <c r="AQ110" t="s">
        <v>86</v>
      </c>
    </row>
    <row r="111" spans="1:43" x14ac:dyDescent="0.3">
      <c r="A111" t="s">
        <v>76</v>
      </c>
      <c r="B111" t="s">
        <v>59</v>
      </c>
      <c r="C111" t="s">
        <v>48</v>
      </c>
      <c r="D111" t="s">
        <v>49</v>
      </c>
      <c r="E111" t="s">
        <v>50</v>
      </c>
      <c r="F111">
        <v>108</v>
      </c>
      <c r="G111">
        <v>8</v>
      </c>
      <c r="H111">
        <v>5</v>
      </c>
      <c r="I111" t="s">
        <v>50</v>
      </c>
      <c r="J111">
        <v>1</v>
      </c>
      <c r="K111">
        <v>0.88460189994657401</v>
      </c>
      <c r="L111" t="s">
        <v>51</v>
      </c>
      <c r="M111">
        <v>5</v>
      </c>
      <c r="N111">
        <v>8</v>
      </c>
      <c r="O111">
        <v>108</v>
      </c>
      <c r="P111">
        <v>3</v>
      </c>
      <c r="Q111">
        <v>149.40655740001199</v>
      </c>
      <c r="V111">
        <v>149.39599930000199</v>
      </c>
      <c r="W111">
        <v>149.40655740001199</v>
      </c>
      <c r="X111">
        <v>149.90674970002101</v>
      </c>
      <c r="Y111">
        <v>149.90674970002101</v>
      </c>
      <c r="Z111">
        <v>149.90674970002101</v>
      </c>
      <c r="AA111">
        <v>150.79291130002801</v>
      </c>
      <c r="AB111" t="s">
        <v>50</v>
      </c>
      <c r="AC111">
        <v>1</v>
      </c>
      <c r="AD111">
        <v>0.88460189994657401</v>
      </c>
      <c r="AE111" t="s">
        <v>51</v>
      </c>
      <c r="AJ111">
        <v>4</v>
      </c>
      <c r="AK111">
        <v>1</v>
      </c>
      <c r="AL111" t="s">
        <v>85</v>
      </c>
      <c r="AM111" t="s">
        <v>43</v>
      </c>
      <c r="AO111" t="s">
        <v>44</v>
      </c>
      <c r="AP111">
        <v>59.992644915568597</v>
      </c>
      <c r="AQ111" t="s">
        <v>86</v>
      </c>
    </row>
    <row r="112" spans="1:43" x14ac:dyDescent="0.3">
      <c r="A112" t="s">
        <v>75</v>
      </c>
      <c r="B112" t="s">
        <v>47</v>
      </c>
      <c r="C112" t="s">
        <v>61</v>
      </c>
      <c r="D112" t="s">
        <v>49</v>
      </c>
      <c r="E112" t="s">
        <v>63</v>
      </c>
      <c r="F112">
        <v>109</v>
      </c>
      <c r="G112">
        <v>9</v>
      </c>
      <c r="H112">
        <v>5</v>
      </c>
      <c r="I112" t="s">
        <v>63</v>
      </c>
      <c r="J112">
        <v>1</v>
      </c>
      <c r="K112">
        <v>0.59713770000962496</v>
      </c>
      <c r="L112" t="s">
        <v>51</v>
      </c>
      <c r="M112">
        <v>5</v>
      </c>
      <c r="N112">
        <v>9</v>
      </c>
      <c r="O112">
        <v>109</v>
      </c>
      <c r="P112">
        <v>16</v>
      </c>
      <c r="Q112">
        <v>150.80680429999401</v>
      </c>
      <c r="V112">
        <v>150.79557469999401</v>
      </c>
      <c r="W112">
        <v>150.80680429999401</v>
      </c>
      <c r="X112">
        <v>151.306356300017</v>
      </c>
      <c r="Y112">
        <v>151.306356300017</v>
      </c>
      <c r="Z112">
        <v>151.306356300017</v>
      </c>
      <c r="AA112">
        <v>151.909981300006</v>
      </c>
      <c r="AB112" t="s">
        <v>63</v>
      </c>
      <c r="AC112">
        <v>1</v>
      </c>
      <c r="AD112">
        <v>0.59713770000962496</v>
      </c>
      <c r="AE112" t="s">
        <v>51</v>
      </c>
      <c r="AJ112">
        <v>4</v>
      </c>
      <c r="AK112">
        <v>1</v>
      </c>
      <c r="AL112" t="s">
        <v>85</v>
      </c>
      <c r="AM112" t="s">
        <v>43</v>
      </c>
      <c r="AO112" t="s">
        <v>44</v>
      </c>
      <c r="AP112">
        <v>59.992644915568597</v>
      </c>
      <c r="AQ112" t="s">
        <v>86</v>
      </c>
    </row>
    <row r="113" spans="1:43" x14ac:dyDescent="0.3">
      <c r="A113" t="s">
        <v>55</v>
      </c>
      <c r="B113" t="s">
        <v>47</v>
      </c>
      <c r="C113" t="s">
        <v>56</v>
      </c>
      <c r="D113" t="s">
        <v>49</v>
      </c>
      <c r="E113" t="s">
        <v>57</v>
      </c>
      <c r="F113">
        <v>110</v>
      </c>
      <c r="G113">
        <v>10</v>
      </c>
      <c r="H113">
        <v>5</v>
      </c>
      <c r="I113" t="s">
        <v>57</v>
      </c>
      <c r="J113">
        <v>1</v>
      </c>
      <c r="K113">
        <v>0.652935199963394</v>
      </c>
      <c r="L113" t="s">
        <v>51</v>
      </c>
      <c r="M113">
        <v>5</v>
      </c>
      <c r="N113">
        <v>10</v>
      </c>
      <c r="O113">
        <v>110</v>
      </c>
      <c r="P113">
        <v>13</v>
      </c>
      <c r="Q113">
        <v>151.92264619999301</v>
      </c>
      <c r="V113">
        <v>151.91259620001</v>
      </c>
      <c r="W113">
        <v>151.92264619999301</v>
      </c>
      <c r="X113">
        <v>152.422626500017</v>
      </c>
      <c r="Y113">
        <v>152.422626500017</v>
      </c>
      <c r="Z113">
        <v>152.422626500017</v>
      </c>
      <c r="AA113">
        <v>153.07845640002</v>
      </c>
      <c r="AB113" t="s">
        <v>57</v>
      </c>
      <c r="AC113">
        <v>1</v>
      </c>
      <c r="AD113">
        <v>0.652935199963394</v>
      </c>
      <c r="AE113" t="s">
        <v>51</v>
      </c>
      <c r="AJ113">
        <v>4</v>
      </c>
      <c r="AK113">
        <v>1</v>
      </c>
      <c r="AL113" t="s">
        <v>85</v>
      </c>
      <c r="AM113" t="s">
        <v>43</v>
      </c>
      <c r="AO113" t="s">
        <v>44</v>
      </c>
      <c r="AP113">
        <v>59.992644915568597</v>
      </c>
      <c r="AQ113" t="s">
        <v>86</v>
      </c>
    </row>
    <row r="114" spans="1:43" x14ac:dyDescent="0.3">
      <c r="A114" t="s">
        <v>52</v>
      </c>
      <c r="B114" t="s">
        <v>47</v>
      </c>
      <c r="C114" t="s">
        <v>53</v>
      </c>
      <c r="D114" t="s">
        <v>49</v>
      </c>
      <c r="E114" t="s">
        <v>54</v>
      </c>
      <c r="F114">
        <v>111</v>
      </c>
      <c r="G114">
        <v>11</v>
      </c>
      <c r="H114">
        <v>5</v>
      </c>
      <c r="I114" t="s">
        <v>54</v>
      </c>
      <c r="J114">
        <v>1</v>
      </c>
      <c r="K114">
        <v>0.48822669999208301</v>
      </c>
      <c r="L114" t="s">
        <v>51</v>
      </c>
      <c r="M114">
        <v>5</v>
      </c>
      <c r="N114">
        <v>11</v>
      </c>
      <c r="O114">
        <v>111</v>
      </c>
      <c r="P114">
        <v>14</v>
      </c>
      <c r="Q114">
        <v>153.09060940000899</v>
      </c>
      <c r="V114">
        <v>153.082295400032</v>
      </c>
      <c r="W114">
        <v>153.09060940000899</v>
      </c>
      <c r="X114">
        <v>153.589496899978</v>
      </c>
      <c r="Y114">
        <v>153.589496899978</v>
      </c>
      <c r="Z114">
        <v>153.589496899978</v>
      </c>
      <c r="AA114">
        <v>154.09275780001099</v>
      </c>
      <c r="AB114" t="s">
        <v>54</v>
      </c>
      <c r="AC114">
        <v>1</v>
      </c>
      <c r="AD114">
        <v>0.48822669999208301</v>
      </c>
      <c r="AE114" t="s">
        <v>51</v>
      </c>
      <c r="AJ114">
        <v>4</v>
      </c>
      <c r="AK114">
        <v>1</v>
      </c>
      <c r="AL114" t="s">
        <v>85</v>
      </c>
      <c r="AM114" t="s">
        <v>43</v>
      </c>
      <c r="AO114" t="s">
        <v>44</v>
      </c>
      <c r="AP114">
        <v>59.992644915568597</v>
      </c>
      <c r="AQ114" t="s">
        <v>86</v>
      </c>
    </row>
    <row r="115" spans="1:43" x14ac:dyDescent="0.3">
      <c r="A115" t="s">
        <v>58</v>
      </c>
      <c r="B115" t="s">
        <v>59</v>
      </c>
      <c r="C115" t="s">
        <v>48</v>
      </c>
      <c r="D115" t="s">
        <v>49</v>
      </c>
      <c r="E115" t="s">
        <v>50</v>
      </c>
      <c r="F115">
        <v>112</v>
      </c>
      <c r="G115">
        <v>12</v>
      </c>
      <c r="H115">
        <v>5</v>
      </c>
      <c r="I115" t="s">
        <v>50</v>
      </c>
      <c r="J115">
        <v>1</v>
      </c>
      <c r="K115">
        <v>0.70689979998860497</v>
      </c>
      <c r="L115" t="s">
        <v>51</v>
      </c>
      <c r="M115">
        <v>5</v>
      </c>
      <c r="N115">
        <v>12</v>
      </c>
      <c r="O115">
        <v>112</v>
      </c>
      <c r="P115">
        <v>7</v>
      </c>
      <c r="Q115">
        <v>154.10574169998199</v>
      </c>
      <c r="V115">
        <v>154.09571600000999</v>
      </c>
      <c r="W115">
        <v>154.10574169998199</v>
      </c>
      <c r="X115">
        <v>154.605911399994</v>
      </c>
      <c r="Y115">
        <v>154.605911399994</v>
      </c>
      <c r="Z115">
        <v>154.605911399994</v>
      </c>
      <c r="AA115">
        <v>155.32601800002101</v>
      </c>
      <c r="AB115" t="s">
        <v>50</v>
      </c>
      <c r="AC115">
        <v>1</v>
      </c>
      <c r="AD115">
        <v>0.70689979998860497</v>
      </c>
      <c r="AE115" t="s">
        <v>51</v>
      </c>
      <c r="AJ115">
        <v>4</v>
      </c>
      <c r="AK115">
        <v>1</v>
      </c>
      <c r="AL115" t="s">
        <v>85</v>
      </c>
      <c r="AM115" t="s">
        <v>43</v>
      </c>
      <c r="AO115" t="s">
        <v>44</v>
      </c>
      <c r="AP115">
        <v>59.992644915568597</v>
      </c>
      <c r="AQ115" t="s">
        <v>86</v>
      </c>
    </row>
    <row r="116" spans="1:43" x14ac:dyDescent="0.3">
      <c r="A116" t="s">
        <v>77</v>
      </c>
      <c r="B116" t="s">
        <v>59</v>
      </c>
      <c r="C116" t="s">
        <v>61</v>
      </c>
      <c r="D116" t="s">
        <v>62</v>
      </c>
      <c r="E116" t="s">
        <v>63</v>
      </c>
      <c r="F116">
        <v>113</v>
      </c>
      <c r="G116">
        <v>13</v>
      </c>
      <c r="H116">
        <v>5</v>
      </c>
      <c r="I116" t="s">
        <v>63</v>
      </c>
      <c r="J116">
        <v>1</v>
      </c>
      <c r="K116">
        <v>0.86195150000276</v>
      </c>
      <c r="L116" t="s">
        <v>51</v>
      </c>
      <c r="M116">
        <v>5</v>
      </c>
      <c r="N116">
        <v>13</v>
      </c>
      <c r="O116">
        <v>113</v>
      </c>
      <c r="P116">
        <v>4</v>
      </c>
      <c r="Q116">
        <v>155.33902389998499</v>
      </c>
      <c r="V116">
        <v>155.32897000003101</v>
      </c>
      <c r="W116">
        <v>155.33902389998499</v>
      </c>
      <c r="X116">
        <v>155.83894980000301</v>
      </c>
      <c r="Y116">
        <v>155.83894980000301</v>
      </c>
      <c r="Z116">
        <v>155.83894980000301</v>
      </c>
      <c r="AA116">
        <v>156.709201899997</v>
      </c>
      <c r="AB116" t="s">
        <v>63</v>
      </c>
      <c r="AC116">
        <v>1</v>
      </c>
      <c r="AD116">
        <v>0.86195150000276</v>
      </c>
      <c r="AE116" t="s">
        <v>51</v>
      </c>
      <c r="AJ116">
        <v>4</v>
      </c>
      <c r="AK116">
        <v>1</v>
      </c>
      <c r="AL116" t="s">
        <v>85</v>
      </c>
      <c r="AM116" t="s">
        <v>43</v>
      </c>
      <c r="AO116" t="s">
        <v>44</v>
      </c>
      <c r="AP116">
        <v>59.992644915568597</v>
      </c>
      <c r="AQ116" t="s">
        <v>86</v>
      </c>
    </row>
    <row r="117" spans="1:43" x14ac:dyDescent="0.3">
      <c r="A117" t="s">
        <v>68</v>
      </c>
      <c r="B117" t="s">
        <v>59</v>
      </c>
      <c r="C117" t="s">
        <v>53</v>
      </c>
      <c r="D117" t="s">
        <v>49</v>
      </c>
      <c r="E117" t="s">
        <v>54</v>
      </c>
      <c r="F117">
        <v>114</v>
      </c>
      <c r="G117">
        <v>14</v>
      </c>
      <c r="H117">
        <v>5</v>
      </c>
      <c r="I117" t="s">
        <v>54</v>
      </c>
      <c r="J117">
        <v>1</v>
      </c>
      <c r="K117">
        <v>0.86312319996068199</v>
      </c>
      <c r="L117" t="s">
        <v>51</v>
      </c>
      <c r="M117">
        <v>5</v>
      </c>
      <c r="N117">
        <v>14</v>
      </c>
      <c r="O117">
        <v>114</v>
      </c>
      <c r="P117">
        <v>6</v>
      </c>
      <c r="Q117">
        <v>156.72240119997801</v>
      </c>
      <c r="V117">
        <v>156.71203960001</v>
      </c>
      <c r="W117">
        <v>156.72240119997801</v>
      </c>
      <c r="X117">
        <v>157.222829899983</v>
      </c>
      <c r="Y117">
        <v>157.222829899983</v>
      </c>
      <c r="Z117">
        <v>157.222829899983</v>
      </c>
      <c r="AA117">
        <v>158.09326230001099</v>
      </c>
      <c r="AB117" t="s">
        <v>54</v>
      </c>
      <c r="AC117">
        <v>1</v>
      </c>
      <c r="AD117">
        <v>0.86312319996068199</v>
      </c>
      <c r="AE117" t="s">
        <v>51</v>
      </c>
      <c r="AJ117">
        <v>4</v>
      </c>
      <c r="AK117">
        <v>1</v>
      </c>
      <c r="AL117" t="s">
        <v>85</v>
      </c>
      <c r="AM117" t="s">
        <v>43</v>
      </c>
      <c r="AO117" t="s">
        <v>44</v>
      </c>
      <c r="AP117">
        <v>59.992644915568597</v>
      </c>
      <c r="AQ117" t="s">
        <v>86</v>
      </c>
    </row>
    <row r="118" spans="1:43" x14ac:dyDescent="0.3">
      <c r="A118" t="s">
        <v>72</v>
      </c>
      <c r="B118" t="s">
        <v>59</v>
      </c>
      <c r="C118" t="s">
        <v>61</v>
      </c>
      <c r="D118" t="s">
        <v>62</v>
      </c>
      <c r="E118" t="s">
        <v>63</v>
      </c>
      <c r="F118">
        <v>115</v>
      </c>
      <c r="G118">
        <v>15</v>
      </c>
      <c r="H118">
        <v>5</v>
      </c>
      <c r="I118" t="s">
        <v>63</v>
      </c>
      <c r="J118">
        <v>1</v>
      </c>
      <c r="K118">
        <v>0.702574700000695</v>
      </c>
      <c r="L118" t="s">
        <v>51</v>
      </c>
      <c r="M118">
        <v>5</v>
      </c>
      <c r="N118">
        <v>15</v>
      </c>
      <c r="O118">
        <v>115</v>
      </c>
      <c r="P118">
        <v>8</v>
      </c>
      <c r="Q118">
        <v>158.105925299983</v>
      </c>
      <c r="V118">
        <v>158.09622469998399</v>
      </c>
      <c r="W118">
        <v>158.105925299983</v>
      </c>
      <c r="X118">
        <v>158.60547359997801</v>
      </c>
      <c r="Y118">
        <v>158.60547359997801</v>
      </c>
      <c r="Z118">
        <v>158.60547359997801</v>
      </c>
      <c r="AA118">
        <v>159.309394099982</v>
      </c>
      <c r="AB118" t="s">
        <v>63</v>
      </c>
      <c r="AC118">
        <v>1</v>
      </c>
      <c r="AD118">
        <v>0.702574700000695</v>
      </c>
      <c r="AE118" t="s">
        <v>51</v>
      </c>
      <c r="AJ118">
        <v>4</v>
      </c>
      <c r="AK118">
        <v>1</v>
      </c>
      <c r="AL118" t="s">
        <v>85</v>
      </c>
      <c r="AM118" t="s">
        <v>43</v>
      </c>
      <c r="AO118" t="s">
        <v>44</v>
      </c>
      <c r="AP118">
        <v>59.992644915568597</v>
      </c>
      <c r="AQ118" t="s">
        <v>86</v>
      </c>
    </row>
    <row r="119" spans="1:43" x14ac:dyDescent="0.3">
      <c r="A119" t="s">
        <v>71</v>
      </c>
      <c r="B119" t="s">
        <v>47</v>
      </c>
      <c r="C119" t="s">
        <v>48</v>
      </c>
      <c r="D119" t="s">
        <v>49</v>
      </c>
      <c r="E119" t="s">
        <v>50</v>
      </c>
      <c r="F119">
        <v>116</v>
      </c>
      <c r="G119">
        <v>16</v>
      </c>
      <c r="H119">
        <v>5</v>
      </c>
      <c r="I119" t="s">
        <v>50</v>
      </c>
      <c r="J119">
        <v>1</v>
      </c>
      <c r="K119">
        <v>0.69910920003894705</v>
      </c>
      <c r="L119" t="s">
        <v>51</v>
      </c>
      <c r="M119">
        <v>5</v>
      </c>
      <c r="N119">
        <v>16</v>
      </c>
      <c r="O119">
        <v>116</v>
      </c>
      <c r="P119">
        <v>15</v>
      </c>
      <c r="Q119">
        <v>159.32292710000101</v>
      </c>
      <c r="V119">
        <v>159.31243009999099</v>
      </c>
      <c r="W119">
        <v>159.32292710000101</v>
      </c>
      <c r="X119">
        <v>159.82220430002701</v>
      </c>
      <c r="Y119">
        <v>159.82220430002701</v>
      </c>
      <c r="Z119">
        <v>159.82220430002701</v>
      </c>
      <c r="AA119">
        <v>160.52642509998901</v>
      </c>
      <c r="AB119" t="s">
        <v>50</v>
      </c>
      <c r="AC119">
        <v>1</v>
      </c>
      <c r="AD119">
        <v>0.69910920003894705</v>
      </c>
      <c r="AE119" t="s">
        <v>51</v>
      </c>
      <c r="AJ119">
        <v>4</v>
      </c>
      <c r="AK119">
        <v>1</v>
      </c>
      <c r="AL119" t="s">
        <v>85</v>
      </c>
      <c r="AM119" t="s">
        <v>43</v>
      </c>
      <c r="AO119" t="s">
        <v>44</v>
      </c>
      <c r="AP119">
        <v>59.992644915568597</v>
      </c>
      <c r="AQ119" t="s">
        <v>86</v>
      </c>
    </row>
    <row r="120" spans="1:43" x14ac:dyDescent="0.3">
      <c r="A120" t="s">
        <v>65</v>
      </c>
      <c r="B120" t="s">
        <v>59</v>
      </c>
      <c r="C120" t="s">
        <v>56</v>
      </c>
      <c r="D120" t="s">
        <v>49</v>
      </c>
      <c r="E120" t="s">
        <v>57</v>
      </c>
      <c r="F120">
        <v>117</v>
      </c>
      <c r="G120">
        <v>17</v>
      </c>
      <c r="H120">
        <v>5</v>
      </c>
      <c r="I120" t="s">
        <v>57</v>
      </c>
      <c r="J120">
        <v>1</v>
      </c>
      <c r="K120">
        <v>0.81965660001151197</v>
      </c>
      <c r="L120" t="s">
        <v>51</v>
      </c>
      <c r="M120">
        <v>5</v>
      </c>
      <c r="N120">
        <v>17</v>
      </c>
      <c r="O120">
        <v>117</v>
      </c>
      <c r="P120">
        <v>9</v>
      </c>
      <c r="Q120">
        <v>160.54059400002001</v>
      </c>
      <c r="V120">
        <v>160.52916039997899</v>
      </c>
      <c r="W120">
        <v>160.54059400002001</v>
      </c>
      <c r="X120">
        <v>161.03918229998001</v>
      </c>
      <c r="Y120">
        <v>161.03918229998001</v>
      </c>
      <c r="Z120">
        <v>161.03918229998001</v>
      </c>
      <c r="AA120">
        <v>161.860120300028</v>
      </c>
      <c r="AB120" t="s">
        <v>57</v>
      </c>
      <c r="AC120">
        <v>1</v>
      </c>
      <c r="AD120">
        <v>0.81965660001151197</v>
      </c>
      <c r="AE120" t="s">
        <v>51</v>
      </c>
      <c r="AJ120">
        <v>4</v>
      </c>
      <c r="AK120">
        <v>1</v>
      </c>
      <c r="AL120" t="s">
        <v>85</v>
      </c>
      <c r="AM120" t="s">
        <v>43</v>
      </c>
      <c r="AO120" t="s">
        <v>44</v>
      </c>
      <c r="AP120">
        <v>59.992644915568597</v>
      </c>
      <c r="AQ120" t="s">
        <v>86</v>
      </c>
    </row>
    <row r="121" spans="1:43" x14ac:dyDescent="0.3">
      <c r="A121" t="s">
        <v>67</v>
      </c>
      <c r="B121" t="s">
        <v>47</v>
      </c>
      <c r="C121" t="s">
        <v>53</v>
      </c>
      <c r="D121" t="s">
        <v>49</v>
      </c>
      <c r="E121" t="s">
        <v>54</v>
      </c>
      <c r="F121">
        <v>118</v>
      </c>
      <c r="G121">
        <v>18</v>
      </c>
      <c r="H121">
        <v>5</v>
      </c>
      <c r="I121" t="s">
        <v>63</v>
      </c>
      <c r="J121">
        <v>0</v>
      </c>
      <c r="K121">
        <v>0.64732960000401296</v>
      </c>
      <c r="L121" t="s">
        <v>51</v>
      </c>
      <c r="M121">
        <v>5</v>
      </c>
      <c r="N121">
        <v>18</v>
      </c>
      <c r="O121">
        <v>118</v>
      </c>
      <c r="P121">
        <v>10</v>
      </c>
      <c r="Q121">
        <v>161.87309639999799</v>
      </c>
      <c r="V121">
        <v>161.863379799993</v>
      </c>
      <c r="W121">
        <v>161.87309639999799</v>
      </c>
      <c r="X121">
        <v>162.37275530002</v>
      </c>
      <c r="Y121">
        <v>162.37275530002</v>
      </c>
      <c r="Z121">
        <v>162.37275530002</v>
      </c>
      <c r="AA121">
        <v>163.027293200022</v>
      </c>
      <c r="AB121" t="s">
        <v>63</v>
      </c>
      <c r="AC121">
        <v>0</v>
      </c>
      <c r="AD121">
        <v>0.64732960000401296</v>
      </c>
      <c r="AE121" t="s">
        <v>51</v>
      </c>
      <c r="AJ121">
        <v>4</v>
      </c>
      <c r="AK121">
        <v>1</v>
      </c>
      <c r="AL121" t="s">
        <v>85</v>
      </c>
      <c r="AM121" t="s">
        <v>43</v>
      </c>
      <c r="AO121" t="s">
        <v>44</v>
      </c>
      <c r="AP121">
        <v>59.992644915568597</v>
      </c>
      <c r="AQ121" t="s">
        <v>86</v>
      </c>
    </row>
    <row r="122" spans="1:43" x14ac:dyDescent="0.3">
      <c r="A122" t="s">
        <v>64</v>
      </c>
      <c r="B122" t="s">
        <v>47</v>
      </c>
      <c r="C122" t="s">
        <v>53</v>
      </c>
      <c r="D122" t="s">
        <v>49</v>
      </c>
      <c r="E122" t="s">
        <v>54</v>
      </c>
      <c r="F122">
        <v>119</v>
      </c>
      <c r="G122">
        <v>19</v>
      </c>
      <c r="H122">
        <v>5</v>
      </c>
      <c r="I122" t="s">
        <v>54</v>
      </c>
      <c r="J122">
        <v>1</v>
      </c>
      <c r="K122">
        <v>0.89667099999496702</v>
      </c>
      <c r="L122" t="s">
        <v>51</v>
      </c>
      <c r="M122">
        <v>5</v>
      </c>
      <c r="N122">
        <v>19</v>
      </c>
      <c r="O122">
        <v>119</v>
      </c>
      <c r="P122">
        <v>18</v>
      </c>
      <c r="Q122">
        <v>163.039065100019</v>
      </c>
      <c r="V122">
        <v>163.031464600004</v>
      </c>
      <c r="W122">
        <v>163.039065100019</v>
      </c>
      <c r="X122">
        <v>163.538847399991</v>
      </c>
      <c r="Y122">
        <v>163.538847399991</v>
      </c>
      <c r="Z122">
        <v>163.538847399991</v>
      </c>
      <c r="AA122">
        <v>164.44325890002</v>
      </c>
      <c r="AB122" t="s">
        <v>54</v>
      </c>
      <c r="AC122">
        <v>1</v>
      </c>
      <c r="AD122">
        <v>0.89667099999496702</v>
      </c>
      <c r="AE122" t="s">
        <v>51</v>
      </c>
      <c r="AJ122">
        <v>4</v>
      </c>
      <c r="AK122">
        <v>1</v>
      </c>
      <c r="AL122" t="s">
        <v>85</v>
      </c>
      <c r="AM122" t="s">
        <v>43</v>
      </c>
      <c r="AO122" t="s">
        <v>44</v>
      </c>
      <c r="AP122">
        <v>59.992644915568597</v>
      </c>
      <c r="AQ122" t="s">
        <v>86</v>
      </c>
    </row>
    <row r="123" spans="1:43" x14ac:dyDescent="0.3">
      <c r="A123" t="s">
        <v>58</v>
      </c>
      <c r="B123" t="s">
        <v>59</v>
      </c>
      <c r="C123" t="s">
        <v>48</v>
      </c>
      <c r="D123" t="s">
        <v>49</v>
      </c>
      <c r="E123" t="s">
        <v>50</v>
      </c>
      <c r="F123">
        <v>120</v>
      </c>
      <c r="G123">
        <v>0</v>
      </c>
      <c r="H123">
        <v>6</v>
      </c>
      <c r="I123" t="s">
        <v>50</v>
      </c>
      <c r="J123">
        <v>1</v>
      </c>
      <c r="K123">
        <v>0.75208359997486696</v>
      </c>
      <c r="L123" t="s">
        <v>51</v>
      </c>
      <c r="M123">
        <v>6</v>
      </c>
      <c r="N123">
        <v>0</v>
      </c>
      <c r="O123">
        <v>120</v>
      </c>
      <c r="P123">
        <v>7</v>
      </c>
      <c r="Q123">
        <v>164.45590890001</v>
      </c>
      <c r="V123">
        <v>164.445936399977</v>
      </c>
      <c r="W123">
        <v>164.45590890001</v>
      </c>
      <c r="X123">
        <v>164.955866099975</v>
      </c>
      <c r="Y123">
        <v>164.955866099975</v>
      </c>
      <c r="Z123">
        <v>164.955866099975</v>
      </c>
      <c r="AA123">
        <v>165.710577499994</v>
      </c>
      <c r="AB123" t="s">
        <v>50</v>
      </c>
      <c r="AC123">
        <v>1</v>
      </c>
      <c r="AD123">
        <v>0.75208359997486696</v>
      </c>
      <c r="AE123" t="s">
        <v>51</v>
      </c>
      <c r="AJ123">
        <v>4</v>
      </c>
      <c r="AK123">
        <v>1</v>
      </c>
      <c r="AL123" t="s">
        <v>85</v>
      </c>
      <c r="AM123" t="s">
        <v>43</v>
      </c>
      <c r="AO123" t="s">
        <v>44</v>
      </c>
      <c r="AP123">
        <v>59.992644915568597</v>
      </c>
      <c r="AQ123" t="s">
        <v>86</v>
      </c>
    </row>
    <row r="124" spans="1:43" x14ac:dyDescent="0.3">
      <c r="A124" t="s">
        <v>72</v>
      </c>
      <c r="B124" t="s">
        <v>59</v>
      </c>
      <c r="C124" t="s">
        <v>61</v>
      </c>
      <c r="D124" t="s">
        <v>62</v>
      </c>
      <c r="E124" t="s">
        <v>63</v>
      </c>
      <c r="F124">
        <v>121</v>
      </c>
      <c r="G124">
        <v>1</v>
      </c>
      <c r="H124">
        <v>6</v>
      </c>
      <c r="I124" t="s">
        <v>63</v>
      </c>
      <c r="J124">
        <v>1</v>
      </c>
      <c r="K124">
        <v>0.69367280002916198</v>
      </c>
      <c r="L124" t="s">
        <v>51</v>
      </c>
      <c r="M124">
        <v>6</v>
      </c>
      <c r="N124">
        <v>1</v>
      </c>
      <c r="O124">
        <v>121</v>
      </c>
      <c r="P124">
        <v>8</v>
      </c>
      <c r="Q124">
        <v>165.72229090001201</v>
      </c>
      <c r="V124">
        <v>165.71327090001401</v>
      </c>
      <c r="W124">
        <v>165.72229090001201</v>
      </c>
      <c r="X124">
        <v>166.22304860001799</v>
      </c>
      <c r="Y124">
        <v>166.22304860001799</v>
      </c>
      <c r="Z124">
        <v>166.22304860001799</v>
      </c>
      <c r="AA124">
        <v>166.925301800016</v>
      </c>
      <c r="AB124" t="s">
        <v>63</v>
      </c>
      <c r="AC124">
        <v>1</v>
      </c>
      <c r="AD124">
        <v>0.69367280002916198</v>
      </c>
      <c r="AE124" t="s">
        <v>51</v>
      </c>
      <c r="AJ124">
        <v>4</v>
      </c>
      <c r="AK124">
        <v>1</v>
      </c>
      <c r="AL124" t="s">
        <v>85</v>
      </c>
      <c r="AM124" t="s">
        <v>43</v>
      </c>
      <c r="AO124" t="s">
        <v>44</v>
      </c>
      <c r="AP124">
        <v>59.992644915568597</v>
      </c>
      <c r="AQ124" t="s">
        <v>86</v>
      </c>
    </row>
    <row r="125" spans="1:43" x14ac:dyDescent="0.3">
      <c r="A125" t="s">
        <v>55</v>
      </c>
      <c r="B125" t="s">
        <v>47</v>
      </c>
      <c r="C125" t="s">
        <v>56</v>
      </c>
      <c r="D125" t="s">
        <v>49</v>
      </c>
      <c r="E125" t="s">
        <v>57</v>
      </c>
      <c r="F125">
        <v>122</v>
      </c>
      <c r="G125">
        <v>2</v>
      </c>
      <c r="H125">
        <v>6</v>
      </c>
      <c r="I125" t="s">
        <v>57</v>
      </c>
      <c r="J125">
        <v>1</v>
      </c>
      <c r="K125">
        <v>0.90314740000758298</v>
      </c>
      <c r="L125" t="s">
        <v>51</v>
      </c>
      <c r="M125">
        <v>6</v>
      </c>
      <c r="N125">
        <v>2</v>
      </c>
      <c r="O125">
        <v>122</v>
      </c>
      <c r="P125">
        <v>13</v>
      </c>
      <c r="Q125">
        <v>166.93897840002299</v>
      </c>
      <c r="V125">
        <v>166.927922700007</v>
      </c>
      <c r="W125">
        <v>166.93897840002299</v>
      </c>
      <c r="X125">
        <v>167.43948160001301</v>
      </c>
      <c r="Y125">
        <v>167.43948160001301</v>
      </c>
      <c r="Z125">
        <v>167.43948160001301</v>
      </c>
      <c r="AA125">
        <v>168.34357450000201</v>
      </c>
      <c r="AB125" t="s">
        <v>57</v>
      </c>
      <c r="AC125">
        <v>1</v>
      </c>
      <c r="AD125">
        <v>0.90314740000758298</v>
      </c>
      <c r="AE125" t="s">
        <v>51</v>
      </c>
      <c r="AJ125">
        <v>4</v>
      </c>
      <c r="AK125">
        <v>1</v>
      </c>
      <c r="AL125" t="s">
        <v>85</v>
      </c>
      <c r="AM125" t="s">
        <v>43</v>
      </c>
      <c r="AO125" t="s">
        <v>44</v>
      </c>
      <c r="AP125">
        <v>59.992644915568597</v>
      </c>
      <c r="AQ125" t="s">
        <v>86</v>
      </c>
    </row>
    <row r="126" spans="1:43" x14ac:dyDescent="0.3">
      <c r="A126" t="s">
        <v>75</v>
      </c>
      <c r="B126" t="s">
        <v>47</v>
      </c>
      <c r="C126" t="s">
        <v>61</v>
      </c>
      <c r="D126" t="s">
        <v>49</v>
      </c>
      <c r="E126" t="s">
        <v>63</v>
      </c>
      <c r="F126">
        <v>123</v>
      </c>
      <c r="G126">
        <v>3</v>
      </c>
      <c r="H126">
        <v>6</v>
      </c>
      <c r="I126" t="s">
        <v>63</v>
      </c>
      <c r="J126">
        <v>1</v>
      </c>
      <c r="K126">
        <v>0.67433540005004</v>
      </c>
      <c r="L126" t="s">
        <v>51</v>
      </c>
      <c r="M126">
        <v>6</v>
      </c>
      <c r="N126">
        <v>3</v>
      </c>
      <c r="O126">
        <v>123</v>
      </c>
      <c r="P126">
        <v>16</v>
      </c>
      <c r="Q126">
        <v>168.35589960002099</v>
      </c>
      <c r="V126">
        <v>168.34667100000601</v>
      </c>
      <c r="W126">
        <v>168.35589960002099</v>
      </c>
      <c r="X126">
        <v>168.85578119999201</v>
      </c>
      <c r="Y126">
        <v>168.85578119999201</v>
      </c>
      <c r="Z126">
        <v>168.85578119999201</v>
      </c>
      <c r="AA126">
        <v>169.541646900004</v>
      </c>
      <c r="AB126" t="s">
        <v>63</v>
      </c>
      <c r="AC126">
        <v>1</v>
      </c>
      <c r="AD126">
        <v>0.67433540005004</v>
      </c>
      <c r="AE126" t="s">
        <v>51</v>
      </c>
      <c r="AJ126">
        <v>4</v>
      </c>
      <c r="AK126">
        <v>1</v>
      </c>
      <c r="AL126" t="s">
        <v>85</v>
      </c>
      <c r="AM126" t="s">
        <v>43</v>
      </c>
      <c r="AO126" t="s">
        <v>44</v>
      </c>
      <c r="AP126">
        <v>59.992644915568597</v>
      </c>
      <c r="AQ126" t="s">
        <v>86</v>
      </c>
    </row>
    <row r="127" spans="1:43" x14ac:dyDescent="0.3">
      <c r="A127" t="s">
        <v>76</v>
      </c>
      <c r="B127" t="s">
        <v>59</v>
      </c>
      <c r="C127" t="s">
        <v>48</v>
      </c>
      <c r="D127" t="s">
        <v>49</v>
      </c>
      <c r="E127" t="s">
        <v>50</v>
      </c>
      <c r="F127">
        <v>124</v>
      </c>
      <c r="G127">
        <v>4</v>
      </c>
      <c r="H127">
        <v>6</v>
      </c>
      <c r="I127" t="s">
        <v>50</v>
      </c>
      <c r="J127">
        <v>1</v>
      </c>
      <c r="K127">
        <v>1.6011296999640701</v>
      </c>
      <c r="L127" t="s">
        <v>51</v>
      </c>
      <c r="M127">
        <v>6</v>
      </c>
      <c r="N127">
        <v>4</v>
      </c>
      <c r="O127">
        <v>124</v>
      </c>
      <c r="P127">
        <v>3</v>
      </c>
      <c r="Q127">
        <v>169.55534439999599</v>
      </c>
      <c r="V127">
        <v>169.54410320002299</v>
      </c>
      <c r="W127">
        <v>169.55534439999599</v>
      </c>
      <c r="X127">
        <v>170.05541740002801</v>
      </c>
      <c r="Y127">
        <v>170.05541740002801</v>
      </c>
      <c r="Z127">
        <v>170.05541740002801</v>
      </c>
      <c r="AA127">
        <v>171.65884109999701</v>
      </c>
      <c r="AB127" t="s">
        <v>50</v>
      </c>
      <c r="AC127">
        <v>1</v>
      </c>
      <c r="AD127">
        <v>1.6011296999640701</v>
      </c>
      <c r="AE127" t="s">
        <v>51</v>
      </c>
      <c r="AJ127">
        <v>4</v>
      </c>
      <c r="AK127">
        <v>1</v>
      </c>
      <c r="AL127" t="s">
        <v>85</v>
      </c>
      <c r="AM127" t="s">
        <v>43</v>
      </c>
      <c r="AO127" t="s">
        <v>44</v>
      </c>
      <c r="AP127">
        <v>59.992644915568597</v>
      </c>
      <c r="AQ127" t="s">
        <v>86</v>
      </c>
    </row>
    <row r="128" spans="1:43" x14ac:dyDescent="0.3">
      <c r="A128" t="s">
        <v>52</v>
      </c>
      <c r="B128" t="s">
        <v>47</v>
      </c>
      <c r="C128" t="s">
        <v>53</v>
      </c>
      <c r="D128" t="s">
        <v>49</v>
      </c>
      <c r="E128" t="s">
        <v>54</v>
      </c>
      <c r="F128">
        <v>125</v>
      </c>
      <c r="G128">
        <v>5</v>
      </c>
      <c r="H128">
        <v>6</v>
      </c>
      <c r="I128" t="s">
        <v>54</v>
      </c>
      <c r="J128">
        <v>1</v>
      </c>
      <c r="K128">
        <v>0.94628159998683203</v>
      </c>
      <c r="L128" t="s">
        <v>51</v>
      </c>
      <c r="M128">
        <v>6</v>
      </c>
      <c r="N128">
        <v>5</v>
      </c>
      <c r="O128">
        <v>125</v>
      </c>
      <c r="P128">
        <v>14</v>
      </c>
      <c r="Q128">
        <v>171.67198679997799</v>
      </c>
      <c r="V128">
        <v>171.66132329998001</v>
      </c>
      <c r="W128">
        <v>171.67198679997799</v>
      </c>
      <c r="X128">
        <v>172.171493500005</v>
      </c>
      <c r="Y128">
        <v>172.171493500005</v>
      </c>
      <c r="Z128">
        <v>172.171493500005</v>
      </c>
      <c r="AA128">
        <v>173.12539419997401</v>
      </c>
      <c r="AB128" t="s">
        <v>54</v>
      </c>
      <c r="AC128">
        <v>1</v>
      </c>
      <c r="AD128">
        <v>0.94628159998683203</v>
      </c>
      <c r="AE128" t="s">
        <v>51</v>
      </c>
      <c r="AJ128">
        <v>4</v>
      </c>
      <c r="AK128">
        <v>1</v>
      </c>
      <c r="AL128" t="s">
        <v>85</v>
      </c>
      <c r="AM128" t="s">
        <v>43</v>
      </c>
      <c r="AO128" t="s">
        <v>44</v>
      </c>
      <c r="AP128">
        <v>59.992644915568597</v>
      </c>
      <c r="AQ128" t="s">
        <v>86</v>
      </c>
    </row>
    <row r="129" spans="1:43" x14ac:dyDescent="0.3">
      <c r="A129" t="s">
        <v>77</v>
      </c>
      <c r="B129" t="s">
        <v>59</v>
      </c>
      <c r="C129" t="s">
        <v>61</v>
      </c>
      <c r="D129" t="s">
        <v>62</v>
      </c>
      <c r="E129" t="s">
        <v>63</v>
      </c>
      <c r="F129">
        <v>126</v>
      </c>
      <c r="G129">
        <v>6</v>
      </c>
      <c r="H129">
        <v>6</v>
      </c>
      <c r="I129" t="s">
        <v>57</v>
      </c>
      <c r="J129">
        <v>0</v>
      </c>
      <c r="K129">
        <v>0.89250730001367595</v>
      </c>
      <c r="L129" t="s">
        <v>51</v>
      </c>
      <c r="M129">
        <v>6</v>
      </c>
      <c r="N129">
        <v>6</v>
      </c>
      <c r="O129">
        <v>126</v>
      </c>
      <c r="P129">
        <v>4</v>
      </c>
      <c r="Q129">
        <v>173.13825449999399</v>
      </c>
      <c r="V129">
        <v>173.12806080002301</v>
      </c>
      <c r="W129">
        <v>173.13825449999399</v>
      </c>
      <c r="X129">
        <v>173.63852610002499</v>
      </c>
      <c r="Y129">
        <v>173.63852610002499</v>
      </c>
      <c r="Z129">
        <v>173.63852610002499</v>
      </c>
      <c r="AA129">
        <v>174.54324550001101</v>
      </c>
      <c r="AB129" t="s">
        <v>57</v>
      </c>
      <c r="AC129">
        <v>0</v>
      </c>
      <c r="AD129">
        <v>0.89250730001367595</v>
      </c>
      <c r="AE129" t="s">
        <v>51</v>
      </c>
      <c r="AJ129">
        <v>4</v>
      </c>
      <c r="AK129">
        <v>1</v>
      </c>
      <c r="AL129" t="s">
        <v>85</v>
      </c>
      <c r="AM129" t="s">
        <v>43</v>
      </c>
      <c r="AO129" t="s">
        <v>44</v>
      </c>
      <c r="AP129">
        <v>59.992644915568597</v>
      </c>
      <c r="AQ129" t="s">
        <v>86</v>
      </c>
    </row>
    <row r="130" spans="1:43" x14ac:dyDescent="0.3">
      <c r="A130" t="s">
        <v>71</v>
      </c>
      <c r="B130" t="s">
        <v>47</v>
      </c>
      <c r="C130" t="s">
        <v>48</v>
      </c>
      <c r="D130" t="s">
        <v>49</v>
      </c>
      <c r="E130" t="s">
        <v>50</v>
      </c>
      <c r="F130">
        <v>127</v>
      </c>
      <c r="G130">
        <v>7</v>
      </c>
      <c r="H130">
        <v>6</v>
      </c>
      <c r="I130" t="s">
        <v>50</v>
      </c>
      <c r="J130">
        <v>1</v>
      </c>
      <c r="K130">
        <v>0.70783080003457099</v>
      </c>
      <c r="L130" t="s">
        <v>51</v>
      </c>
      <c r="M130">
        <v>6</v>
      </c>
      <c r="N130">
        <v>7</v>
      </c>
      <c r="O130">
        <v>127</v>
      </c>
      <c r="P130">
        <v>15</v>
      </c>
      <c r="Q130">
        <v>174.55503089999499</v>
      </c>
      <c r="V130">
        <v>174.546202600002</v>
      </c>
      <c r="W130">
        <v>174.55503089999499</v>
      </c>
      <c r="X130">
        <v>175.05508680001299</v>
      </c>
      <c r="Y130">
        <v>175.05508680001299</v>
      </c>
      <c r="Z130">
        <v>175.05508680001299</v>
      </c>
      <c r="AA130">
        <v>175.77560480003001</v>
      </c>
      <c r="AB130" t="s">
        <v>50</v>
      </c>
      <c r="AC130">
        <v>1</v>
      </c>
      <c r="AD130">
        <v>0.70783080003457099</v>
      </c>
      <c r="AE130" t="s">
        <v>51</v>
      </c>
      <c r="AJ130">
        <v>4</v>
      </c>
      <c r="AK130">
        <v>1</v>
      </c>
      <c r="AL130" t="s">
        <v>85</v>
      </c>
      <c r="AM130" t="s">
        <v>43</v>
      </c>
      <c r="AO130" t="s">
        <v>44</v>
      </c>
      <c r="AP130">
        <v>59.992644915568597</v>
      </c>
      <c r="AQ130" t="s">
        <v>86</v>
      </c>
    </row>
    <row r="131" spans="1:43" x14ac:dyDescent="0.3">
      <c r="A131" t="s">
        <v>69</v>
      </c>
      <c r="B131" t="s">
        <v>59</v>
      </c>
      <c r="C131" t="s">
        <v>56</v>
      </c>
      <c r="D131" t="s">
        <v>49</v>
      </c>
      <c r="E131" t="s">
        <v>57</v>
      </c>
      <c r="F131">
        <v>128</v>
      </c>
      <c r="G131">
        <v>8</v>
      </c>
      <c r="H131">
        <v>6</v>
      </c>
      <c r="I131" t="s">
        <v>57</v>
      </c>
      <c r="J131">
        <v>1</v>
      </c>
      <c r="K131">
        <v>0.98288870003307205</v>
      </c>
      <c r="L131" t="s">
        <v>51</v>
      </c>
      <c r="M131">
        <v>6</v>
      </c>
      <c r="N131">
        <v>8</v>
      </c>
      <c r="O131">
        <v>128</v>
      </c>
      <c r="P131">
        <v>5</v>
      </c>
      <c r="Q131">
        <v>175.78830409998699</v>
      </c>
      <c r="V131">
        <v>175.77904260001301</v>
      </c>
      <c r="W131">
        <v>175.78830409998699</v>
      </c>
      <c r="X131">
        <v>176.28916960000001</v>
      </c>
      <c r="Y131">
        <v>176.28916960000001</v>
      </c>
      <c r="Z131">
        <v>176.28916960000001</v>
      </c>
      <c r="AA131">
        <v>177.275636899983</v>
      </c>
      <c r="AB131" t="s">
        <v>57</v>
      </c>
      <c r="AC131">
        <v>1</v>
      </c>
      <c r="AD131">
        <v>0.98288870003307205</v>
      </c>
      <c r="AE131" t="s">
        <v>51</v>
      </c>
      <c r="AJ131">
        <v>4</v>
      </c>
      <c r="AK131">
        <v>1</v>
      </c>
      <c r="AL131" t="s">
        <v>85</v>
      </c>
      <c r="AM131" t="s">
        <v>43</v>
      </c>
      <c r="AO131" t="s">
        <v>44</v>
      </c>
      <c r="AP131">
        <v>59.992644915568597</v>
      </c>
      <c r="AQ131" t="s">
        <v>86</v>
      </c>
    </row>
    <row r="132" spans="1:43" x14ac:dyDescent="0.3">
      <c r="A132" t="s">
        <v>64</v>
      </c>
      <c r="B132" t="s">
        <v>47</v>
      </c>
      <c r="C132" t="s">
        <v>53</v>
      </c>
      <c r="D132" t="s">
        <v>49</v>
      </c>
      <c r="E132" t="s">
        <v>54</v>
      </c>
      <c r="F132">
        <v>129</v>
      </c>
      <c r="G132">
        <v>9</v>
      </c>
      <c r="H132">
        <v>6</v>
      </c>
      <c r="I132" t="s">
        <v>54</v>
      </c>
      <c r="J132">
        <v>1</v>
      </c>
      <c r="K132">
        <v>1.9289894999819801</v>
      </c>
      <c r="L132" t="s">
        <v>51</v>
      </c>
      <c r="M132">
        <v>6</v>
      </c>
      <c r="N132">
        <v>9</v>
      </c>
      <c r="O132">
        <v>129</v>
      </c>
      <c r="P132">
        <v>18</v>
      </c>
      <c r="Q132">
        <v>177.28808670001999</v>
      </c>
      <c r="V132">
        <v>177.27808820002201</v>
      </c>
      <c r="W132">
        <v>177.28808670001999</v>
      </c>
      <c r="X132">
        <v>177.78888439998201</v>
      </c>
      <c r="Y132">
        <v>177.78888439998201</v>
      </c>
      <c r="Z132">
        <v>177.78888439998201</v>
      </c>
      <c r="AA132">
        <v>179.725533900025</v>
      </c>
      <c r="AB132" t="s">
        <v>54</v>
      </c>
      <c r="AC132">
        <v>1</v>
      </c>
      <c r="AD132">
        <v>1.9289894999819801</v>
      </c>
      <c r="AE132" t="s">
        <v>51</v>
      </c>
      <c r="AJ132">
        <v>4</v>
      </c>
      <c r="AK132">
        <v>1</v>
      </c>
      <c r="AL132" t="s">
        <v>85</v>
      </c>
      <c r="AM132" t="s">
        <v>43</v>
      </c>
      <c r="AO132" t="s">
        <v>44</v>
      </c>
      <c r="AP132">
        <v>59.992644915568597</v>
      </c>
      <c r="AQ132" t="s">
        <v>86</v>
      </c>
    </row>
    <row r="133" spans="1:43" x14ac:dyDescent="0.3">
      <c r="A133" t="s">
        <v>46</v>
      </c>
      <c r="B133" t="s">
        <v>47</v>
      </c>
      <c r="C133" t="s">
        <v>48</v>
      </c>
      <c r="D133" t="s">
        <v>49</v>
      </c>
      <c r="E133" t="s">
        <v>50</v>
      </c>
      <c r="F133">
        <v>130</v>
      </c>
      <c r="G133">
        <v>10</v>
      </c>
      <c r="H133">
        <v>6</v>
      </c>
      <c r="I133" t="s">
        <v>50</v>
      </c>
      <c r="J133">
        <v>1</v>
      </c>
      <c r="K133">
        <v>1.45297590002883</v>
      </c>
      <c r="L133" t="s">
        <v>51</v>
      </c>
      <c r="M133">
        <v>6</v>
      </c>
      <c r="N133">
        <v>10</v>
      </c>
      <c r="O133">
        <v>130</v>
      </c>
      <c r="P133">
        <v>19</v>
      </c>
      <c r="Q133">
        <v>179.73810209997399</v>
      </c>
      <c r="V133">
        <v>179.72845679998801</v>
      </c>
      <c r="W133">
        <v>179.73810209997399</v>
      </c>
      <c r="X133">
        <v>180.23866189998799</v>
      </c>
      <c r="Y133">
        <v>180.23866189998799</v>
      </c>
      <c r="Z133">
        <v>180.23866189998799</v>
      </c>
      <c r="AA133">
        <v>181.70827559998699</v>
      </c>
      <c r="AB133" t="s">
        <v>50</v>
      </c>
      <c r="AC133">
        <v>1</v>
      </c>
      <c r="AD133">
        <v>1.45297590002883</v>
      </c>
      <c r="AE133" t="s">
        <v>51</v>
      </c>
      <c r="AJ133">
        <v>4</v>
      </c>
      <c r="AK133">
        <v>1</v>
      </c>
      <c r="AL133" t="s">
        <v>85</v>
      </c>
      <c r="AM133" t="s">
        <v>43</v>
      </c>
      <c r="AO133" t="s">
        <v>44</v>
      </c>
      <c r="AP133">
        <v>59.992644915568597</v>
      </c>
      <c r="AQ133" t="s">
        <v>86</v>
      </c>
    </row>
    <row r="134" spans="1:43" x14ac:dyDescent="0.3">
      <c r="A134" t="s">
        <v>66</v>
      </c>
      <c r="B134" t="s">
        <v>47</v>
      </c>
      <c r="C134" t="s">
        <v>61</v>
      </c>
      <c r="D134" t="s">
        <v>49</v>
      </c>
      <c r="E134" t="s">
        <v>63</v>
      </c>
      <c r="F134">
        <v>131</v>
      </c>
      <c r="G134">
        <v>11</v>
      </c>
      <c r="H134">
        <v>6</v>
      </c>
      <c r="I134" t="s">
        <v>63</v>
      </c>
      <c r="J134">
        <v>1</v>
      </c>
      <c r="K134">
        <v>0.73400709999259495</v>
      </c>
      <c r="L134" t="s">
        <v>51</v>
      </c>
      <c r="M134">
        <v>6</v>
      </c>
      <c r="N134">
        <v>11</v>
      </c>
      <c r="O134">
        <v>131</v>
      </c>
      <c r="P134">
        <v>12</v>
      </c>
      <c r="Q134">
        <v>181.722208800027</v>
      </c>
      <c r="V134">
        <v>181.71077330003001</v>
      </c>
      <c r="W134">
        <v>181.722208800027</v>
      </c>
      <c r="X134">
        <v>182.22112240001999</v>
      </c>
      <c r="Y134">
        <v>182.22112240001999</v>
      </c>
      <c r="Z134">
        <v>182.22112240001999</v>
      </c>
      <c r="AA134">
        <v>182.95893179997799</v>
      </c>
      <c r="AB134" t="s">
        <v>63</v>
      </c>
      <c r="AC134">
        <v>1</v>
      </c>
      <c r="AD134">
        <v>0.73400709999259495</v>
      </c>
      <c r="AE134" t="s">
        <v>51</v>
      </c>
      <c r="AJ134">
        <v>4</v>
      </c>
      <c r="AK134">
        <v>1</v>
      </c>
      <c r="AL134" t="s">
        <v>85</v>
      </c>
      <c r="AM134" t="s">
        <v>43</v>
      </c>
      <c r="AO134" t="s">
        <v>44</v>
      </c>
      <c r="AP134">
        <v>59.992644915568597</v>
      </c>
      <c r="AQ134" t="s">
        <v>86</v>
      </c>
    </row>
    <row r="135" spans="1:43" x14ac:dyDescent="0.3">
      <c r="A135" t="s">
        <v>65</v>
      </c>
      <c r="B135" t="s">
        <v>59</v>
      </c>
      <c r="C135" t="s">
        <v>56</v>
      </c>
      <c r="D135" t="s">
        <v>49</v>
      </c>
      <c r="E135" t="s">
        <v>57</v>
      </c>
      <c r="F135">
        <v>132</v>
      </c>
      <c r="G135">
        <v>12</v>
      </c>
      <c r="H135">
        <v>6</v>
      </c>
      <c r="I135" t="s">
        <v>57</v>
      </c>
      <c r="J135">
        <v>1</v>
      </c>
      <c r="K135">
        <v>1.2702166999806599</v>
      </c>
      <c r="L135" t="s">
        <v>51</v>
      </c>
      <c r="M135">
        <v>6</v>
      </c>
      <c r="N135">
        <v>12</v>
      </c>
      <c r="O135">
        <v>132</v>
      </c>
      <c r="P135">
        <v>9</v>
      </c>
      <c r="Q135">
        <v>182.97114490001599</v>
      </c>
      <c r="V135">
        <v>182.96203410002599</v>
      </c>
      <c r="W135">
        <v>182.97114490001599</v>
      </c>
      <c r="X135">
        <v>183.47242990002201</v>
      </c>
      <c r="Y135">
        <v>183.47242990002201</v>
      </c>
      <c r="Z135">
        <v>183.47242990002201</v>
      </c>
      <c r="AA135">
        <v>184.75856799998999</v>
      </c>
      <c r="AB135" t="s">
        <v>57</v>
      </c>
      <c r="AC135">
        <v>1</v>
      </c>
      <c r="AD135">
        <v>1.2702166999806599</v>
      </c>
      <c r="AE135" t="s">
        <v>51</v>
      </c>
      <c r="AJ135">
        <v>4</v>
      </c>
      <c r="AK135">
        <v>1</v>
      </c>
      <c r="AL135" t="s">
        <v>85</v>
      </c>
      <c r="AM135" t="s">
        <v>43</v>
      </c>
      <c r="AO135" t="s">
        <v>44</v>
      </c>
      <c r="AP135">
        <v>59.992644915568597</v>
      </c>
      <c r="AQ135" t="s">
        <v>86</v>
      </c>
    </row>
    <row r="136" spans="1:43" x14ac:dyDescent="0.3">
      <c r="A136" t="s">
        <v>78</v>
      </c>
      <c r="B136" t="s">
        <v>47</v>
      </c>
      <c r="C136" t="s">
        <v>56</v>
      </c>
      <c r="D136" t="s">
        <v>49</v>
      </c>
      <c r="E136" t="s">
        <v>57</v>
      </c>
      <c r="F136">
        <v>133</v>
      </c>
      <c r="G136">
        <v>13</v>
      </c>
      <c r="H136">
        <v>6</v>
      </c>
      <c r="I136" t="s">
        <v>57</v>
      </c>
      <c r="J136">
        <v>1</v>
      </c>
      <c r="K136">
        <v>0.56307430000742897</v>
      </c>
      <c r="L136" t="s">
        <v>51</v>
      </c>
      <c r="M136">
        <v>6</v>
      </c>
      <c r="N136">
        <v>13</v>
      </c>
      <c r="O136">
        <v>133</v>
      </c>
      <c r="P136">
        <v>17</v>
      </c>
      <c r="Q136">
        <v>184.771500599978</v>
      </c>
      <c r="V136">
        <v>184.76110960001799</v>
      </c>
      <c r="W136">
        <v>184.771500599978</v>
      </c>
      <c r="X136">
        <v>185.27133630000699</v>
      </c>
      <c r="Y136">
        <v>185.27133630000699</v>
      </c>
      <c r="Z136">
        <v>185.27133630000699</v>
      </c>
      <c r="AA136">
        <v>185.842478099977</v>
      </c>
      <c r="AB136" t="s">
        <v>57</v>
      </c>
      <c r="AC136">
        <v>1</v>
      </c>
      <c r="AD136">
        <v>0.56307430000742897</v>
      </c>
      <c r="AE136" t="s">
        <v>51</v>
      </c>
      <c r="AJ136">
        <v>4</v>
      </c>
      <c r="AK136">
        <v>1</v>
      </c>
      <c r="AL136" t="s">
        <v>85</v>
      </c>
      <c r="AM136" t="s">
        <v>43</v>
      </c>
      <c r="AO136" t="s">
        <v>44</v>
      </c>
      <c r="AP136">
        <v>59.992644915568597</v>
      </c>
      <c r="AQ136" t="s">
        <v>86</v>
      </c>
    </row>
    <row r="137" spans="1:43" x14ac:dyDescent="0.3">
      <c r="A137" t="s">
        <v>60</v>
      </c>
      <c r="B137" t="s">
        <v>59</v>
      </c>
      <c r="C137" t="s">
        <v>61</v>
      </c>
      <c r="D137" t="s">
        <v>62</v>
      </c>
      <c r="E137" t="s">
        <v>63</v>
      </c>
      <c r="F137">
        <v>134</v>
      </c>
      <c r="G137">
        <v>14</v>
      </c>
      <c r="H137">
        <v>6</v>
      </c>
      <c r="I137" t="s">
        <v>63</v>
      </c>
      <c r="J137">
        <v>1</v>
      </c>
      <c r="K137">
        <v>1.2469727999996301</v>
      </c>
      <c r="L137" t="s">
        <v>51</v>
      </c>
      <c r="M137">
        <v>6</v>
      </c>
      <c r="N137">
        <v>14</v>
      </c>
      <c r="O137">
        <v>134</v>
      </c>
      <c r="P137">
        <v>0</v>
      </c>
      <c r="Q137">
        <v>185.85452370002099</v>
      </c>
      <c r="V137">
        <v>185.84516550000899</v>
      </c>
      <c r="W137">
        <v>185.85452370002099</v>
      </c>
      <c r="X137">
        <v>186.355224300001</v>
      </c>
      <c r="Y137">
        <v>186.355224300001</v>
      </c>
      <c r="Z137">
        <v>186.355224300001</v>
      </c>
      <c r="AA137">
        <v>187.60881469998199</v>
      </c>
      <c r="AB137" t="s">
        <v>63</v>
      </c>
      <c r="AC137">
        <v>1</v>
      </c>
      <c r="AD137">
        <v>1.2469727999996301</v>
      </c>
      <c r="AE137" t="s">
        <v>51</v>
      </c>
      <c r="AJ137">
        <v>4</v>
      </c>
      <c r="AK137">
        <v>1</v>
      </c>
      <c r="AL137" t="s">
        <v>85</v>
      </c>
      <c r="AM137" t="s">
        <v>43</v>
      </c>
      <c r="AO137" t="s">
        <v>44</v>
      </c>
      <c r="AP137">
        <v>59.992644915568597</v>
      </c>
      <c r="AQ137" t="s">
        <v>86</v>
      </c>
    </row>
    <row r="138" spans="1:43" x14ac:dyDescent="0.3">
      <c r="A138" t="s">
        <v>73</v>
      </c>
      <c r="B138" t="s">
        <v>59</v>
      </c>
      <c r="C138" t="s">
        <v>56</v>
      </c>
      <c r="D138" t="s">
        <v>49</v>
      </c>
      <c r="E138" t="s">
        <v>57</v>
      </c>
      <c r="F138">
        <v>135</v>
      </c>
      <c r="G138">
        <v>15</v>
      </c>
      <c r="H138">
        <v>6</v>
      </c>
      <c r="I138" t="s">
        <v>57</v>
      </c>
      <c r="J138">
        <v>1</v>
      </c>
      <c r="K138">
        <v>0.93467079999390901</v>
      </c>
      <c r="L138" t="s">
        <v>51</v>
      </c>
      <c r="M138">
        <v>6</v>
      </c>
      <c r="N138">
        <v>15</v>
      </c>
      <c r="O138">
        <v>135</v>
      </c>
      <c r="P138">
        <v>1</v>
      </c>
      <c r="Q138">
        <v>187.62336349999501</v>
      </c>
      <c r="V138">
        <v>187.612178699986</v>
      </c>
      <c r="W138">
        <v>187.62336349999501</v>
      </c>
      <c r="X138">
        <v>188.12145769997699</v>
      </c>
      <c r="Y138">
        <v>188.12145769997699</v>
      </c>
      <c r="Z138">
        <v>188.12145769997699</v>
      </c>
      <c r="AA138">
        <v>189.05838010000201</v>
      </c>
      <c r="AB138" t="s">
        <v>57</v>
      </c>
      <c r="AC138">
        <v>1</v>
      </c>
      <c r="AD138">
        <v>0.93467079999390901</v>
      </c>
      <c r="AE138" t="s">
        <v>51</v>
      </c>
      <c r="AJ138">
        <v>4</v>
      </c>
      <c r="AK138">
        <v>1</v>
      </c>
      <c r="AL138" t="s">
        <v>85</v>
      </c>
      <c r="AM138" t="s">
        <v>43</v>
      </c>
      <c r="AO138" t="s">
        <v>44</v>
      </c>
      <c r="AP138">
        <v>59.992644915568597</v>
      </c>
      <c r="AQ138" t="s">
        <v>86</v>
      </c>
    </row>
    <row r="139" spans="1:43" x14ac:dyDescent="0.3">
      <c r="A139" t="s">
        <v>68</v>
      </c>
      <c r="B139" t="s">
        <v>59</v>
      </c>
      <c r="C139" t="s">
        <v>53</v>
      </c>
      <c r="D139" t="s">
        <v>49</v>
      </c>
      <c r="E139" t="s">
        <v>54</v>
      </c>
      <c r="F139">
        <v>136</v>
      </c>
      <c r="G139">
        <v>16</v>
      </c>
      <c r="H139">
        <v>6</v>
      </c>
      <c r="I139" t="s">
        <v>54</v>
      </c>
      <c r="J139">
        <v>1</v>
      </c>
      <c r="K139">
        <v>0.76330910000251595</v>
      </c>
      <c r="L139" t="s">
        <v>51</v>
      </c>
      <c r="M139">
        <v>6</v>
      </c>
      <c r="N139">
        <v>16</v>
      </c>
      <c r="O139">
        <v>136</v>
      </c>
      <c r="P139">
        <v>6</v>
      </c>
      <c r="Q139">
        <v>189.07143270003101</v>
      </c>
      <c r="V139">
        <v>189.06101990002199</v>
      </c>
      <c r="W139">
        <v>189.07143270003101</v>
      </c>
      <c r="X139">
        <v>189.571140200016</v>
      </c>
      <c r="Y139">
        <v>189.571140200016</v>
      </c>
      <c r="Z139">
        <v>189.571140200016</v>
      </c>
      <c r="AA139">
        <v>190.342277700023</v>
      </c>
      <c r="AB139" t="s">
        <v>54</v>
      </c>
      <c r="AC139">
        <v>1</v>
      </c>
      <c r="AD139">
        <v>0.76330910000251595</v>
      </c>
      <c r="AE139" t="s">
        <v>51</v>
      </c>
      <c r="AJ139">
        <v>4</v>
      </c>
      <c r="AK139">
        <v>1</v>
      </c>
      <c r="AL139" t="s">
        <v>85</v>
      </c>
      <c r="AM139" t="s">
        <v>43</v>
      </c>
      <c r="AO139" t="s">
        <v>44</v>
      </c>
      <c r="AP139">
        <v>59.992644915568597</v>
      </c>
      <c r="AQ139" t="s">
        <v>86</v>
      </c>
    </row>
    <row r="140" spans="1:43" x14ac:dyDescent="0.3">
      <c r="A140" t="s">
        <v>70</v>
      </c>
      <c r="B140" t="s">
        <v>59</v>
      </c>
      <c r="C140" t="s">
        <v>53</v>
      </c>
      <c r="D140" t="s">
        <v>49</v>
      </c>
      <c r="E140" t="s">
        <v>54</v>
      </c>
      <c r="F140">
        <v>137</v>
      </c>
      <c r="G140">
        <v>17</v>
      </c>
      <c r="H140">
        <v>6</v>
      </c>
      <c r="I140" t="s">
        <v>54</v>
      </c>
      <c r="J140">
        <v>1</v>
      </c>
      <c r="K140">
        <v>0.56673710001632505</v>
      </c>
      <c r="L140" t="s">
        <v>51</v>
      </c>
      <c r="M140">
        <v>6</v>
      </c>
      <c r="N140">
        <v>17</v>
      </c>
      <c r="O140">
        <v>137</v>
      </c>
      <c r="P140">
        <v>2</v>
      </c>
      <c r="Q140">
        <v>190.354858900012</v>
      </c>
      <c r="V140">
        <v>190.344883300014</v>
      </c>
      <c r="W140">
        <v>190.354858900012</v>
      </c>
      <c r="X140">
        <v>190.85438510001401</v>
      </c>
      <c r="Y140">
        <v>190.85438510001401</v>
      </c>
      <c r="Z140">
        <v>190.85438510001401</v>
      </c>
      <c r="AA140">
        <v>191.42485160002201</v>
      </c>
      <c r="AB140" t="s">
        <v>54</v>
      </c>
      <c r="AC140">
        <v>1</v>
      </c>
      <c r="AD140">
        <v>0.56673710001632505</v>
      </c>
      <c r="AE140" t="s">
        <v>51</v>
      </c>
      <c r="AJ140">
        <v>4</v>
      </c>
      <c r="AK140">
        <v>1</v>
      </c>
      <c r="AL140" t="s">
        <v>85</v>
      </c>
      <c r="AM140" t="s">
        <v>43</v>
      </c>
      <c r="AO140" t="s">
        <v>44</v>
      </c>
      <c r="AP140">
        <v>59.992644915568597</v>
      </c>
      <c r="AQ140" t="s">
        <v>86</v>
      </c>
    </row>
    <row r="141" spans="1:43" x14ac:dyDescent="0.3">
      <c r="A141" t="s">
        <v>67</v>
      </c>
      <c r="B141" t="s">
        <v>47</v>
      </c>
      <c r="C141" t="s">
        <v>53</v>
      </c>
      <c r="D141" t="s">
        <v>49</v>
      </c>
      <c r="E141" t="s">
        <v>54</v>
      </c>
      <c r="F141">
        <v>138</v>
      </c>
      <c r="G141">
        <v>18</v>
      </c>
      <c r="H141">
        <v>6</v>
      </c>
      <c r="I141" t="s">
        <v>54</v>
      </c>
      <c r="J141">
        <v>1</v>
      </c>
      <c r="K141">
        <v>0.49799859995255202</v>
      </c>
      <c r="L141" t="s">
        <v>51</v>
      </c>
      <c r="M141">
        <v>6</v>
      </c>
      <c r="N141">
        <v>18</v>
      </c>
      <c r="O141">
        <v>138</v>
      </c>
      <c r="P141">
        <v>10</v>
      </c>
      <c r="Q141">
        <v>191.43761979998001</v>
      </c>
      <c r="V141">
        <v>191.42870260000899</v>
      </c>
      <c r="W141">
        <v>191.43761979998001</v>
      </c>
      <c r="X141">
        <v>191.93775739998</v>
      </c>
      <c r="Y141">
        <v>191.93775739998</v>
      </c>
      <c r="Z141">
        <v>191.93775739998</v>
      </c>
      <c r="AA141">
        <v>192.44196379999599</v>
      </c>
      <c r="AB141" t="s">
        <v>54</v>
      </c>
      <c r="AC141">
        <v>1</v>
      </c>
      <c r="AD141">
        <v>0.49799859995255202</v>
      </c>
      <c r="AE141" t="s">
        <v>51</v>
      </c>
      <c r="AJ141">
        <v>4</v>
      </c>
      <c r="AK141">
        <v>1</v>
      </c>
      <c r="AL141" t="s">
        <v>85</v>
      </c>
      <c r="AM141" t="s">
        <v>43</v>
      </c>
      <c r="AO141" t="s">
        <v>44</v>
      </c>
      <c r="AP141">
        <v>59.992644915568597</v>
      </c>
      <c r="AQ141" t="s">
        <v>86</v>
      </c>
    </row>
    <row r="142" spans="1:43" x14ac:dyDescent="0.3">
      <c r="A142" t="s">
        <v>74</v>
      </c>
      <c r="B142" t="s">
        <v>47</v>
      </c>
      <c r="C142" t="s">
        <v>48</v>
      </c>
      <c r="D142" t="s">
        <v>49</v>
      </c>
      <c r="E142" t="s">
        <v>50</v>
      </c>
      <c r="F142">
        <v>139</v>
      </c>
      <c r="G142">
        <v>19</v>
      </c>
      <c r="H142">
        <v>6</v>
      </c>
      <c r="I142" t="s">
        <v>50</v>
      </c>
      <c r="J142">
        <v>1</v>
      </c>
      <c r="K142">
        <v>0.66056620003655497</v>
      </c>
      <c r="L142" t="s">
        <v>51</v>
      </c>
      <c r="M142">
        <v>6</v>
      </c>
      <c r="N142">
        <v>19</v>
      </c>
      <c r="O142">
        <v>139</v>
      </c>
      <c r="P142">
        <v>11</v>
      </c>
      <c r="Q142">
        <v>192.45515619998301</v>
      </c>
      <c r="V142">
        <v>192.44494960002999</v>
      </c>
      <c r="W142">
        <v>192.45515619998301</v>
      </c>
      <c r="X142">
        <v>192.955053700017</v>
      </c>
      <c r="Y142">
        <v>192.955053700017</v>
      </c>
      <c r="Z142">
        <v>192.955053700017</v>
      </c>
      <c r="AA142">
        <v>193.624882399977</v>
      </c>
      <c r="AB142" t="s">
        <v>50</v>
      </c>
      <c r="AC142">
        <v>1</v>
      </c>
      <c r="AD142">
        <v>0.66056620003655497</v>
      </c>
      <c r="AE142" t="s">
        <v>51</v>
      </c>
      <c r="AJ142">
        <v>4</v>
      </c>
      <c r="AK142">
        <v>1</v>
      </c>
      <c r="AL142" t="s">
        <v>85</v>
      </c>
      <c r="AM142" t="s">
        <v>43</v>
      </c>
      <c r="AO142" t="s">
        <v>44</v>
      </c>
      <c r="AP142">
        <v>59.992644915568597</v>
      </c>
      <c r="AQ142" t="s">
        <v>86</v>
      </c>
    </row>
    <row r="143" spans="1:43" x14ac:dyDescent="0.3">
      <c r="A143" t="s">
        <v>46</v>
      </c>
      <c r="B143" t="s">
        <v>47</v>
      </c>
      <c r="C143" t="s">
        <v>48</v>
      </c>
      <c r="D143" t="s">
        <v>49</v>
      </c>
      <c r="E143" t="s">
        <v>50</v>
      </c>
      <c r="F143">
        <v>140</v>
      </c>
      <c r="G143">
        <v>0</v>
      </c>
      <c r="H143">
        <v>7</v>
      </c>
      <c r="I143" t="s">
        <v>50</v>
      </c>
      <c r="J143">
        <v>1</v>
      </c>
      <c r="K143">
        <v>0.54139500000746899</v>
      </c>
      <c r="L143" t="s">
        <v>51</v>
      </c>
      <c r="M143">
        <v>7</v>
      </c>
      <c r="N143">
        <v>0</v>
      </c>
      <c r="O143">
        <v>140</v>
      </c>
      <c r="P143">
        <v>19</v>
      </c>
      <c r="Q143">
        <v>193.638113300025</v>
      </c>
      <c r="V143">
        <v>193.627847400028</v>
      </c>
      <c r="W143">
        <v>193.638113300025</v>
      </c>
      <c r="X143">
        <v>194.13784999999899</v>
      </c>
      <c r="Y143">
        <v>194.13784999999899</v>
      </c>
      <c r="Z143">
        <v>194.13784999999899</v>
      </c>
      <c r="AA143">
        <v>194.69107810000401</v>
      </c>
      <c r="AB143" t="s">
        <v>50</v>
      </c>
      <c r="AC143">
        <v>1</v>
      </c>
      <c r="AD143">
        <v>0.54139500000746899</v>
      </c>
      <c r="AE143" t="s">
        <v>51</v>
      </c>
      <c r="AJ143">
        <v>4</v>
      </c>
      <c r="AK143">
        <v>1</v>
      </c>
      <c r="AL143" t="s">
        <v>85</v>
      </c>
      <c r="AM143" t="s">
        <v>43</v>
      </c>
      <c r="AO143" t="s">
        <v>44</v>
      </c>
      <c r="AP143">
        <v>59.992644915568597</v>
      </c>
      <c r="AQ143" t="s">
        <v>86</v>
      </c>
    </row>
    <row r="144" spans="1:43" x14ac:dyDescent="0.3">
      <c r="A144" t="s">
        <v>55</v>
      </c>
      <c r="B144" t="s">
        <v>47</v>
      </c>
      <c r="C144" t="s">
        <v>56</v>
      </c>
      <c r="D144" t="s">
        <v>49</v>
      </c>
      <c r="E144" t="s">
        <v>57</v>
      </c>
      <c r="F144">
        <v>141</v>
      </c>
      <c r="G144">
        <v>1</v>
      </c>
      <c r="H144">
        <v>7</v>
      </c>
      <c r="I144" t="s">
        <v>57</v>
      </c>
      <c r="J144">
        <v>1</v>
      </c>
      <c r="K144">
        <v>0.73760569997830305</v>
      </c>
      <c r="L144" t="s">
        <v>51</v>
      </c>
      <c r="M144">
        <v>7</v>
      </c>
      <c r="N144">
        <v>1</v>
      </c>
      <c r="O144">
        <v>141</v>
      </c>
      <c r="P144">
        <v>13</v>
      </c>
      <c r="Q144">
        <v>194.704127100005</v>
      </c>
      <c r="V144">
        <v>194.69419609999699</v>
      </c>
      <c r="W144">
        <v>194.704127100005</v>
      </c>
      <c r="X144">
        <v>195.20454080001201</v>
      </c>
      <c r="Y144">
        <v>195.20454080001201</v>
      </c>
      <c r="Z144">
        <v>195.20454080001201</v>
      </c>
      <c r="AA144">
        <v>195.95877419999999</v>
      </c>
      <c r="AB144" t="s">
        <v>57</v>
      </c>
      <c r="AC144">
        <v>1</v>
      </c>
      <c r="AD144">
        <v>0.73760569997830305</v>
      </c>
      <c r="AE144" t="s">
        <v>51</v>
      </c>
      <c r="AJ144">
        <v>4</v>
      </c>
      <c r="AK144">
        <v>1</v>
      </c>
      <c r="AL144" t="s">
        <v>85</v>
      </c>
      <c r="AM144" t="s">
        <v>43</v>
      </c>
      <c r="AO144" t="s">
        <v>44</v>
      </c>
      <c r="AP144">
        <v>59.992644915568597</v>
      </c>
      <c r="AQ144" t="s">
        <v>86</v>
      </c>
    </row>
    <row r="145" spans="1:43" x14ac:dyDescent="0.3">
      <c r="A145" t="s">
        <v>75</v>
      </c>
      <c r="B145" t="s">
        <v>47</v>
      </c>
      <c r="C145" t="s">
        <v>61</v>
      </c>
      <c r="D145" t="s">
        <v>49</v>
      </c>
      <c r="E145" t="s">
        <v>63</v>
      </c>
      <c r="F145">
        <v>142</v>
      </c>
      <c r="G145">
        <v>2</v>
      </c>
      <c r="H145">
        <v>7</v>
      </c>
      <c r="I145" t="s">
        <v>63</v>
      </c>
      <c r="J145">
        <v>1</v>
      </c>
      <c r="K145">
        <v>0.56995279999682602</v>
      </c>
      <c r="L145" t="s">
        <v>51</v>
      </c>
      <c r="M145">
        <v>7</v>
      </c>
      <c r="N145">
        <v>2</v>
      </c>
      <c r="O145">
        <v>142</v>
      </c>
      <c r="P145">
        <v>16</v>
      </c>
      <c r="Q145">
        <v>195.97052620002</v>
      </c>
      <c r="V145">
        <v>195.962105099984</v>
      </c>
      <c r="W145">
        <v>195.97052620002</v>
      </c>
      <c r="X145">
        <v>196.47083810000899</v>
      </c>
      <c r="Y145">
        <v>196.47083810000899</v>
      </c>
      <c r="Z145">
        <v>196.47083810000899</v>
      </c>
      <c r="AA145">
        <v>197.057767299993</v>
      </c>
      <c r="AB145" t="s">
        <v>63</v>
      </c>
      <c r="AC145">
        <v>1</v>
      </c>
      <c r="AD145">
        <v>0.56995279999682602</v>
      </c>
      <c r="AE145" t="s">
        <v>51</v>
      </c>
      <c r="AJ145">
        <v>4</v>
      </c>
      <c r="AK145">
        <v>1</v>
      </c>
      <c r="AL145" t="s">
        <v>85</v>
      </c>
      <c r="AM145" t="s">
        <v>43</v>
      </c>
      <c r="AO145" t="s">
        <v>44</v>
      </c>
      <c r="AP145">
        <v>59.992644915568597</v>
      </c>
      <c r="AQ145" t="s">
        <v>86</v>
      </c>
    </row>
    <row r="146" spans="1:43" x14ac:dyDescent="0.3">
      <c r="A146" t="s">
        <v>74</v>
      </c>
      <c r="B146" t="s">
        <v>47</v>
      </c>
      <c r="C146" t="s">
        <v>48</v>
      </c>
      <c r="D146" t="s">
        <v>49</v>
      </c>
      <c r="E146" t="s">
        <v>50</v>
      </c>
      <c r="F146">
        <v>143</v>
      </c>
      <c r="G146">
        <v>3</v>
      </c>
      <c r="H146">
        <v>7</v>
      </c>
      <c r="I146" t="s">
        <v>50</v>
      </c>
      <c r="J146">
        <v>1</v>
      </c>
      <c r="K146">
        <v>1.0233076000004</v>
      </c>
      <c r="L146" t="s">
        <v>51</v>
      </c>
      <c r="M146">
        <v>7</v>
      </c>
      <c r="N146">
        <v>3</v>
      </c>
      <c r="O146">
        <v>143</v>
      </c>
      <c r="P146">
        <v>11</v>
      </c>
      <c r="Q146">
        <v>197.07057849998799</v>
      </c>
      <c r="V146">
        <v>197.061048400006</v>
      </c>
      <c r="W146">
        <v>197.07057849998799</v>
      </c>
      <c r="X146">
        <v>197.570724999997</v>
      </c>
      <c r="Y146">
        <v>197.570724999997</v>
      </c>
      <c r="Z146">
        <v>197.570724999997</v>
      </c>
      <c r="AA146">
        <v>198.607884299999</v>
      </c>
      <c r="AB146" t="s">
        <v>50</v>
      </c>
      <c r="AC146">
        <v>1</v>
      </c>
      <c r="AD146">
        <v>1.0233076000004</v>
      </c>
      <c r="AE146" t="s">
        <v>51</v>
      </c>
      <c r="AJ146">
        <v>4</v>
      </c>
      <c r="AK146">
        <v>1</v>
      </c>
      <c r="AL146" t="s">
        <v>85</v>
      </c>
      <c r="AM146" t="s">
        <v>43</v>
      </c>
      <c r="AO146" t="s">
        <v>44</v>
      </c>
      <c r="AP146">
        <v>59.992644915568597</v>
      </c>
      <c r="AQ146" t="s">
        <v>86</v>
      </c>
    </row>
    <row r="147" spans="1:43" x14ac:dyDescent="0.3">
      <c r="A147" t="s">
        <v>76</v>
      </c>
      <c r="B147" t="s">
        <v>59</v>
      </c>
      <c r="C147" t="s">
        <v>48</v>
      </c>
      <c r="D147" t="s">
        <v>49</v>
      </c>
      <c r="E147" t="s">
        <v>50</v>
      </c>
      <c r="F147">
        <v>144</v>
      </c>
      <c r="G147">
        <v>4</v>
      </c>
      <c r="H147">
        <v>7</v>
      </c>
      <c r="I147" t="s">
        <v>50</v>
      </c>
      <c r="J147">
        <v>1</v>
      </c>
      <c r="K147">
        <v>0.49827589996857502</v>
      </c>
      <c r="L147" t="s">
        <v>51</v>
      </c>
      <c r="M147">
        <v>7</v>
      </c>
      <c r="N147">
        <v>4</v>
      </c>
      <c r="O147">
        <v>144</v>
      </c>
      <c r="P147">
        <v>3</v>
      </c>
      <c r="Q147">
        <v>198.621182599978</v>
      </c>
      <c r="V147">
        <v>198.61052410001801</v>
      </c>
      <c r="W147">
        <v>198.621182599978</v>
      </c>
      <c r="X147">
        <v>199.12080939998799</v>
      </c>
      <c r="Y147">
        <v>199.12080939998799</v>
      </c>
      <c r="Z147">
        <v>199.12080939998799</v>
      </c>
      <c r="AA147">
        <v>199.625009100011</v>
      </c>
      <c r="AB147" t="s">
        <v>50</v>
      </c>
      <c r="AC147">
        <v>1</v>
      </c>
      <c r="AD147">
        <v>0.49827589996857502</v>
      </c>
      <c r="AE147" t="s">
        <v>51</v>
      </c>
      <c r="AJ147">
        <v>4</v>
      </c>
      <c r="AK147">
        <v>1</v>
      </c>
      <c r="AL147" t="s">
        <v>85</v>
      </c>
      <c r="AM147" t="s">
        <v>43</v>
      </c>
      <c r="AO147" t="s">
        <v>44</v>
      </c>
      <c r="AP147">
        <v>59.992644915568597</v>
      </c>
      <c r="AQ147" t="s">
        <v>86</v>
      </c>
    </row>
    <row r="148" spans="1:43" x14ac:dyDescent="0.3">
      <c r="A148" t="s">
        <v>66</v>
      </c>
      <c r="B148" t="s">
        <v>47</v>
      </c>
      <c r="C148" t="s">
        <v>61</v>
      </c>
      <c r="D148" t="s">
        <v>49</v>
      </c>
      <c r="E148" t="s">
        <v>63</v>
      </c>
      <c r="F148">
        <v>145</v>
      </c>
      <c r="G148">
        <v>5</v>
      </c>
      <c r="H148">
        <v>7</v>
      </c>
      <c r="I148" t="s">
        <v>63</v>
      </c>
      <c r="J148">
        <v>1</v>
      </c>
      <c r="K148">
        <v>0.61274730000877697</v>
      </c>
      <c r="L148" t="s">
        <v>51</v>
      </c>
      <c r="M148">
        <v>7</v>
      </c>
      <c r="N148">
        <v>5</v>
      </c>
      <c r="O148">
        <v>145</v>
      </c>
      <c r="P148">
        <v>12</v>
      </c>
      <c r="Q148">
        <v>199.63755290000699</v>
      </c>
      <c r="V148">
        <v>199.62775400001499</v>
      </c>
      <c r="W148">
        <v>199.63755290000699</v>
      </c>
      <c r="X148">
        <v>200.13786570000201</v>
      </c>
      <c r="Y148">
        <v>200.13786570000201</v>
      </c>
      <c r="Z148">
        <v>200.13786570000201</v>
      </c>
      <c r="AA148">
        <v>200.75804350001201</v>
      </c>
      <c r="AB148" t="s">
        <v>63</v>
      </c>
      <c r="AC148">
        <v>1</v>
      </c>
      <c r="AD148">
        <v>0.61274730000877697</v>
      </c>
      <c r="AE148" t="s">
        <v>51</v>
      </c>
      <c r="AJ148">
        <v>4</v>
      </c>
      <c r="AK148">
        <v>1</v>
      </c>
      <c r="AL148" t="s">
        <v>85</v>
      </c>
      <c r="AM148" t="s">
        <v>43</v>
      </c>
      <c r="AO148" t="s">
        <v>44</v>
      </c>
      <c r="AP148">
        <v>59.992644915568597</v>
      </c>
      <c r="AQ148" t="s">
        <v>86</v>
      </c>
    </row>
    <row r="149" spans="1:43" x14ac:dyDescent="0.3">
      <c r="A149" t="s">
        <v>52</v>
      </c>
      <c r="B149" t="s">
        <v>47</v>
      </c>
      <c r="C149" t="s">
        <v>53</v>
      </c>
      <c r="D149" t="s">
        <v>49</v>
      </c>
      <c r="E149" t="s">
        <v>54</v>
      </c>
      <c r="F149">
        <v>146</v>
      </c>
      <c r="G149">
        <v>6</v>
      </c>
      <c r="H149">
        <v>7</v>
      </c>
      <c r="I149" t="s">
        <v>54</v>
      </c>
      <c r="J149">
        <v>1</v>
      </c>
      <c r="K149">
        <v>0.74859109998214901</v>
      </c>
      <c r="L149" t="s">
        <v>51</v>
      </c>
      <c r="M149">
        <v>7</v>
      </c>
      <c r="N149">
        <v>6</v>
      </c>
      <c r="O149">
        <v>146</v>
      </c>
      <c r="P149">
        <v>14</v>
      </c>
      <c r="Q149">
        <v>200.77110710000801</v>
      </c>
      <c r="V149">
        <v>200.76092989998801</v>
      </c>
      <c r="W149">
        <v>200.77110710000801</v>
      </c>
      <c r="X149">
        <v>201.270890299987</v>
      </c>
      <c r="Y149">
        <v>201.270890299987</v>
      </c>
      <c r="Z149">
        <v>201.270890299987</v>
      </c>
      <c r="AA149">
        <v>202.02525960002001</v>
      </c>
      <c r="AB149" t="s">
        <v>54</v>
      </c>
      <c r="AC149">
        <v>1</v>
      </c>
      <c r="AD149">
        <v>0.74859109998214901</v>
      </c>
      <c r="AE149" t="s">
        <v>51</v>
      </c>
      <c r="AJ149">
        <v>4</v>
      </c>
      <c r="AK149">
        <v>1</v>
      </c>
      <c r="AL149" t="s">
        <v>85</v>
      </c>
      <c r="AM149" t="s">
        <v>43</v>
      </c>
      <c r="AO149" t="s">
        <v>44</v>
      </c>
      <c r="AP149">
        <v>59.992644915568597</v>
      </c>
      <c r="AQ149" t="s">
        <v>86</v>
      </c>
    </row>
    <row r="150" spans="1:43" x14ac:dyDescent="0.3">
      <c r="A150" t="s">
        <v>64</v>
      </c>
      <c r="B150" t="s">
        <v>47</v>
      </c>
      <c r="C150" t="s">
        <v>53</v>
      </c>
      <c r="D150" t="s">
        <v>49</v>
      </c>
      <c r="E150" t="s">
        <v>54</v>
      </c>
      <c r="F150">
        <v>147</v>
      </c>
      <c r="G150">
        <v>7</v>
      </c>
      <c r="H150">
        <v>7</v>
      </c>
      <c r="I150" t="s">
        <v>54</v>
      </c>
      <c r="J150">
        <v>1</v>
      </c>
      <c r="K150">
        <v>0.51781659998232499</v>
      </c>
      <c r="L150" t="s">
        <v>51</v>
      </c>
      <c r="M150">
        <v>7</v>
      </c>
      <c r="N150">
        <v>7</v>
      </c>
      <c r="O150">
        <v>147</v>
      </c>
      <c r="P150">
        <v>18</v>
      </c>
      <c r="Q150">
        <v>202.03723770001599</v>
      </c>
      <c r="V150">
        <v>202.02753060002499</v>
      </c>
      <c r="W150">
        <v>202.03723770001599</v>
      </c>
      <c r="X150">
        <v>202.537231100024</v>
      </c>
      <c r="Y150">
        <v>202.537231100024</v>
      </c>
      <c r="Z150">
        <v>202.537231100024</v>
      </c>
      <c r="AA150">
        <v>203.058526200009</v>
      </c>
      <c r="AB150" t="s">
        <v>54</v>
      </c>
      <c r="AC150">
        <v>1</v>
      </c>
      <c r="AD150">
        <v>0.51781659998232499</v>
      </c>
      <c r="AE150" t="s">
        <v>51</v>
      </c>
      <c r="AJ150">
        <v>4</v>
      </c>
      <c r="AK150">
        <v>1</v>
      </c>
      <c r="AL150" t="s">
        <v>85</v>
      </c>
      <c r="AM150" t="s">
        <v>43</v>
      </c>
      <c r="AO150" t="s">
        <v>44</v>
      </c>
      <c r="AP150">
        <v>59.992644915568597</v>
      </c>
      <c r="AQ150" t="s">
        <v>86</v>
      </c>
    </row>
    <row r="151" spans="1:43" x14ac:dyDescent="0.3">
      <c r="A151" t="s">
        <v>77</v>
      </c>
      <c r="B151" t="s">
        <v>59</v>
      </c>
      <c r="C151" t="s">
        <v>61</v>
      </c>
      <c r="D151" t="s">
        <v>62</v>
      </c>
      <c r="E151" t="s">
        <v>63</v>
      </c>
      <c r="F151">
        <v>148</v>
      </c>
      <c r="G151">
        <v>8</v>
      </c>
      <c r="H151">
        <v>7</v>
      </c>
      <c r="I151" t="s">
        <v>63</v>
      </c>
      <c r="J151">
        <v>1</v>
      </c>
      <c r="K151">
        <v>0.72962380002718397</v>
      </c>
      <c r="L151" t="s">
        <v>51</v>
      </c>
      <c r="M151">
        <v>7</v>
      </c>
      <c r="N151">
        <v>8</v>
      </c>
      <c r="O151">
        <v>148</v>
      </c>
      <c r="P151">
        <v>4</v>
      </c>
      <c r="Q151">
        <v>203.07045310002201</v>
      </c>
      <c r="V151">
        <v>203.06106179999099</v>
      </c>
      <c r="W151">
        <v>203.07045310002201</v>
      </c>
      <c r="X151">
        <v>203.57135530002401</v>
      </c>
      <c r="Y151">
        <v>203.57135530002401</v>
      </c>
      <c r="Z151">
        <v>203.57135530002401</v>
      </c>
      <c r="AA151">
        <v>204.307622199994</v>
      </c>
      <c r="AB151" t="s">
        <v>63</v>
      </c>
      <c r="AC151">
        <v>1</v>
      </c>
      <c r="AD151">
        <v>0.72962380002718397</v>
      </c>
      <c r="AE151" t="s">
        <v>51</v>
      </c>
      <c r="AJ151">
        <v>4</v>
      </c>
      <c r="AK151">
        <v>1</v>
      </c>
      <c r="AL151" t="s">
        <v>85</v>
      </c>
      <c r="AM151" t="s">
        <v>43</v>
      </c>
      <c r="AO151" t="s">
        <v>44</v>
      </c>
      <c r="AP151">
        <v>59.992644915568597</v>
      </c>
      <c r="AQ151" t="s">
        <v>86</v>
      </c>
    </row>
    <row r="152" spans="1:43" x14ac:dyDescent="0.3">
      <c r="A152" t="s">
        <v>58</v>
      </c>
      <c r="B152" t="s">
        <v>59</v>
      </c>
      <c r="C152" t="s">
        <v>48</v>
      </c>
      <c r="D152" t="s">
        <v>49</v>
      </c>
      <c r="E152" t="s">
        <v>50</v>
      </c>
      <c r="F152">
        <v>149</v>
      </c>
      <c r="G152">
        <v>9</v>
      </c>
      <c r="H152">
        <v>7</v>
      </c>
      <c r="I152" t="s">
        <v>50</v>
      </c>
      <c r="J152">
        <v>1</v>
      </c>
      <c r="K152">
        <v>0.77510839997557901</v>
      </c>
      <c r="L152" t="s">
        <v>51</v>
      </c>
      <c r="M152">
        <v>7</v>
      </c>
      <c r="N152">
        <v>9</v>
      </c>
      <c r="O152">
        <v>149</v>
      </c>
      <c r="P152">
        <v>7</v>
      </c>
      <c r="Q152">
        <v>204.32062589999899</v>
      </c>
      <c r="V152">
        <v>204.31054829998101</v>
      </c>
      <c r="W152">
        <v>204.32062589999899</v>
      </c>
      <c r="X152">
        <v>204.82034710003001</v>
      </c>
      <c r="Y152">
        <v>204.82034710003001</v>
      </c>
      <c r="Z152">
        <v>204.82034710003001</v>
      </c>
      <c r="AA152">
        <v>205.607801800011</v>
      </c>
      <c r="AB152" t="s">
        <v>50</v>
      </c>
      <c r="AC152">
        <v>1</v>
      </c>
      <c r="AD152">
        <v>0.77510839997557901</v>
      </c>
      <c r="AE152" t="s">
        <v>51</v>
      </c>
      <c r="AJ152">
        <v>4</v>
      </c>
      <c r="AK152">
        <v>1</v>
      </c>
      <c r="AL152" t="s">
        <v>85</v>
      </c>
      <c r="AM152" t="s">
        <v>43</v>
      </c>
      <c r="AO152" t="s">
        <v>44</v>
      </c>
      <c r="AP152">
        <v>59.992644915568597</v>
      </c>
      <c r="AQ152" t="s">
        <v>86</v>
      </c>
    </row>
    <row r="153" spans="1:43" x14ac:dyDescent="0.3">
      <c r="A153" t="s">
        <v>69</v>
      </c>
      <c r="B153" t="s">
        <v>59</v>
      </c>
      <c r="C153" t="s">
        <v>56</v>
      </c>
      <c r="D153" t="s">
        <v>49</v>
      </c>
      <c r="E153" t="s">
        <v>57</v>
      </c>
      <c r="F153">
        <v>150</v>
      </c>
      <c r="G153">
        <v>10</v>
      </c>
      <c r="H153">
        <v>7</v>
      </c>
      <c r="I153" t="s">
        <v>63</v>
      </c>
      <c r="J153">
        <v>0</v>
      </c>
      <c r="K153">
        <v>0.80137579998699904</v>
      </c>
      <c r="L153" t="s">
        <v>51</v>
      </c>
      <c r="M153">
        <v>7</v>
      </c>
      <c r="N153">
        <v>10</v>
      </c>
      <c r="O153">
        <v>150</v>
      </c>
      <c r="P153">
        <v>5</v>
      </c>
      <c r="Q153">
        <v>205.62054640002299</v>
      </c>
      <c r="V153">
        <v>205.610364300024</v>
      </c>
      <c r="W153">
        <v>205.62054640002299</v>
      </c>
      <c r="X153">
        <v>206.12035699997699</v>
      </c>
      <c r="Y153">
        <v>206.12035699997699</v>
      </c>
      <c r="Z153">
        <v>206.12035699997699</v>
      </c>
      <c r="AA153">
        <v>206.92445579997701</v>
      </c>
      <c r="AB153" t="s">
        <v>63</v>
      </c>
      <c r="AC153">
        <v>0</v>
      </c>
      <c r="AD153">
        <v>0.80137579998699904</v>
      </c>
      <c r="AE153" t="s">
        <v>51</v>
      </c>
      <c r="AJ153">
        <v>4</v>
      </c>
      <c r="AK153">
        <v>1</v>
      </c>
      <c r="AL153" t="s">
        <v>85</v>
      </c>
      <c r="AM153" t="s">
        <v>43</v>
      </c>
      <c r="AO153" t="s">
        <v>44</v>
      </c>
      <c r="AP153">
        <v>59.992644915568597</v>
      </c>
      <c r="AQ153" t="s">
        <v>86</v>
      </c>
    </row>
    <row r="154" spans="1:43" x14ac:dyDescent="0.3">
      <c r="A154" t="s">
        <v>67</v>
      </c>
      <c r="B154" t="s">
        <v>47</v>
      </c>
      <c r="C154" t="s">
        <v>53</v>
      </c>
      <c r="D154" t="s">
        <v>49</v>
      </c>
      <c r="E154" t="s">
        <v>54</v>
      </c>
      <c r="F154">
        <v>151</v>
      </c>
      <c r="G154">
        <v>11</v>
      </c>
      <c r="H154">
        <v>7</v>
      </c>
      <c r="I154" t="s">
        <v>54</v>
      </c>
      <c r="J154">
        <v>1</v>
      </c>
      <c r="K154">
        <v>1.02710319997277</v>
      </c>
      <c r="L154" t="s">
        <v>51</v>
      </c>
      <c r="M154">
        <v>7</v>
      </c>
      <c r="N154">
        <v>11</v>
      </c>
      <c r="O154">
        <v>151</v>
      </c>
      <c r="P154">
        <v>10</v>
      </c>
      <c r="Q154">
        <v>206.93706299998999</v>
      </c>
      <c r="V154">
        <v>206.92737360001701</v>
      </c>
      <c r="W154">
        <v>206.93706299998999</v>
      </c>
      <c r="X154">
        <v>207.436939599982</v>
      </c>
      <c r="Y154">
        <v>207.436939599982</v>
      </c>
      <c r="Z154">
        <v>207.436939599982</v>
      </c>
      <c r="AA154">
        <v>208.473921800032</v>
      </c>
      <c r="AB154" t="s">
        <v>54</v>
      </c>
      <c r="AC154">
        <v>1</v>
      </c>
      <c r="AD154">
        <v>1.02710319997277</v>
      </c>
      <c r="AE154" t="s">
        <v>51</v>
      </c>
      <c r="AJ154">
        <v>4</v>
      </c>
      <c r="AK154">
        <v>1</v>
      </c>
      <c r="AL154" t="s">
        <v>85</v>
      </c>
      <c r="AM154" t="s">
        <v>43</v>
      </c>
      <c r="AO154" t="s">
        <v>44</v>
      </c>
      <c r="AP154">
        <v>59.992644915568597</v>
      </c>
      <c r="AQ154" t="s">
        <v>86</v>
      </c>
    </row>
    <row r="155" spans="1:43" x14ac:dyDescent="0.3">
      <c r="A155" t="s">
        <v>78</v>
      </c>
      <c r="B155" t="s">
        <v>47</v>
      </c>
      <c r="C155" t="s">
        <v>56</v>
      </c>
      <c r="D155" t="s">
        <v>49</v>
      </c>
      <c r="E155" t="s">
        <v>57</v>
      </c>
      <c r="F155">
        <v>152</v>
      </c>
      <c r="G155">
        <v>12</v>
      </c>
      <c r="H155">
        <v>7</v>
      </c>
      <c r="I155" t="s">
        <v>57</v>
      </c>
      <c r="J155">
        <v>1</v>
      </c>
      <c r="K155">
        <v>0.62255199998617095</v>
      </c>
      <c r="L155" t="s">
        <v>51</v>
      </c>
      <c r="M155">
        <v>7</v>
      </c>
      <c r="N155">
        <v>12</v>
      </c>
      <c r="O155">
        <v>152</v>
      </c>
      <c r="P155">
        <v>17</v>
      </c>
      <c r="Q155">
        <v>208.486851900001</v>
      </c>
      <c r="V155">
        <v>208.47633839998099</v>
      </c>
      <c r="W155">
        <v>208.486851900001</v>
      </c>
      <c r="X155">
        <v>208.98670790001</v>
      </c>
      <c r="Y155">
        <v>208.98670790001</v>
      </c>
      <c r="Z155">
        <v>208.98670790001</v>
      </c>
      <c r="AA155">
        <v>209.62443080003101</v>
      </c>
      <c r="AB155" t="s">
        <v>57</v>
      </c>
      <c r="AC155">
        <v>1</v>
      </c>
      <c r="AD155">
        <v>0.62255199998617095</v>
      </c>
      <c r="AE155" t="s">
        <v>51</v>
      </c>
      <c r="AJ155">
        <v>4</v>
      </c>
      <c r="AK155">
        <v>1</v>
      </c>
      <c r="AL155" t="s">
        <v>85</v>
      </c>
      <c r="AM155" t="s">
        <v>43</v>
      </c>
      <c r="AO155" t="s">
        <v>44</v>
      </c>
      <c r="AP155">
        <v>59.992644915568597</v>
      </c>
      <c r="AQ155" t="s">
        <v>86</v>
      </c>
    </row>
    <row r="156" spans="1:43" x14ac:dyDescent="0.3">
      <c r="A156" t="s">
        <v>72</v>
      </c>
      <c r="B156" t="s">
        <v>59</v>
      </c>
      <c r="C156" t="s">
        <v>61</v>
      </c>
      <c r="D156" t="s">
        <v>62</v>
      </c>
      <c r="E156" t="s">
        <v>63</v>
      </c>
      <c r="F156">
        <v>153</v>
      </c>
      <c r="G156">
        <v>13</v>
      </c>
      <c r="H156">
        <v>7</v>
      </c>
      <c r="I156" t="s">
        <v>63</v>
      </c>
      <c r="J156">
        <v>1</v>
      </c>
      <c r="K156">
        <v>0.58771449996856895</v>
      </c>
      <c r="L156" t="s">
        <v>51</v>
      </c>
      <c r="M156">
        <v>7</v>
      </c>
      <c r="N156">
        <v>13</v>
      </c>
      <c r="O156">
        <v>153</v>
      </c>
      <c r="P156">
        <v>8</v>
      </c>
      <c r="Q156">
        <v>209.63684300001401</v>
      </c>
      <c r="V156">
        <v>209.62770250003001</v>
      </c>
      <c r="W156">
        <v>209.63684300001401</v>
      </c>
      <c r="X156">
        <v>210.13759270001901</v>
      </c>
      <c r="Y156">
        <v>210.13759270001901</v>
      </c>
      <c r="Z156">
        <v>210.13759270001901</v>
      </c>
      <c r="AA156">
        <v>210.740494200028</v>
      </c>
      <c r="AB156" t="s">
        <v>63</v>
      </c>
      <c r="AC156">
        <v>1</v>
      </c>
      <c r="AD156">
        <v>0.58771449996856895</v>
      </c>
      <c r="AE156" t="s">
        <v>51</v>
      </c>
      <c r="AJ156">
        <v>4</v>
      </c>
      <c r="AK156">
        <v>1</v>
      </c>
      <c r="AL156" t="s">
        <v>85</v>
      </c>
      <c r="AM156" t="s">
        <v>43</v>
      </c>
      <c r="AO156" t="s">
        <v>44</v>
      </c>
      <c r="AP156">
        <v>59.992644915568597</v>
      </c>
      <c r="AQ156" t="s">
        <v>86</v>
      </c>
    </row>
    <row r="157" spans="1:43" x14ac:dyDescent="0.3">
      <c r="A157" t="s">
        <v>60</v>
      </c>
      <c r="B157" t="s">
        <v>59</v>
      </c>
      <c r="C157" t="s">
        <v>61</v>
      </c>
      <c r="D157" t="s">
        <v>62</v>
      </c>
      <c r="E157" t="s">
        <v>63</v>
      </c>
      <c r="F157">
        <v>154</v>
      </c>
      <c r="G157">
        <v>14</v>
      </c>
      <c r="H157">
        <v>7</v>
      </c>
      <c r="I157" t="s">
        <v>57</v>
      </c>
      <c r="J157">
        <v>0</v>
      </c>
      <c r="K157">
        <v>0.44683650002116299</v>
      </c>
      <c r="L157" t="s">
        <v>51</v>
      </c>
      <c r="M157">
        <v>7</v>
      </c>
      <c r="N157">
        <v>14</v>
      </c>
      <c r="O157">
        <v>154</v>
      </c>
      <c r="P157">
        <v>0</v>
      </c>
      <c r="Q157">
        <v>210.75474160001599</v>
      </c>
      <c r="V157">
        <v>210.743159800011</v>
      </c>
      <c r="W157">
        <v>210.75474160001599</v>
      </c>
      <c r="X157">
        <v>211.253678800014</v>
      </c>
      <c r="Y157">
        <v>211.253678800014</v>
      </c>
      <c r="Z157">
        <v>211.253678800014</v>
      </c>
      <c r="AA157">
        <v>211.70725630002499</v>
      </c>
      <c r="AB157" t="s">
        <v>57</v>
      </c>
      <c r="AC157">
        <v>0</v>
      </c>
      <c r="AD157">
        <v>0.44683650002116299</v>
      </c>
      <c r="AE157" t="s">
        <v>51</v>
      </c>
      <c r="AJ157">
        <v>4</v>
      </c>
      <c r="AK157">
        <v>1</v>
      </c>
      <c r="AL157" t="s">
        <v>85</v>
      </c>
      <c r="AM157" t="s">
        <v>43</v>
      </c>
      <c r="AO157" t="s">
        <v>44</v>
      </c>
      <c r="AP157">
        <v>59.992644915568597</v>
      </c>
      <c r="AQ157" t="s">
        <v>86</v>
      </c>
    </row>
    <row r="158" spans="1:43" x14ac:dyDescent="0.3">
      <c r="A158" t="s">
        <v>68</v>
      </c>
      <c r="B158" t="s">
        <v>59</v>
      </c>
      <c r="C158" t="s">
        <v>53</v>
      </c>
      <c r="D158" t="s">
        <v>49</v>
      </c>
      <c r="E158" t="s">
        <v>54</v>
      </c>
      <c r="F158">
        <v>155</v>
      </c>
      <c r="G158">
        <v>15</v>
      </c>
      <c r="H158">
        <v>7</v>
      </c>
      <c r="I158" t="s">
        <v>54</v>
      </c>
      <c r="J158">
        <v>1</v>
      </c>
      <c r="K158">
        <v>0.76708520000101998</v>
      </c>
      <c r="L158" t="s">
        <v>51</v>
      </c>
      <c r="M158">
        <v>7</v>
      </c>
      <c r="N158">
        <v>15</v>
      </c>
      <c r="O158">
        <v>155</v>
      </c>
      <c r="P158">
        <v>6</v>
      </c>
      <c r="Q158">
        <v>211.72034509997999</v>
      </c>
      <c r="V158">
        <v>211.70984909997699</v>
      </c>
      <c r="W158">
        <v>211.72034509997999</v>
      </c>
      <c r="X158">
        <v>212.220146899984</v>
      </c>
      <c r="Y158">
        <v>212.220146899984</v>
      </c>
      <c r="Z158">
        <v>212.220146899984</v>
      </c>
      <c r="AA158">
        <v>212.990279900026</v>
      </c>
      <c r="AB158" t="s">
        <v>54</v>
      </c>
      <c r="AC158">
        <v>1</v>
      </c>
      <c r="AD158">
        <v>0.76708520000101998</v>
      </c>
      <c r="AE158" t="s">
        <v>51</v>
      </c>
      <c r="AJ158">
        <v>4</v>
      </c>
      <c r="AK158">
        <v>1</v>
      </c>
      <c r="AL158" t="s">
        <v>85</v>
      </c>
      <c r="AM158" t="s">
        <v>43</v>
      </c>
      <c r="AO158" t="s">
        <v>44</v>
      </c>
      <c r="AP158">
        <v>59.992644915568597</v>
      </c>
      <c r="AQ158" t="s">
        <v>86</v>
      </c>
    </row>
    <row r="159" spans="1:43" x14ac:dyDescent="0.3">
      <c r="A159" t="s">
        <v>70</v>
      </c>
      <c r="B159" t="s">
        <v>59</v>
      </c>
      <c r="C159" t="s">
        <v>53</v>
      </c>
      <c r="D159" t="s">
        <v>49</v>
      </c>
      <c r="E159" t="s">
        <v>54</v>
      </c>
      <c r="F159">
        <v>156</v>
      </c>
      <c r="G159">
        <v>16</v>
      </c>
      <c r="H159">
        <v>7</v>
      </c>
      <c r="I159" t="s">
        <v>54</v>
      </c>
      <c r="J159">
        <v>1</v>
      </c>
      <c r="K159">
        <v>1.1108100999845101</v>
      </c>
      <c r="L159" t="s">
        <v>51</v>
      </c>
      <c r="M159">
        <v>7</v>
      </c>
      <c r="N159">
        <v>16</v>
      </c>
      <c r="O159">
        <v>156</v>
      </c>
      <c r="P159">
        <v>2</v>
      </c>
      <c r="Q159">
        <v>213.00322060001699</v>
      </c>
      <c r="V159">
        <v>212.993215700029</v>
      </c>
      <c r="W159">
        <v>213.00322060001699</v>
      </c>
      <c r="X159">
        <v>213.50387740001301</v>
      </c>
      <c r="Y159">
        <v>213.50387740001301</v>
      </c>
      <c r="Z159">
        <v>213.50387740001301</v>
      </c>
      <c r="AA159">
        <v>214.62324320000999</v>
      </c>
      <c r="AB159" t="s">
        <v>54</v>
      </c>
      <c r="AC159">
        <v>1</v>
      </c>
      <c r="AD159">
        <v>1.1108100999845101</v>
      </c>
      <c r="AE159" t="s">
        <v>51</v>
      </c>
      <c r="AJ159">
        <v>4</v>
      </c>
      <c r="AK159">
        <v>1</v>
      </c>
      <c r="AL159" t="s">
        <v>85</v>
      </c>
      <c r="AM159" t="s">
        <v>43</v>
      </c>
      <c r="AO159" t="s">
        <v>44</v>
      </c>
      <c r="AP159">
        <v>59.992644915568597</v>
      </c>
      <c r="AQ159" t="s">
        <v>86</v>
      </c>
    </row>
    <row r="160" spans="1:43" x14ac:dyDescent="0.3">
      <c r="A160" t="s">
        <v>71</v>
      </c>
      <c r="B160" t="s">
        <v>47</v>
      </c>
      <c r="C160" t="s">
        <v>48</v>
      </c>
      <c r="D160" t="s">
        <v>49</v>
      </c>
      <c r="E160" t="s">
        <v>50</v>
      </c>
      <c r="F160">
        <v>157</v>
      </c>
      <c r="G160">
        <v>17</v>
      </c>
      <c r="H160">
        <v>7</v>
      </c>
      <c r="I160" t="s">
        <v>50</v>
      </c>
      <c r="J160">
        <v>1</v>
      </c>
      <c r="K160">
        <v>0.52850179997039903</v>
      </c>
      <c r="L160" t="s">
        <v>51</v>
      </c>
      <c r="M160">
        <v>7</v>
      </c>
      <c r="N160">
        <v>17</v>
      </c>
      <c r="O160">
        <v>157</v>
      </c>
      <c r="P160">
        <v>15</v>
      </c>
      <c r="Q160">
        <v>214.63722440000799</v>
      </c>
      <c r="V160">
        <v>214.62587200000399</v>
      </c>
      <c r="W160">
        <v>214.63722440000799</v>
      </c>
      <c r="X160">
        <v>215.136564399988</v>
      </c>
      <c r="Y160">
        <v>215.136564399988</v>
      </c>
      <c r="Z160">
        <v>215.136564399988</v>
      </c>
      <c r="AA160">
        <v>215.673848200007</v>
      </c>
      <c r="AB160" t="s">
        <v>50</v>
      </c>
      <c r="AC160">
        <v>1</v>
      </c>
      <c r="AD160">
        <v>0.52850179997039903</v>
      </c>
      <c r="AE160" t="s">
        <v>51</v>
      </c>
      <c r="AJ160">
        <v>4</v>
      </c>
      <c r="AK160">
        <v>1</v>
      </c>
      <c r="AL160" t="s">
        <v>85</v>
      </c>
      <c r="AM160" t="s">
        <v>43</v>
      </c>
      <c r="AO160" t="s">
        <v>44</v>
      </c>
      <c r="AP160">
        <v>59.992644915568597</v>
      </c>
      <c r="AQ160" t="s">
        <v>86</v>
      </c>
    </row>
    <row r="161" spans="1:43" x14ac:dyDescent="0.3">
      <c r="A161" t="s">
        <v>65</v>
      </c>
      <c r="B161" t="s">
        <v>59</v>
      </c>
      <c r="C161" t="s">
        <v>56</v>
      </c>
      <c r="D161" t="s">
        <v>49</v>
      </c>
      <c r="E161" t="s">
        <v>57</v>
      </c>
      <c r="F161">
        <v>158</v>
      </c>
      <c r="G161">
        <v>18</v>
      </c>
      <c r="H161">
        <v>7</v>
      </c>
      <c r="I161" t="s">
        <v>57</v>
      </c>
      <c r="J161">
        <v>1</v>
      </c>
      <c r="K161">
        <v>0.62134900002274596</v>
      </c>
      <c r="L161" t="s">
        <v>51</v>
      </c>
      <c r="M161">
        <v>7</v>
      </c>
      <c r="N161">
        <v>18</v>
      </c>
      <c r="O161">
        <v>158</v>
      </c>
      <c r="P161">
        <v>9</v>
      </c>
      <c r="Q161">
        <v>215.686788799997</v>
      </c>
      <c r="V161">
        <v>215.676590099988</v>
      </c>
      <c r="W161">
        <v>215.686788799997</v>
      </c>
      <c r="X161">
        <v>216.187225100002</v>
      </c>
      <c r="Y161">
        <v>216.187225100002</v>
      </c>
      <c r="Z161">
        <v>216.187225100002</v>
      </c>
      <c r="AA161">
        <v>216.824158600007</v>
      </c>
      <c r="AB161" t="s">
        <v>57</v>
      </c>
      <c r="AC161">
        <v>1</v>
      </c>
      <c r="AD161">
        <v>0.62134900002274596</v>
      </c>
      <c r="AE161" t="s">
        <v>51</v>
      </c>
      <c r="AJ161">
        <v>4</v>
      </c>
      <c r="AK161">
        <v>1</v>
      </c>
      <c r="AL161" t="s">
        <v>85</v>
      </c>
      <c r="AM161" t="s">
        <v>43</v>
      </c>
      <c r="AO161" t="s">
        <v>44</v>
      </c>
      <c r="AP161">
        <v>59.992644915568597</v>
      </c>
      <c r="AQ161" t="s">
        <v>86</v>
      </c>
    </row>
    <row r="162" spans="1:43" x14ac:dyDescent="0.3">
      <c r="A162" t="s">
        <v>73</v>
      </c>
      <c r="B162" t="s">
        <v>59</v>
      </c>
      <c r="C162" t="s">
        <v>56</v>
      </c>
      <c r="D162" t="s">
        <v>49</v>
      </c>
      <c r="E162" t="s">
        <v>57</v>
      </c>
      <c r="F162">
        <v>159</v>
      </c>
      <c r="G162">
        <v>19</v>
      </c>
      <c r="H162">
        <v>7</v>
      </c>
      <c r="I162" t="s">
        <v>57</v>
      </c>
      <c r="J162">
        <v>1</v>
      </c>
      <c r="K162">
        <v>0.58317659999010996</v>
      </c>
      <c r="L162" t="s">
        <v>51</v>
      </c>
      <c r="M162">
        <v>7</v>
      </c>
      <c r="N162">
        <v>19</v>
      </c>
      <c r="O162">
        <v>159</v>
      </c>
      <c r="P162">
        <v>1</v>
      </c>
      <c r="Q162">
        <v>216.838254600006</v>
      </c>
      <c r="V162">
        <v>216.82671220001001</v>
      </c>
      <c r="W162">
        <v>216.838254600006</v>
      </c>
      <c r="X162">
        <v>217.337653100024</v>
      </c>
      <c r="Y162">
        <v>217.337653100024</v>
      </c>
      <c r="Z162">
        <v>217.337653100024</v>
      </c>
      <c r="AA162">
        <v>217.923642400011</v>
      </c>
      <c r="AB162" t="s">
        <v>57</v>
      </c>
      <c r="AC162">
        <v>1</v>
      </c>
      <c r="AD162">
        <v>0.58317659999010996</v>
      </c>
      <c r="AE162" t="s">
        <v>51</v>
      </c>
      <c r="AJ162">
        <v>4</v>
      </c>
      <c r="AK162">
        <v>1</v>
      </c>
      <c r="AL162" t="s">
        <v>85</v>
      </c>
      <c r="AM162" t="s">
        <v>43</v>
      </c>
      <c r="AO162" t="s">
        <v>44</v>
      </c>
      <c r="AP162">
        <v>59.992644915568597</v>
      </c>
      <c r="AQ162" t="s">
        <v>86</v>
      </c>
    </row>
    <row r="163" spans="1:43" x14ac:dyDescent="0.3">
      <c r="A163" t="s">
        <v>65</v>
      </c>
      <c r="B163" t="s">
        <v>59</v>
      </c>
      <c r="C163" t="s">
        <v>56</v>
      </c>
      <c r="D163" t="s">
        <v>49</v>
      </c>
      <c r="E163" t="s">
        <v>57</v>
      </c>
      <c r="F163">
        <v>160</v>
      </c>
      <c r="G163">
        <v>0</v>
      </c>
      <c r="H163">
        <v>8</v>
      </c>
      <c r="I163" t="s">
        <v>57</v>
      </c>
      <c r="J163">
        <v>1</v>
      </c>
      <c r="K163">
        <v>0.415267899981699</v>
      </c>
      <c r="L163" t="s">
        <v>51</v>
      </c>
      <c r="M163">
        <v>8</v>
      </c>
      <c r="N163">
        <v>0</v>
      </c>
      <c r="O163">
        <v>160</v>
      </c>
      <c r="P163">
        <v>9</v>
      </c>
      <c r="Q163">
        <v>217.936692200019</v>
      </c>
      <c r="V163">
        <v>217.926360499986</v>
      </c>
      <c r="W163">
        <v>217.936692200019</v>
      </c>
      <c r="X163">
        <v>218.437795699981</v>
      </c>
      <c r="Y163">
        <v>218.437795699981</v>
      </c>
      <c r="Z163">
        <v>218.437795699981</v>
      </c>
      <c r="AA163">
        <v>218.85743119998301</v>
      </c>
      <c r="AB163" t="s">
        <v>57</v>
      </c>
      <c r="AC163">
        <v>1</v>
      </c>
      <c r="AD163">
        <v>0.415267899981699</v>
      </c>
      <c r="AE163" t="s">
        <v>51</v>
      </c>
      <c r="AJ163">
        <v>4</v>
      </c>
      <c r="AK163">
        <v>1</v>
      </c>
      <c r="AL163" t="s">
        <v>85</v>
      </c>
      <c r="AM163" t="s">
        <v>43</v>
      </c>
      <c r="AO163" t="s">
        <v>44</v>
      </c>
      <c r="AP163">
        <v>59.992644915568597</v>
      </c>
      <c r="AQ163" t="s">
        <v>86</v>
      </c>
    </row>
    <row r="164" spans="1:43" x14ac:dyDescent="0.3">
      <c r="A164" t="s">
        <v>74</v>
      </c>
      <c r="B164" t="s">
        <v>47</v>
      </c>
      <c r="C164" t="s">
        <v>48</v>
      </c>
      <c r="D164" t="s">
        <v>49</v>
      </c>
      <c r="E164" t="s">
        <v>50</v>
      </c>
      <c r="F164">
        <v>161</v>
      </c>
      <c r="G164">
        <v>1</v>
      </c>
      <c r="H164">
        <v>8</v>
      </c>
      <c r="I164" t="s">
        <v>50</v>
      </c>
      <c r="J164">
        <v>1</v>
      </c>
      <c r="K164">
        <v>1.04733269999269</v>
      </c>
      <c r="L164" t="s">
        <v>51</v>
      </c>
      <c r="M164">
        <v>8</v>
      </c>
      <c r="N164">
        <v>1</v>
      </c>
      <c r="O164">
        <v>161</v>
      </c>
      <c r="P164">
        <v>11</v>
      </c>
      <c r="Q164">
        <v>218.86982070002699</v>
      </c>
      <c r="V164">
        <v>218.86169980000699</v>
      </c>
      <c r="W164">
        <v>218.86982070002699</v>
      </c>
      <c r="X164">
        <v>219.37036840000599</v>
      </c>
      <c r="Y164">
        <v>219.37036840000599</v>
      </c>
      <c r="Z164">
        <v>219.37036840000599</v>
      </c>
      <c r="AA164">
        <v>220.42469730001099</v>
      </c>
      <c r="AB164" t="s">
        <v>50</v>
      </c>
      <c r="AC164">
        <v>1</v>
      </c>
      <c r="AD164">
        <v>1.04733269999269</v>
      </c>
      <c r="AE164" t="s">
        <v>51</v>
      </c>
      <c r="AJ164">
        <v>4</v>
      </c>
      <c r="AK164">
        <v>1</v>
      </c>
      <c r="AL164" t="s">
        <v>85</v>
      </c>
      <c r="AM164" t="s">
        <v>43</v>
      </c>
      <c r="AO164" t="s">
        <v>44</v>
      </c>
      <c r="AP164">
        <v>59.992644915568597</v>
      </c>
      <c r="AQ164" t="s">
        <v>86</v>
      </c>
    </row>
    <row r="165" spans="1:43" x14ac:dyDescent="0.3">
      <c r="A165" t="s">
        <v>64</v>
      </c>
      <c r="B165" t="s">
        <v>47</v>
      </c>
      <c r="C165" t="s">
        <v>53</v>
      </c>
      <c r="D165" t="s">
        <v>49</v>
      </c>
      <c r="E165" t="s">
        <v>54</v>
      </c>
      <c r="F165">
        <v>162</v>
      </c>
      <c r="G165">
        <v>2</v>
      </c>
      <c r="H165">
        <v>8</v>
      </c>
      <c r="I165" t="s">
        <v>54</v>
      </c>
      <c r="J165">
        <v>1</v>
      </c>
      <c r="K165">
        <v>0.49031189997913299</v>
      </c>
      <c r="L165" t="s">
        <v>51</v>
      </c>
      <c r="M165">
        <v>8</v>
      </c>
      <c r="N165">
        <v>2</v>
      </c>
      <c r="O165">
        <v>162</v>
      </c>
      <c r="P165">
        <v>18</v>
      </c>
      <c r="Q165">
        <v>220.43723450001499</v>
      </c>
      <c r="V165">
        <v>220.42713879997601</v>
      </c>
      <c r="W165">
        <v>220.43723450001499</v>
      </c>
      <c r="X165">
        <v>220.937118500005</v>
      </c>
      <c r="Y165">
        <v>220.937118500005</v>
      </c>
      <c r="Z165">
        <v>220.937118500005</v>
      </c>
      <c r="AA165">
        <v>221.440214400005</v>
      </c>
      <c r="AB165" t="s">
        <v>54</v>
      </c>
      <c r="AC165">
        <v>1</v>
      </c>
      <c r="AD165">
        <v>0.49031189997913299</v>
      </c>
      <c r="AE165" t="s">
        <v>51</v>
      </c>
      <c r="AJ165">
        <v>4</v>
      </c>
      <c r="AK165">
        <v>1</v>
      </c>
      <c r="AL165" t="s">
        <v>85</v>
      </c>
      <c r="AM165" t="s">
        <v>43</v>
      </c>
      <c r="AO165" t="s">
        <v>44</v>
      </c>
      <c r="AP165">
        <v>59.992644915568597</v>
      </c>
      <c r="AQ165" t="s">
        <v>86</v>
      </c>
    </row>
    <row r="166" spans="1:43" x14ac:dyDescent="0.3">
      <c r="A166" t="s">
        <v>70</v>
      </c>
      <c r="B166" t="s">
        <v>59</v>
      </c>
      <c r="C166" t="s">
        <v>53</v>
      </c>
      <c r="D166" t="s">
        <v>49</v>
      </c>
      <c r="E166" t="s">
        <v>54</v>
      </c>
      <c r="F166">
        <v>163</v>
      </c>
      <c r="G166">
        <v>3</v>
      </c>
      <c r="H166">
        <v>8</v>
      </c>
      <c r="I166" t="s">
        <v>54</v>
      </c>
      <c r="J166">
        <v>1</v>
      </c>
      <c r="K166">
        <v>0.46427870000479698</v>
      </c>
      <c r="L166" t="s">
        <v>51</v>
      </c>
      <c r="M166">
        <v>8</v>
      </c>
      <c r="N166">
        <v>3</v>
      </c>
      <c r="O166">
        <v>163</v>
      </c>
      <c r="P166">
        <v>2</v>
      </c>
      <c r="Q166">
        <v>221.45332620001801</v>
      </c>
      <c r="V166">
        <v>221.443682299985</v>
      </c>
      <c r="W166">
        <v>221.45332620001801</v>
      </c>
      <c r="X166">
        <v>221.952867400017</v>
      </c>
      <c r="Y166">
        <v>221.952867400017</v>
      </c>
      <c r="Z166">
        <v>221.952867400017</v>
      </c>
      <c r="AA166">
        <v>222.42376869998401</v>
      </c>
      <c r="AB166" t="s">
        <v>54</v>
      </c>
      <c r="AC166">
        <v>1</v>
      </c>
      <c r="AD166">
        <v>0.46427870000479698</v>
      </c>
      <c r="AE166" t="s">
        <v>51</v>
      </c>
      <c r="AJ166">
        <v>4</v>
      </c>
      <c r="AK166">
        <v>1</v>
      </c>
      <c r="AL166" t="s">
        <v>85</v>
      </c>
      <c r="AM166" t="s">
        <v>43</v>
      </c>
      <c r="AO166" t="s">
        <v>44</v>
      </c>
      <c r="AP166">
        <v>59.992644915568597</v>
      </c>
      <c r="AQ166" t="s">
        <v>86</v>
      </c>
    </row>
    <row r="167" spans="1:43" x14ac:dyDescent="0.3">
      <c r="A167" t="s">
        <v>60</v>
      </c>
      <c r="B167" t="s">
        <v>59</v>
      </c>
      <c r="C167" t="s">
        <v>61</v>
      </c>
      <c r="D167" t="s">
        <v>62</v>
      </c>
      <c r="E167" t="s">
        <v>63</v>
      </c>
      <c r="F167">
        <v>164</v>
      </c>
      <c r="G167">
        <v>4</v>
      </c>
      <c r="H167">
        <v>8</v>
      </c>
      <c r="I167" t="s">
        <v>63</v>
      </c>
      <c r="J167">
        <v>1</v>
      </c>
      <c r="K167">
        <v>0.54781700001331002</v>
      </c>
      <c r="L167" t="s">
        <v>51</v>
      </c>
      <c r="M167">
        <v>8</v>
      </c>
      <c r="N167">
        <v>4</v>
      </c>
      <c r="O167">
        <v>164</v>
      </c>
      <c r="P167">
        <v>0</v>
      </c>
      <c r="Q167">
        <v>222.43618640000901</v>
      </c>
      <c r="V167">
        <v>222.426090100023</v>
      </c>
      <c r="W167">
        <v>222.43618640000901</v>
      </c>
      <c r="X167">
        <v>222.93575509998399</v>
      </c>
      <c r="Y167">
        <v>222.93575509998399</v>
      </c>
      <c r="Z167">
        <v>222.93575509998399</v>
      </c>
      <c r="AA167">
        <v>223.49011409998599</v>
      </c>
      <c r="AB167" t="s">
        <v>63</v>
      </c>
      <c r="AC167">
        <v>1</v>
      </c>
      <c r="AD167">
        <v>0.54781700001331002</v>
      </c>
      <c r="AE167" t="s">
        <v>51</v>
      </c>
      <c r="AJ167">
        <v>4</v>
      </c>
      <c r="AK167">
        <v>1</v>
      </c>
      <c r="AL167" t="s">
        <v>85</v>
      </c>
      <c r="AM167" t="s">
        <v>43</v>
      </c>
      <c r="AO167" t="s">
        <v>44</v>
      </c>
      <c r="AP167">
        <v>59.992644915568597</v>
      </c>
      <c r="AQ167" t="s">
        <v>86</v>
      </c>
    </row>
    <row r="168" spans="1:43" x14ac:dyDescent="0.3">
      <c r="A168" t="s">
        <v>58</v>
      </c>
      <c r="B168" t="s">
        <v>59</v>
      </c>
      <c r="C168" t="s">
        <v>48</v>
      </c>
      <c r="D168" t="s">
        <v>49</v>
      </c>
      <c r="E168" t="s">
        <v>50</v>
      </c>
      <c r="F168">
        <v>165</v>
      </c>
      <c r="G168">
        <v>5</v>
      </c>
      <c r="H168">
        <v>8</v>
      </c>
      <c r="I168" t="s">
        <v>50</v>
      </c>
      <c r="J168">
        <v>1</v>
      </c>
      <c r="K168">
        <v>0.677437500038649</v>
      </c>
      <c r="L168" t="s">
        <v>51</v>
      </c>
      <c r="M168">
        <v>8</v>
      </c>
      <c r="N168">
        <v>5</v>
      </c>
      <c r="O168">
        <v>165</v>
      </c>
      <c r="P168">
        <v>7</v>
      </c>
      <c r="Q168">
        <v>223.50353530002701</v>
      </c>
      <c r="V168">
        <v>223.493242900003</v>
      </c>
      <c r="W168">
        <v>223.50353530002701</v>
      </c>
      <c r="X168">
        <v>224.00372149999001</v>
      </c>
      <c r="Y168">
        <v>224.00372149999001</v>
      </c>
      <c r="Z168">
        <v>224.00372149999001</v>
      </c>
      <c r="AA168">
        <v>224.68981180002399</v>
      </c>
      <c r="AB168" t="s">
        <v>50</v>
      </c>
      <c r="AC168">
        <v>1</v>
      </c>
      <c r="AD168">
        <v>0.677437500038649</v>
      </c>
      <c r="AE168" t="s">
        <v>51</v>
      </c>
      <c r="AJ168">
        <v>4</v>
      </c>
      <c r="AK168">
        <v>1</v>
      </c>
      <c r="AL168" t="s">
        <v>85</v>
      </c>
      <c r="AM168" t="s">
        <v>43</v>
      </c>
      <c r="AO168" t="s">
        <v>44</v>
      </c>
      <c r="AP168">
        <v>59.992644915568597</v>
      </c>
      <c r="AQ168" t="s">
        <v>86</v>
      </c>
    </row>
    <row r="169" spans="1:43" x14ac:dyDescent="0.3">
      <c r="A169" t="s">
        <v>77</v>
      </c>
      <c r="B169" t="s">
        <v>59</v>
      </c>
      <c r="C169" t="s">
        <v>61</v>
      </c>
      <c r="D169" t="s">
        <v>62</v>
      </c>
      <c r="E169" t="s">
        <v>63</v>
      </c>
      <c r="F169">
        <v>166</v>
      </c>
      <c r="G169">
        <v>6</v>
      </c>
      <c r="H169">
        <v>8</v>
      </c>
      <c r="I169" t="s">
        <v>63</v>
      </c>
      <c r="J169">
        <v>1</v>
      </c>
      <c r="K169">
        <v>0.52257259999169003</v>
      </c>
      <c r="L169" t="s">
        <v>51</v>
      </c>
      <c r="M169">
        <v>8</v>
      </c>
      <c r="N169">
        <v>6</v>
      </c>
      <c r="O169">
        <v>166</v>
      </c>
      <c r="P169">
        <v>4</v>
      </c>
      <c r="Q169">
        <v>224.70310510002301</v>
      </c>
      <c r="V169">
        <v>224.69263459998101</v>
      </c>
      <c r="W169">
        <v>224.70310510002301</v>
      </c>
      <c r="X169">
        <v>225.203216900001</v>
      </c>
      <c r="Y169">
        <v>225.203216900001</v>
      </c>
      <c r="Z169">
        <v>225.203216900001</v>
      </c>
      <c r="AA169">
        <v>225.740671199979</v>
      </c>
      <c r="AB169" t="s">
        <v>63</v>
      </c>
      <c r="AC169">
        <v>1</v>
      </c>
      <c r="AD169">
        <v>0.52257259999169003</v>
      </c>
      <c r="AE169" t="s">
        <v>51</v>
      </c>
      <c r="AJ169">
        <v>4</v>
      </c>
      <c r="AK169">
        <v>1</v>
      </c>
      <c r="AL169" t="s">
        <v>85</v>
      </c>
      <c r="AM169" t="s">
        <v>43</v>
      </c>
      <c r="AO169" t="s">
        <v>44</v>
      </c>
      <c r="AP169">
        <v>59.992644915568597</v>
      </c>
      <c r="AQ169" t="s">
        <v>86</v>
      </c>
    </row>
    <row r="170" spans="1:43" x14ac:dyDescent="0.3">
      <c r="A170" t="s">
        <v>46</v>
      </c>
      <c r="B170" t="s">
        <v>47</v>
      </c>
      <c r="C170" t="s">
        <v>48</v>
      </c>
      <c r="D170" t="s">
        <v>49</v>
      </c>
      <c r="E170" t="s">
        <v>50</v>
      </c>
      <c r="F170">
        <v>167</v>
      </c>
      <c r="G170">
        <v>7</v>
      </c>
      <c r="H170">
        <v>8</v>
      </c>
      <c r="I170" t="s">
        <v>50</v>
      </c>
      <c r="J170">
        <v>1</v>
      </c>
      <c r="K170">
        <v>1.1190617000101999</v>
      </c>
      <c r="L170" t="s">
        <v>51</v>
      </c>
      <c r="M170">
        <v>8</v>
      </c>
      <c r="N170">
        <v>7</v>
      </c>
      <c r="O170">
        <v>167</v>
      </c>
      <c r="P170">
        <v>19</v>
      </c>
      <c r="Q170">
        <v>225.752980899997</v>
      </c>
      <c r="V170">
        <v>225.743171699985</v>
      </c>
      <c r="W170">
        <v>225.752980899997</v>
      </c>
      <c r="X170">
        <v>226.253425400005</v>
      </c>
      <c r="Y170">
        <v>226.253425400005</v>
      </c>
      <c r="Z170">
        <v>226.253425400005</v>
      </c>
      <c r="AA170">
        <v>227.37380000000101</v>
      </c>
      <c r="AB170" t="s">
        <v>50</v>
      </c>
      <c r="AC170">
        <v>1</v>
      </c>
      <c r="AD170">
        <v>1.1190617000101999</v>
      </c>
      <c r="AE170" t="s">
        <v>51</v>
      </c>
      <c r="AJ170">
        <v>4</v>
      </c>
      <c r="AK170">
        <v>1</v>
      </c>
      <c r="AL170" t="s">
        <v>85</v>
      </c>
      <c r="AM170" t="s">
        <v>43</v>
      </c>
      <c r="AO170" t="s">
        <v>44</v>
      </c>
      <c r="AP170">
        <v>59.992644915568597</v>
      </c>
      <c r="AQ170" t="s">
        <v>86</v>
      </c>
    </row>
    <row r="171" spans="1:43" x14ac:dyDescent="0.3">
      <c r="A171" t="s">
        <v>67</v>
      </c>
      <c r="B171" t="s">
        <v>47</v>
      </c>
      <c r="C171" t="s">
        <v>53</v>
      </c>
      <c r="D171" t="s">
        <v>49</v>
      </c>
      <c r="E171" t="s">
        <v>54</v>
      </c>
      <c r="F171">
        <v>168</v>
      </c>
      <c r="G171">
        <v>8</v>
      </c>
      <c r="H171">
        <v>8</v>
      </c>
      <c r="I171" t="s">
        <v>54</v>
      </c>
      <c r="J171">
        <v>1</v>
      </c>
      <c r="K171">
        <v>0.76330660004168704</v>
      </c>
      <c r="L171" t="s">
        <v>51</v>
      </c>
      <c r="M171">
        <v>8</v>
      </c>
      <c r="N171">
        <v>8</v>
      </c>
      <c r="O171">
        <v>168</v>
      </c>
      <c r="P171">
        <v>10</v>
      </c>
      <c r="Q171">
        <v>227.38629210001</v>
      </c>
      <c r="V171">
        <v>227.37709100003099</v>
      </c>
      <c r="W171">
        <v>227.38629210001</v>
      </c>
      <c r="X171">
        <v>227.88645270001101</v>
      </c>
      <c r="Y171">
        <v>227.88645270001101</v>
      </c>
      <c r="Z171">
        <v>227.88645270001101</v>
      </c>
      <c r="AA171">
        <v>228.656375900027</v>
      </c>
      <c r="AB171" t="s">
        <v>54</v>
      </c>
      <c r="AC171">
        <v>1</v>
      </c>
      <c r="AD171">
        <v>0.76330660004168704</v>
      </c>
      <c r="AE171" t="s">
        <v>51</v>
      </c>
      <c r="AJ171">
        <v>4</v>
      </c>
      <c r="AK171">
        <v>1</v>
      </c>
      <c r="AL171" t="s">
        <v>85</v>
      </c>
      <c r="AM171" t="s">
        <v>43</v>
      </c>
      <c r="AO171" t="s">
        <v>44</v>
      </c>
      <c r="AP171">
        <v>59.992644915568597</v>
      </c>
      <c r="AQ171" t="s">
        <v>86</v>
      </c>
    </row>
    <row r="172" spans="1:43" x14ac:dyDescent="0.3">
      <c r="A172" t="s">
        <v>68</v>
      </c>
      <c r="B172" t="s">
        <v>59</v>
      </c>
      <c r="C172" t="s">
        <v>53</v>
      </c>
      <c r="D172" t="s">
        <v>49</v>
      </c>
      <c r="E172" t="s">
        <v>54</v>
      </c>
      <c r="F172">
        <v>169</v>
      </c>
      <c r="G172">
        <v>9</v>
      </c>
      <c r="H172">
        <v>8</v>
      </c>
      <c r="I172" t="s">
        <v>54</v>
      </c>
      <c r="J172">
        <v>1</v>
      </c>
      <c r="K172">
        <v>0.50593770004343197</v>
      </c>
      <c r="L172" t="s">
        <v>51</v>
      </c>
      <c r="M172">
        <v>8</v>
      </c>
      <c r="N172">
        <v>9</v>
      </c>
      <c r="O172">
        <v>169</v>
      </c>
      <c r="P172">
        <v>6</v>
      </c>
      <c r="Q172">
        <v>228.66977510001701</v>
      </c>
      <c r="V172">
        <v>228.65900849999099</v>
      </c>
      <c r="W172">
        <v>228.66977510001701</v>
      </c>
      <c r="X172">
        <v>229.16941269999299</v>
      </c>
      <c r="Y172">
        <v>229.16941269999299</v>
      </c>
      <c r="Z172">
        <v>229.16941269999299</v>
      </c>
      <c r="AA172">
        <v>229.69002739997799</v>
      </c>
      <c r="AB172" t="s">
        <v>54</v>
      </c>
      <c r="AC172">
        <v>1</v>
      </c>
      <c r="AD172">
        <v>0.50593770004343197</v>
      </c>
      <c r="AE172" t="s">
        <v>51</v>
      </c>
      <c r="AJ172">
        <v>4</v>
      </c>
      <c r="AK172">
        <v>1</v>
      </c>
      <c r="AL172" t="s">
        <v>85</v>
      </c>
      <c r="AM172" t="s">
        <v>43</v>
      </c>
      <c r="AO172" t="s">
        <v>44</v>
      </c>
      <c r="AP172">
        <v>59.992644915568597</v>
      </c>
      <c r="AQ172" t="s">
        <v>86</v>
      </c>
    </row>
    <row r="173" spans="1:43" x14ac:dyDescent="0.3">
      <c r="A173" t="s">
        <v>55</v>
      </c>
      <c r="B173" t="s">
        <v>47</v>
      </c>
      <c r="C173" t="s">
        <v>56</v>
      </c>
      <c r="D173" t="s">
        <v>49</v>
      </c>
      <c r="E173" t="s">
        <v>57</v>
      </c>
      <c r="F173">
        <v>170</v>
      </c>
      <c r="G173">
        <v>10</v>
      </c>
      <c r="H173">
        <v>8</v>
      </c>
      <c r="I173" t="s">
        <v>57</v>
      </c>
      <c r="J173">
        <v>1</v>
      </c>
      <c r="K173">
        <v>0.64916199998697199</v>
      </c>
      <c r="L173" t="s">
        <v>51</v>
      </c>
      <c r="M173">
        <v>8</v>
      </c>
      <c r="N173">
        <v>10</v>
      </c>
      <c r="O173">
        <v>170</v>
      </c>
      <c r="P173">
        <v>13</v>
      </c>
      <c r="Q173">
        <v>229.70303380000399</v>
      </c>
      <c r="V173">
        <v>229.69258799997601</v>
      </c>
      <c r="W173">
        <v>229.70303380000399</v>
      </c>
      <c r="X173">
        <v>230.20264390000301</v>
      </c>
      <c r="Y173">
        <v>230.20264390000301</v>
      </c>
      <c r="Z173">
        <v>230.20264390000301</v>
      </c>
      <c r="AA173">
        <v>230.85735210002099</v>
      </c>
      <c r="AB173" t="s">
        <v>57</v>
      </c>
      <c r="AC173">
        <v>1</v>
      </c>
      <c r="AD173">
        <v>0.64916199998697199</v>
      </c>
      <c r="AE173" t="s">
        <v>51</v>
      </c>
      <c r="AJ173">
        <v>4</v>
      </c>
      <c r="AK173">
        <v>1</v>
      </c>
      <c r="AL173" t="s">
        <v>85</v>
      </c>
      <c r="AM173" t="s">
        <v>43</v>
      </c>
      <c r="AO173" t="s">
        <v>44</v>
      </c>
      <c r="AP173">
        <v>59.992644915568597</v>
      </c>
      <c r="AQ173" t="s">
        <v>86</v>
      </c>
    </row>
    <row r="174" spans="1:43" x14ac:dyDescent="0.3">
      <c r="A174" t="s">
        <v>72</v>
      </c>
      <c r="B174" t="s">
        <v>59</v>
      </c>
      <c r="C174" t="s">
        <v>61</v>
      </c>
      <c r="D174" t="s">
        <v>62</v>
      </c>
      <c r="E174" t="s">
        <v>63</v>
      </c>
      <c r="F174">
        <v>171</v>
      </c>
      <c r="G174">
        <v>11</v>
      </c>
      <c r="H174">
        <v>8</v>
      </c>
      <c r="I174" t="s">
        <v>63</v>
      </c>
      <c r="J174">
        <v>1</v>
      </c>
      <c r="K174">
        <v>0.52195170003687896</v>
      </c>
      <c r="L174" t="s">
        <v>51</v>
      </c>
      <c r="M174">
        <v>8</v>
      </c>
      <c r="N174">
        <v>11</v>
      </c>
      <c r="O174">
        <v>171</v>
      </c>
      <c r="P174">
        <v>8</v>
      </c>
      <c r="Q174">
        <v>230.869710300001</v>
      </c>
      <c r="V174">
        <v>230.859965200012</v>
      </c>
      <c r="W174">
        <v>230.869710300001</v>
      </c>
      <c r="X174">
        <v>231.36950059997599</v>
      </c>
      <c r="Y174">
        <v>231.36950059997599</v>
      </c>
      <c r="Z174">
        <v>231.36950059997599</v>
      </c>
      <c r="AA174">
        <v>231.90621759998601</v>
      </c>
      <c r="AB174" t="s">
        <v>63</v>
      </c>
      <c r="AC174">
        <v>1</v>
      </c>
      <c r="AD174">
        <v>0.52195170003687896</v>
      </c>
      <c r="AE174" t="s">
        <v>51</v>
      </c>
      <c r="AJ174">
        <v>4</v>
      </c>
      <c r="AK174">
        <v>1</v>
      </c>
      <c r="AL174" t="s">
        <v>85</v>
      </c>
      <c r="AM174" t="s">
        <v>43</v>
      </c>
      <c r="AO174" t="s">
        <v>44</v>
      </c>
      <c r="AP174">
        <v>59.992644915568597</v>
      </c>
      <c r="AQ174" t="s">
        <v>86</v>
      </c>
    </row>
    <row r="175" spans="1:43" x14ac:dyDescent="0.3">
      <c r="A175" t="s">
        <v>73</v>
      </c>
      <c r="B175" t="s">
        <v>59</v>
      </c>
      <c r="C175" t="s">
        <v>56</v>
      </c>
      <c r="D175" t="s">
        <v>49</v>
      </c>
      <c r="E175" t="s">
        <v>57</v>
      </c>
      <c r="F175">
        <v>172</v>
      </c>
      <c r="G175">
        <v>12</v>
      </c>
      <c r="H175">
        <v>8</v>
      </c>
      <c r="I175" t="s">
        <v>57</v>
      </c>
      <c r="J175">
        <v>1</v>
      </c>
      <c r="K175">
        <v>0.68553009995957803</v>
      </c>
      <c r="L175" t="s">
        <v>51</v>
      </c>
      <c r="M175">
        <v>8</v>
      </c>
      <c r="N175">
        <v>12</v>
      </c>
      <c r="O175">
        <v>172</v>
      </c>
      <c r="P175">
        <v>1</v>
      </c>
      <c r="Q175">
        <v>231.919116600009</v>
      </c>
      <c r="V175">
        <v>231.90862409997499</v>
      </c>
      <c r="W175">
        <v>231.919116600009</v>
      </c>
      <c r="X175">
        <v>232.41897910000901</v>
      </c>
      <c r="Y175">
        <v>232.41897910000901</v>
      </c>
      <c r="Z175">
        <v>232.41897910000901</v>
      </c>
      <c r="AA175">
        <v>233.10607789998099</v>
      </c>
      <c r="AB175" t="s">
        <v>57</v>
      </c>
      <c r="AC175">
        <v>1</v>
      </c>
      <c r="AD175">
        <v>0.68553009995957803</v>
      </c>
      <c r="AE175" t="s">
        <v>51</v>
      </c>
      <c r="AJ175">
        <v>4</v>
      </c>
      <c r="AK175">
        <v>1</v>
      </c>
      <c r="AL175" t="s">
        <v>85</v>
      </c>
      <c r="AM175" t="s">
        <v>43</v>
      </c>
      <c r="AO175" t="s">
        <v>44</v>
      </c>
      <c r="AP175">
        <v>59.992644915568597</v>
      </c>
      <c r="AQ175" t="s">
        <v>86</v>
      </c>
    </row>
    <row r="176" spans="1:43" x14ac:dyDescent="0.3">
      <c r="A176" t="s">
        <v>66</v>
      </c>
      <c r="B176" t="s">
        <v>47</v>
      </c>
      <c r="C176" t="s">
        <v>61</v>
      </c>
      <c r="D176" t="s">
        <v>49</v>
      </c>
      <c r="E176" t="s">
        <v>63</v>
      </c>
      <c r="F176">
        <v>173</v>
      </c>
      <c r="G176">
        <v>13</v>
      </c>
      <c r="H176">
        <v>8</v>
      </c>
      <c r="I176" t="s">
        <v>63</v>
      </c>
      <c r="J176">
        <v>1</v>
      </c>
      <c r="K176">
        <v>0.40430430002743301</v>
      </c>
      <c r="L176" t="s">
        <v>51</v>
      </c>
      <c r="M176">
        <v>8</v>
      </c>
      <c r="N176">
        <v>13</v>
      </c>
      <c r="O176">
        <v>173</v>
      </c>
      <c r="P176">
        <v>12</v>
      </c>
      <c r="Q176">
        <v>233.11969900003101</v>
      </c>
      <c r="V176">
        <v>233.108683100028</v>
      </c>
      <c r="W176">
        <v>233.11969900003101</v>
      </c>
      <c r="X176">
        <v>233.619471399986</v>
      </c>
      <c r="Y176">
        <v>233.619471399986</v>
      </c>
      <c r="Z176">
        <v>233.619471399986</v>
      </c>
      <c r="AA176">
        <v>234.03913490002699</v>
      </c>
      <c r="AB176" t="s">
        <v>63</v>
      </c>
      <c r="AC176">
        <v>1</v>
      </c>
      <c r="AD176">
        <v>0.40430430002743301</v>
      </c>
      <c r="AE176" t="s">
        <v>51</v>
      </c>
      <c r="AJ176">
        <v>4</v>
      </c>
      <c r="AK176">
        <v>1</v>
      </c>
      <c r="AL176" t="s">
        <v>85</v>
      </c>
      <c r="AM176" t="s">
        <v>43</v>
      </c>
      <c r="AO176" t="s">
        <v>44</v>
      </c>
      <c r="AP176">
        <v>59.992644915568597</v>
      </c>
      <c r="AQ176" t="s">
        <v>86</v>
      </c>
    </row>
    <row r="177" spans="1:43" x14ac:dyDescent="0.3">
      <c r="A177" t="s">
        <v>75</v>
      </c>
      <c r="B177" t="s">
        <v>47</v>
      </c>
      <c r="C177" t="s">
        <v>61</v>
      </c>
      <c r="D177" t="s">
        <v>49</v>
      </c>
      <c r="E177" t="s">
        <v>63</v>
      </c>
      <c r="F177">
        <v>174</v>
      </c>
      <c r="G177">
        <v>14</v>
      </c>
      <c r="H177">
        <v>8</v>
      </c>
      <c r="I177" t="s">
        <v>63</v>
      </c>
      <c r="J177">
        <v>1</v>
      </c>
      <c r="K177">
        <v>0.59179720003157799</v>
      </c>
      <c r="L177" t="s">
        <v>51</v>
      </c>
      <c r="M177">
        <v>8</v>
      </c>
      <c r="N177">
        <v>14</v>
      </c>
      <c r="O177">
        <v>174</v>
      </c>
      <c r="P177">
        <v>16</v>
      </c>
      <c r="Q177">
        <v>234.05248349998101</v>
      </c>
      <c r="V177">
        <v>234.04184030002199</v>
      </c>
      <c r="W177">
        <v>234.05248349998101</v>
      </c>
      <c r="X177">
        <v>234.55250520003</v>
      </c>
      <c r="Y177">
        <v>234.55250520003</v>
      </c>
      <c r="Z177">
        <v>234.55250520003</v>
      </c>
      <c r="AA177">
        <v>235.15649870003099</v>
      </c>
      <c r="AB177" t="s">
        <v>63</v>
      </c>
      <c r="AC177">
        <v>1</v>
      </c>
      <c r="AD177">
        <v>0.59179720003157799</v>
      </c>
      <c r="AE177" t="s">
        <v>51</v>
      </c>
      <c r="AJ177">
        <v>4</v>
      </c>
      <c r="AK177">
        <v>1</v>
      </c>
      <c r="AL177" t="s">
        <v>85</v>
      </c>
      <c r="AM177" t="s">
        <v>43</v>
      </c>
      <c r="AO177" t="s">
        <v>44</v>
      </c>
      <c r="AP177">
        <v>59.992644915568597</v>
      </c>
      <c r="AQ177" t="s">
        <v>86</v>
      </c>
    </row>
    <row r="178" spans="1:43" x14ac:dyDescent="0.3">
      <c r="A178" t="s">
        <v>52</v>
      </c>
      <c r="B178" t="s">
        <v>47</v>
      </c>
      <c r="C178" t="s">
        <v>53</v>
      </c>
      <c r="D178" t="s">
        <v>49</v>
      </c>
      <c r="E178" t="s">
        <v>54</v>
      </c>
      <c r="F178">
        <v>175</v>
      </c>
      <c r="G178">
        <v>15</v>
      </c>
      <c r="H178">
        <v>8</v>
      </c>
      <c r="I178" t="s">
        <v>50</v>
      </c>
      <c r="J178">
        <v>0</v>
      </c>
      <c r="K178">
        <v>0.895538899989333</v>
      </c>
      <c r="L178" t="s">
        <v>51</v>
      </c>
      <c r="M178">
        <v>8</v>
      </c>
      <c r="N178">
        <v>15</v>
      </c>
      <c r="O178">
        <v>175</v>
      </c>
      <c r="P178">
        <v>14</v>
      </c>
      <c r="Q178">
        <v>235.170122399984</v>
      </c>
      <c r="V178">
        <v>235.15921060001699</v>
      </c>
      <c r="W178">
        <v>235.170122399984</v>
      </c>
      <c r="X178">
        <v>235.669119699974</v>
      </c>
      <c r="Y178">
        <v>235.669119699974</v>
      </c>
      <c r="Z178">
        <v>235.669119699974</v>
      </c>
      <c r="AA178">
        <v>236.572731100022</v>
      </c>
      <c r="AB178" t="s">
        <v>50</v>
      </c>
      <c r="AC178">
        <v>0</v>
      </c>
      <c r="AD178">
        <v>0.895538899989333</v>
      </c>
      <c r="AE178" t="s">
        <v>51</v>
      </c>
      <c r="AJ178">
        <v>4</v>
      </c>
      <c r="AK178">
        <v>1</v>
      </c>
      <c r="AL178" t="s">
        <v>85</v>
      </c>
      <c r="AM178" t="s">
        <v>43</v>
      </c>
      <c r="AO178" t="s">
        <v>44</v>
      </c>
      <c r="AP178">
        <v>59.992644915568597</v>
      </c>
      <c r="AQ178" t="s">
        <v>86</v>
      </c>
    </row>
    <row r="179" spans="1:43" x14ac:dyDescent="0.3">
      <c r="A179" t="s">
        <v>78</v>
      </c>
      <c r="B179" t="s">
        <v>47</v>
      </c>
      <c r="C179" t="s">
        <v>56</v>
      </c>
      <c r="D179" t="s">
        <v>49</v>
      </c>
      <c r="E179" t="s">
        <v>57</v>
      </c>
      <c r="F179">
        <v>176</v>
      </c>
      <c r="G179">
        <v>16</v>
      </c>
      <c r="H179">
        <v>8</v>
      </c>
      <c r="I179" t="s">
        <v>57</v>
      </c>
      <c r="J179">
        <v>1</v>
      </c>
      <c r="K179">
        <v>0.78021510003600203</v>
      </c>
      <c r="L179" t="s">
        <v>51</v>
      </c>
      <c r="M179">
        <v>8</v>
      </c>
      <c r="N179">
        <v>16</v>
      </c>
      <c r="O179">
        <v>176</v>
      </c>
      <c r="P179">
        <v>17</v>
      </c>
      <c r="Q179">
        <v>236.585920499986</v>
      </c>
      <c r="V179">
        <v>236.575303399993</v>
      </c>
      <c r="W179">
        <v>236.585920499986</v>
      </c>
      <c r="X179">
        <v>237.08635579998301</v>
      </c>
      <c r="Y179">
        <v>237.08635579998301</v>
      </c>
      <c r="Z179">
        <v>237.08635579998301</v>
      </c>
      <c r="AA179">
        <v>237.873225799994</v>
      </c>
      <c r="AB179" t="s">
        <v>57</v>
      </c>
      <c r="AC179">
        <v>1</v>
      </c>
      <c r="AD179">
        <v>0.78021510003600203</v>
      </c>
      <c r="AE179" t="s">
        <v>51</v>
      </c>
      <c r="AJ179">
        <v>4</v>
      </c>
      <c r="AK179">
        <v>1</v>
      </c>
      <c r="AL179" t="s">
        <v>85</v>
      </c>
      <c r="AM179" t="s">
        <v>43</v>
      </c>
      <c r="AO179" t="s">
        <v>44</v>
      </c>
      <c r="AP179">
        <v>59.992644915568597</v>
      </c>
      <c r="AQ179" t="s">
        <v>86</v>
      </c>
    </row>
    <row r="180" spans="1:43" x14ac:dyDescent="0.3">
      <c r="A180" t="s">
        <v>76</v>
      </c>
      <c r="B180" t="s">
        <v>59</v>
      </c>
      <c r="C180" t="s">
        <v>48</v>
      </c>
      <c r="D180" t="s">
        <v>49</v>
      </c>
      <c r="E180" t="s">
        <v>50</v>
      </c>
      <c r="F180">
        <v>177</v>
      </c>
      <c r="G180">
        <v>17</v>
      </c>
      <c r="H180">
        <v>8</v>
      </c>
      <c r="I180" t="s">
        <v>50</v>
      </c>
      <c r="J180">
        <v>1</v>
      </c>
      <c r="K180">
        <v>0.84518180001759902</v>
      </c>
      <c r="L180" t="s">
        <v>51</v>
      </c>
      <c r="M180">
        <v>8</v>
      </c>
      <c r="N180">
        <v>17</v>
      </c>
      <c r="O180">
        <v>177</v>
      </c>
      <c r="P180">
        <v>3</v>
      </c>
      <c r="Q180">
        <v>237.885978800011</v>
      </c>
      <c r="V180">
        <v>237.87667570001199</v>
      </c>
      <c r="W180">
        <v>237.885978800011</v>
      </c>
      <c r="X180">
        <v>238.38611700001599</v>
      </c>
      <c r="Y180">
        <v>238.38611700001599</v>
      </c>
      <c r="Z180">
        <v>238.38611700001599</v>
      </c>
      <c r="AA180">
        <v>239.23890260001599</v>
      </c>
      <c r="AB180" t="s">
        <v>50</v>
      </c>
      <c r="AC180">
        <v>1</v>
      </c>
      <c r="AD180">
        <v>0.84518180001759902</v>
      </c>
      <c r="AE180" t="s">
        <v>51</v>
      </c>
      <c r="AJ180">
        <v>4</v>
      </c>
      <c r="AK180">
        <v>1</v>
      </c>
      <c r="AL180" t="s">
        <v>85</v>
      </c>
      <c r="AM180" t="s">
        <v>43</v>
      </c>
      <c r="AO180" t="s">
        <v>44</v>
      </c>
      <c r="AP180">
        <v>59.992644915568597</v>
      </c>
      <c r="AQ180" t="s">
        <v>86</v>
      </c>
    </row>
    <row r="181" spans="1:43" x14ac:dyDescent="0.3">
      <c r="A181" t="s">
        <v>71</v>
      </c>
      <c r="B181" t="s">
        <v>47</v>
      </c>
      <c r="C181" t="s">
        <v>48</v>
      </c>
      <c r="D181" t="s">
        <v>49</v>
      </c>
      <c r="E181" t="s">
        <v>50</v>
      </c>
      <c r="F181">
        <v>178</v>
      </c>
      <c r="G181">
        <v>18</v>
      </c>
      <c r="H181">
        <v>8</v>
      </c>
      <c r="I181" t="s">
        <v>50</v>
      </c>
      <c r="J181">
        <v>1</v>
      </c>
      <c r="K181">
        <v>0.60449650004738897</v>
      </c>
      <c r="L181" t="s">
        <v>51</v>
      </c>
      <c r="M181">
        <v>8</v>
      </c>
      <c r="N181">
        <v>18</v>
      </c>
      <c r="O181">
        <v>178</v>
      </c>
      <c r="P181">
        <v>15</v>
      </c>
      <c r="Q181">
        <v>239.25275400001499</v>
      </c>
      <c r="V181">
        <v>239.24141780001801</v>
      </c>
      <c r="W181">
        <v>239.25275400001499</v>
      </c>
      <c r="X181">
        <v>239.75220749998601</v>
      </c>
      <c r="Y181">
        <v>239.75220749998601</v>
      </c>
      <c r="Z181">
        <v>239.75220749998601</v>
      </c>
      <c r="AA181">
        <v>240.372582899988</v>
      </c>
      <c r="AB181" t="s">
        <v>50</v>
      </c>
      <c r="AC181">
        <v>1</v>
      </c>
      <c r="AD181">
        <v>0.60449650004738897</v>
      </c>
      <c r="AE181" t="s">
        <v>51</v>
      </c>
      <c r="AJ181">
        <v>4</v>
      </c>
      <c r="AK181">
        <v>1</v>
      </c>
      <c r="AL181" t="s">
        <v>85</v>
      </c>
      <c r="AM181" t="s">
        <v>43</v>
      </c>
      <c r="AO181" t="s">
        <v>44</v>
      </c>
      <c r="AP181">
        <v>59.992644915568597</v>
      </c>
      <c r="AQ181" t="s">
        <v>86</v>
      </c>
    </row>
    <row r="182" spans="1:43" x14ac:dyDescent="0.3">
      <c r="A182" t="s">
        <v>69</v>
      </c>
      <c r="B182" t="s">
        <v>59</v>
      </c>
      <c r="C182" t="s">
        <v>56</v>
      </c>
      <c r="D182" t="s">
        <v>49</v>
      </c>
      <c r="E182" t="s">
        <v>57</v>
      </c>
      <c r="F182">
        <v>179</v>
      </c>
      <c r="G182">
        <v>19</v>
      </c>
      <c r="H182">
        <v>8</v>
      </c>
      <c r="I182" t="s">
        <v>57</v>
      </c>
      <c r="J182">
        <v>1</v>
      </c>
      <c r="K182">
        <v>0.81945999996969399</v>
      </c>
      <c r="L182" t="s">
        <v>51</v>
      </c>
      <c r="M182">
        <v>8</v>
      </c>
      <c r="N182">
        <v>19</v>
      </c>
      <c r="O182">
        <v>179</v>
      </c>
      <c r="P182">
        <v>5</v>
      </c>
      <c r="Q182">
        <v>240.38580879999699</v>
      </c>
      <c r="V182">
        <v>240.37540949997401</v>
      </c>
      <c r="W182">
        <v>240.38580879999699</v>
      </c>
      <c r="X182">
        <v>240.885906199982</v>
      </c>
      <c r="Y182">
        <v>240.885906199982</v>
      </c>
      <c r="Z182">
        <v>240.885906199982</v>
      </c>
      <c r="AA182">
        <v>241.70650540001199</v>
      </c>
      <c r="AB182" t="s">
        <v>57</v>
      </c>
      <c r="AC182">
        <v>1</v>
      </c>
      <c r="AD182">
        <v>0.81945999996969399</v>
      </c>
      <c r="AE182" t="s">
        <v>51</v>
      </c>
      <c r="AJ182">
        <v>4</v>
      </c>
      <c r="AK182">
        <v>1</v>
      </c>
      <c r="AL182" t="s">
        <v>85</v>
      </c>
      <c r="AM182" t="s">
        <v>43</v>
      </c>
      <c r="AO182" t="s">
        <v>44</v>
      </c>
      <c r="AP182">
        <v>59.992644915568597</v>
      </c>
      <c r="AQ182" t="s">
        <v>86</v>
      </c>
    </row>
    <row r="183" spans="1:43" x14ac:dyDescent="0.3">
      <c r="A183" t="s">
        <v>78</v>
      </c>
      <c r="B183" t="s">
        <v>47</v>
      </c>
      <c r="C183" t="s">
        <v>56</v>
      </c>
      <c r="D183" t="s">
        <v>49</v>
      </c>
      <c r="E183" t="s">
        <v>57</v>
      </c>
      <c r="F183">
        <v>180</v>
      </c>
      <c r="G183">
        <v>0</v>
      </c>
      <c r="H183">
        <v>9</v>
      </c>
      <c r="I183" t="s">
        <v>57</v>
      </c>
      <c r="J183">
        <v>1</v>
      </c>
      <c r="K183">
        <v>0.44667650002520498</v>
      </c>
      <c r="L183" t="s">
        <v>51</v>
      </c>
      <c r="M183">
        <v>9</v>
      </c>
      <c r="N183">
        <v>0</v>
      </c>
      <c r="O183">
        <v>180</v>
      </c>
      <c r="P183">
        <v>17</v>
      </c>
      <c r="Q183">
        <v>241.71957170002801</v>
      </c>
      <c r="V183">
        <v>241.70893439999699</v>
      </c>
      <c r="W183">
        <v>241.71957170002801</v>
      </c>
      <c r="X183">
        <v>242.21925500000299</v>
      </c>
      <c r="Y183">
        <v>242.21925500000299</v>
      </c>
      <c r="Z183">
        <v>242.21925500000299</v>
      </c>
      <c r="AA183">
        <v>242.67341940000099</v>
      </c>
      <c r="AB183" t="s">
        <v>57</v>
      </c>
      <c r="AC183">
        <v>1</v>
      </c>
      <c r="AD183">
        <v>0.44667650002520498</v>
      </c>
      <c r="AE183" t="s">
        <v>51</v>
      </c>
      <c r="AJ183">
        <v>4</v>
      </c>
      <c r="AK183">
        <v>1</v>
      </c>
      <c r="AL183" t="s">
        <v>85</v>
      </c>
      <c r="AM183" t="s">
        <v>43</v>
      </c>
      <c r="AO183" t="s">
        <v>44</v>
      </c>
      <c r="AP183">
        <v>59.992644915568597</v>
      </c>
      <c r="AQ183" t="s">
        <v>86</v>
      </c>
    </row>
    <row r="184" spans="1:43" x14ac:dyDescent="0.3">
      <c r="A184" t="s">
        <v>64</v>
      </c>
      <c r="B184" t="s">
        <v>47</v>
      </c>
      <c r="C184" t="s">
        <v>53</v>
      </c>
      <c r="D184" t="s">
        <v>49</v>
      </c>
      <c r="E184" t="s">
        <v>54</v>
      </c>
      <c r="F184">
        <v>181</v>
      </c>
      <c r="G184">
        <v>1</v>
      </c>
      <c r="H184">
        <v>9</v>
      </c>
      <c r="I184" t="s">
        <v>54</v>
      </c>
      <c r="J184">
        <v>1</v>
      </c>
      <c r="K184">
        <v>0.99361210002098199</v>
      </c>
      <c r="L184" t="s">
        <v>51</v>
      </c>
      <c r="M184">
        <v>9</v>
      </c>
      <c r="N184">
        <v>1</v>
      </c>
      <c r="O184">
        <v>181</v>
      </c>
      <c r="P184">
        <v>18</v>
      </c>
      <c r="Q184">
        <v>242.68630110000899</v>
      </c>
      <c r="V184">
        <v>242.67669210000801</v>
      </c>
      <c r="W184">
        <v>242.68630110000899</v>
      </c>
      <c r="X184">
        <v>243.18630180001401</v>
      </c>
      <c r="Y184">
        <v>243.18630180001401</v>
      </c>
      <c r="Z184">
        <v>243.18630180001401</v>
      </c>
      <c r="AA184">
        <v>244.195685299986</v>
      </c>
      <c r="AB184" t="s">
        <v>54</v>
      </c>
      <c r="AC184">
        <v>1</v>
      </c>
      <c r="AD184">
        <v>0.99361210002098199</v>
      </c>
      <c r="AE184" t="s">
        <v>51</v>
      </c>
      <c r="AJ184">
        <v>4</v>
      </c>
      <c r="AK184">
        <v>1</v>
      </c>
      <c r="AL184" t="s">
        <v>85</v>
      </c>
      <c r="AM184" t="s">
        <v>43</v>
      </c>
      <c r="AO184" t="s">
        <v>44</v>
      </c>
      <c r="AP184">
        <v>59.992644915568597</v>
      </c>
      <c r="AQ184" t="s">
        <v>86</v>
      </c>
    </row>
    <row r="185" spans="1:43" x14ac:dyDescent="0.3">
      <c r="A185" t="s">
        <v>75</v>
      </c>
      <c r="B185" t="s">
        <v>47</v>
      </c>
      <c r="C185" t="s">
        <v>61</v>
      </c>
      <c r="D185" t="s">
        <v>49</v>
      </c>
      <c r="E185" t="s">
        <v>63</v>
      </c>
      <c r="F185">
        <v>182</v>
      </c>
      <c r="G185">
        <v>2</v>
      </c>
      <c r="H185">
        <v>9</v>
      </c>
      <c r="I185" t="s">
        <v>63</v>
      </c>
      <c r="J185">
        <v>1</v>
      </c>
      <c r="K185">
        <v>0.53437090001534604</v>
      </c>
      <c r="L185" t="s">
        <v>51</v>
      </c>
      <c r="M185">
        <v>9</v>
      </c>
      <c r="N185">
        <v>2</v>
      </c>
      <c r="O185">
        <v>182</v>
      </c>
      <c r="P185">
        <v>16</v>
      </c>
      <c r="Q185">
        <v>244.21794180001501</v>
      </c>
      <c r="V185">
        <v>244.19965030002601</v>
      </c>
      <c r="W185">
        <v>244.21794180001501</v>
      </c>
      <c r="X185">
        <v>244.70227800001101</v>
      </c>
      <c r="Y185">
        <v>244.70227800001101</v>
      </c>
      <c r="Z185">
        <v>244.70227800001101</v>
      </c>
      <c r="AA185">
        <v>245.24109610001301</v>
      </c>
      <c r="AB185" t="s">
        <v>63</v>
      </c>
      <c r="AC185">
        <v>1</v>
      </c>
      <c r="AD185">
        <v>0.53437090001534604</v>
      </c>
      <c r="AE185" t="s">
        <v>51</v>
      </c>
      <c r="AJ185">
        <v>4</v>
      </c>
      <c r="AK185">
        <v>1</v>
      </c>
      <c r="AL185" t="s">
        <v>85</v>
      </c>
      <c r="AM185" t="s">
        <v>43</v>
      </c>
      <c r="AO185" t="s">
        <v>44</v>
      </c>
      <c r="AP185">
        <v>59.992644915568597</v>
      </c>
      <c r="AQ185" t="s">
        <v>86</v>
      </c>
    </row>
    <row r="186" spans="1:43" x14ac:dyDescent="0.3">
      <c r="A186" t="s">
        <v>77</v>
      </c>
      <c r="B186" t="s">
        <v>59</v>
      </c>
      <c r="C186" t="s">
        <v>61</v>
      </c>
      <c r="D186" t="s">
        <v>62</v>
      </c>
      <c r="E186" t="s">
        <v>63</v>
      </c>
      <c r="F186">
        <v>183</v>
      </c>
      <c r="G186">
        <v>3</v>
      </c>
      <c r="H186">
        <v>9</v>
      </c>
      <c r="I186" t="s">
        <v>63</v>
      </c>
      <c r="J186">
        <v>1</v>
      </c>
      <c r="K186">
        <v>0.45794609998119901</v>
      </c>
      <c r="L186" t="s">
        <v>51</v>
      </c>
      <c r="M186">
        <v>9</v>
      </c>
      <c r="N186">
        <v>3</v>
      </c>
      <c r="O186">
        <v>183</v>
      </c>
      <c r="P186">
        <v>4</v>
      </c>
      <c r="Q186">
        <v>245.25209269998501</v>
      </c>
      <c r="V186">
        <v>245.24446299997999</v>
      </c>
      <c r="W186">
        <v>245.25209269998501</v>
      </c>
      <c r="X186">
        <v>245.75268350000201</v>
      </c>
      <c r="Y186">
        <v>245.75268350000201</v>
      </c>
      <c r="Z186">
        <v>245.75268350000201</v>
      </c>
      <c r="AA186">
        <v>246.22244590002799</v>
      </c>
      <c r="AB186" t="s">
        <v>63</v>
      </c>
      <c r="AC186">
        <v>1</v>
      </c>
      <c r="AD186">
        <v>0.45794609998119901</v>
      </c>
      <c r="AE186" t="s">
        <v>51</v>
      </c>
      <c r="AJ186">
        <v>4</v>
      </c>
      <c r="AK186">
        <v>1</v>
      </c>
      <c r="AL186" t="s">
        <v>85</v>
      </c>
      <c r="AM186" t="s">
        <v>43</v>
      </c>
      <c r="AO186" t="s">
        <v>44</v>
      </c>
      <c r="AP186">
        <v>59.992644915568597</v>
      </c>
      <c r="AQ186" t="s">
        <v>86</v>
      </c>
    </row>
    <row r="187" spans="1:43" x14ac:dyDescent="0.3">
      <c r="A187" t="s">
        <v>76</v>
      </c>
      <c r="B187" t="s">
        <v>59</v>
      </c>
      <c r="C187" t="s">
        <v>48</v>
      </c>
      <c r="D187" t="s">
        <v>49</v>
      </c>
      <c r="E187" t="s">
        <v>50</v>
      </c>
      <c r="F187">
        <v>184</v>
      </c>
      <c r="G187">
        <v>4</v>
      </c>
      <c r="H187">
        <v>9</v>
      </c>
      <c r="I187" t="s">
        <v>50</v>
      </c>
      <c r="J187">
        <v>1</v>
      </c>
      <c r="K187">
        <v>0.636460400011856</v>
      </c>
      <c r="L187" t="s">
        <v>51</v>
      </c>
      <c r="M187">
        <v>9</v>
      </c>
      <c r="N187">
        <v>4</v>
      </c>
      <c r="O187">
        <v>184</v>
      </c>
      <c r="P187">
        <v>3</v>
      </c>
      <c r="Q187">
        <v>246.23612299998001</v>
      </c>
      <c r="V187">
        <v>246.225039199984</v>
      </c>
      <c r="W187">
        <v>246.23612299998001</v>
      </c>
      <c r="X187">
        <v>246.73512430000099</v>
      </c>
      <c r="Y187">
        <v>246.73512430000099</v>
      </c>
      <c r="Z187">
        <v>246.73512430000099</v>
      </c>
      <c r="AA187">
        <v>247.37308699998499</v>
      </c>
      <c r="AB187" t="s">
        <v>50</v>
      </c>
      <c r="AC187">
        <v>1</v>
      </c>
      <c r="AD187">
        <v>0.636460400011856</v>
      </c>
      <c r="AE187" t="s">
        <v>51</v>
      </c>
      <c r="AJ187">
        <v>4</v>
      </c>
      <c r="AK187">
        <v>1</v>
      </c>
      <c r="AL187" t="s">
        <v>85</v>
      </c>
      <c r="AM187" t="s">
        <v>43</v>
      </c>
      <c r="AO187" t="s">
        <v>44</v>
      </c>
      <c r="AP187">
        <v>59.992644915568597</v>
      </c>
      <c r="AQ187" t="s">
        <v>86</v>
      </c>
    </row>
    <row r="188" spans="1:43" x14ac:dyDescent="0.3">
      <c r="A188" t="s">
        <v>68</v>
      </c>
      <c r="B188" t="s">
        <v>59</v>
      </c>
      <c r="C188" t="s">
        <v>53</v>
      </c>
      <c r="D188" t="s">
        <v>49</v>
      </c>
      <c r="E188" t="s">
        <v>54</v>
      </c>
      <c r="F188">
        <v>185</v>
      </c>
      <c r="G188">
        <v>5</v>
      </c>
      <c r="H188">
        <v>9</v>
      </c>
      <c r="I188" t="s">
        <v>54</v>
      </c>
      <c r="J188">
        <v>1</v>
      </c>
      <c r="K188">
        <v>0.78911309997783896</v>
      </c>
      <c r="L188" t="s">
        <v>51</v>
      </c>
      <c r="M188">
        <v>9</v>
      </c>
      <c r="N188">
        <v>5</v>
      </c>
      <c r="O188">
        <v>185</v>
      </c>
      <c r="P188">
        <v>6</v>
      </c>
      <c r="Q188">
        <v>247.38543349999199</v>
      </c>
      <c r="V188">
        <v>247.37725199997601</v>
      </c>
      <c r="W188">
        <v>247.38543349999199</v>
      </c>
      <c r="X188">
        <v>247.886390400002</v>
      </c>
      <c r="Y188">
        <v>247.886390400002</v>
      </c>
      <c r="Z188">
        <v>247.886390400002</v>
      </c>
      <c r="AA188">
        <v>248.68850649998001</v>
      </c>
      <c r="AB188" t="s">
        <v>54</v>
      </c>
      <c r="AC188">
        <v>1</v>
      </c>
      <c r="AD188">
        <v>0.78911309997783896</v>
      </c>
      <c r="AE188" t="s">
        <v>51</v>
      </c>
      <c r="AJ188">
        <v>4</v>
      </c>
      <c r="AK188">
        <v>1</v>
      </c>
      <c r="AL188" t="s">
        <v>85</v>
      </c>
      <c r="AM188" t="s">
        <v>43</v>
      </c>
      <c r="AO188" t="s">
        <v>44</v>
      </c>
      <c r="AP188">
        <v>59.992644915568597</v>
      </c>
      <c r="AQ188" t="s">
        <v>86</v>
      </c>
    </row>
    <row r="189" spans="1:43" x14ac:dyDescent="0.3">
      <c r="A189" t="s">
        <v>46</v>
      </c>
      <c r="B189" t="s">
        <v>47</v>
      </c>
      <c r="C189" t="s">
        <v>48</v>
      </c>
      <c r="D189" t="s">
        <v>49</v>
      </c>
      <c r="E189" t="s">
        <v>50</v>
      </c>
      <c r="F189">
        <v>186</v>
      </c>
      <c r="G189">
        <v>6</v>
      </c>
      <c r="H189">
        <v>9</v>
      </c>
      <c r="I189" t="s">
        <v>50</v>
      </c>
      <c r="J189">
        <v>1</v>
      </c>
      <c r="K189">
        <v>0.74307809997117102</v>
      </c>
      <c r="L189" t="s">
        <v>51</v>
      </c>
      <c r="M189">
        <v>9</v>
      </c>
      <c r="N189">
        <v>6</v>
      </c>
      <c r="O189">
        <v>186</v>
      </c>
      <c r="P189">
        <v>19</v>
      </c>
      <c r="Q189">
        <v>248.70036850002299</v>
      </c>
      <c r="V189">
        <v>248.691474999999</v>
      </c>
      <c r="W189">
        <v>248.70036850002299</v>
      </c>
      <c r="X189">
        <v>249.20066019997401</v>
      </c>
      <c r="Y189">
        <v>249.20066019997401</v>
      </c>
      <c r="Z189">
        <v>249.20066019997401</v>
      </c>
      <c r="AA189">
        <v>249.95573300000899</v>
      </c>
      <c r="AB189" t="s">
        <v>50</v>
      </c>
      <c r="AC189">
        <v>1</v>
      </c>
      <c r="AD189">
        <v>0.74307809997117102</v>
      </c>
      <c r="AE189" t="s">
        <v>51</v>
      </c>
      <c r="AJ189">
        <v>4</v>
      </c>
      <c r="AK189">
        <v>1</v>
      </c>
      <c r="AL189" t="s">
        <v>85</v>
      </c>
      <c r="AM189" t="s">
        <v>43</v>
      </c>
      <c r="AO189" t="s">
        <v>44</v>
      </c>
      <c r="AP189">
        <v>59.992644915568597</v>
      </c>
      <c r="AQ189" t="s">
        <v>86</v>
      </c>
    </row>
    <row r="190" spans="1:43" x14ac:dyDescent="0.3">
      <c r="A190" t="s">
        <v>60</v>
      </c>
      <c r="B190" t="s">
        <v>59</v>
      </c>
      <c r="C190" t="s">
        <v>61</v>
      </c>
      <c r="D190" t="s">
        <v>62</v>
      </c>
      <c r="E190" t="s">
        <v>63</v>
      </c>
      <c r="F190">
        <v>187</v>
      </c>
      <c r="G190">
        <v>7</v>
      </c>
      <c r="H190">
        <v>9</v>
      </c>
      <c r="I190" t="s">
        <v>63</v>
      </c>
      <c r="J190">
        <v>1</v>
      </c>
      <c r="K190">
        <v>0.48034370003733701</v>
      </c>
      <c r="L190" t="s">
        <v>51</v>
      </c>
      <c r="M190">
        <v>9</v>
      </c>
      <c r="N190">
        <v>7</v>
      </c>
      <c r="O190">
        <v>187</v>
      </c>
      <c r="P190">
        <v>0</v>
      </c>
      <c r="Q190">
        <v>249.96870630001601</v>
      </c>
      <c r="V190">
        <v>249.95818469999301</v>
      </c>
      <c r="W190">
        <v>249.96870630001601</v>
      </c>
      <c r="X190">
        <v>250.468379799975</v>
      </c>
      <c r="Y190">
        <v>250.468379799975</v>
      </c>
      <c r="Z190">
        <v>250.468379799975</v>
      </c>
      <c r="AA190">
        <v>250.95559299999101</v>
      </c>
      <c r="AB190" t="s">
        <v>63</v>
      </c>
      <c r="AC190">
        <v>1</v>
      </c>
      <c r="AD190">
        <v>0.48034370003733701</v>
      </c>
      <c r="AE190" t="s">
        <v>51</v>
      </c>
      <c r="AJ190">
        <v>4</v>
      </c>
      <c r="AK190">
        <v>1</v>
      </c>
      <c r="AL190" t="s">
        <v>85</v>
      </c>
      <c r="AM190" t="s">
        <v>43</v>
      </c>
      <c r="AO190" t="s">
        <v>44</v>
      </c>
      <c r="AP190">
        <v>59.992644915568597</v>
      </c>
      <c r="AQ190" t="s">
        <v>86</v>
      </c>
    </row>
    <row r="191" spans="1:43" x14ac:dyDescent="0.3">
      <c r="A191" t="s">
        <v>70</v>
      </c>
      <c r="B191" t="s">
        <v>59</v>
      </c>
      <c r="C191" t="s">
        <v>53</v>
      </c>
      <c r="D191" t="s">
        <v>49</v>
      </c>
      <c r="E191" t="s">
        <v>54</v>
      </c>
      <c r="F191">
        <v>188</v>
      </c>
      <c r="G191">
        <v>8</v>
      </c>
      <c r="H191">
        <v>9</v>
      </c>
      <c r="I191" t="s">
        <v>54</v>
      </c>
      <c r="J191">
        <v>1</v>
      </c>
      <c r="K191">
        <v>1.01978540001437</v>
      </c>
      <c r="L191" t="s">
        <v>51</v>
      </c>
      <c r="M191">
        <v>9</v>
      </c>
      <c r="N191">
        <v>8</v>
      </c>
      <c r="O191">
        <v>188</v>
      </c>
      <c r="P191">
        <v>2</v>
      </c>
      <c r="Q191">
        <v>250.96849579998499</v>
      </c>
      <c r="V191">
        <v>250.95909090002499</v>
      </c>
      <c r="W191">
        <v>250.96849579998499</v>
      </c>
      <c r="X191">
        <v>251.468909899995</v>
      </c>
      <c r="Y191">
        <v>251.468909899995</v>
      </c>
      <c r="Z191">
        <v>251.468909899995</v>
      </c>
      <c r="AA191">
        <v>252.506160799996</v>
      </c>
      <c r="AB191" t="s">
        <v>54</v>
      </c>
      <c r="AC191">
        <v>1</v>
      </c>
      <c r="AD191">
        <v>1.01978540001437</v>
      </c>
      <c r="AE191" t="s">
        <v>51</v>
      </c>
      <c r="AJ191">
        <v>4</v>
      </c>
      <c r="AK191">
        <v>1</v>
      </c>
      <c r="AL191" t="s">
        <v>85</v>
      </c>
      <c r="AM191" t="s">
        <v>43</v>
      </c>
      <c r="AO191" t="s">
        <v>44</v>
      </c>
      <c r="AP191">
        <v>59.992644915568597</v>
      </c>
      <c r="AQ191" t="s">
        <v>86</v>
      </c>
    </row>
    <row r="192" spans="1:43" x14ac:dyDescent="0.3">
      <c r="A192" t="s">
        <v>52</v>
      </c>
      <c r="B192" t="s">
        <v>47</v>
      </c>
      <c r="C192" t="s">
        <v>53</v>
      </c>
      <c r="D192" t="s">
        <v>49</v>
      </c>
      <c r="E192" t="s">
        <v>54</v>
      </c>
      <c r="F192">
        <v>189</v>
      </c>
      <c r="G192">
        <v>9</v>
      </c>
      <c r="H192">
        <v>9</v>
      </c>
      <c r="I192" t="s">
        <v>54</v>
      </c>
      <c r="J192">
        <v>1</v>
      </c>
      <c r="K192">
        <v>0.50974629999836896</v>
      </c>
      <c r="L192" t="s">
        <v>51</v>
      </c>
      <c r="M192">
        <v>9</v>
      </c>
      <c r="N192">
        <v>9</v>
      </c>
      <c r="O192">
        <v>189</v>
      </c>
      <c r="P192">
        <v>14</v>
      </c>
      <c r="Q192">
        <v>252.518769800022</v>
      </c>
      <c r="V192">
        <v>252.508641100022</v>
      </c>
      <c r="W192">
        <v>252.518769800022</v>
      </c>
      <c r="X192">
        <v>253.01864740002199</v>
      </c>
      <c r="Y192">
        <v>253.01864740002199</v>
      </c>
      <c r="Z192">
        <v>253.01864740002199</v>
      </c>
      <c r="AA192">
        <v>253.53856130002501</v>
      </c>
      <c r="AB192" t="s">
        <v>54</v>
      </c>
      <c r="AC192">
        <v>1</v>
      </c>
      <c r="AD192">
        <v>0.50974629999836896</v>
      </c>
      <c r="AE192" t="s">
        <v>51</v>
      </c>
      <c r="AJ192">
        <v>4</v>
      </c>
      <c r="AK192">
        <v>1</v>
      </c>
      <c r="AL192" t="s">
        <v>85</v>
      </c>
      <c r="AM192" t="s">
        <v>43</v>
      </c>
      <c r="AO192" t="s">
        <v>44</v>
      </c>
      <c r="AP192">
        <v>59.992644915568597</v>
      </c>
      <c r="AQ192" t="s">
        <v>86</v>
      </c>
    </row>
    <row r="193" spans="1:43" x14ac:dyDescent="0.3">
      <c r="A193" t="s">
        <v>65</v>
      </c>
      <c r="B193" t="s">
        <v>59</v>
      </c>
      <c r="C193" t="s">
        <v>56</v>
      </c>
      <c r="D193" t="s">
        <v>49</v>
      </c>
      <c r="E193" t="s">
        <v>57</v>
      </c>
      <c r="F193">
        <v>190</v>
      </c>
      <c r="G193">
        <v>10</v>
      </c>
      <c r="H193">
        <v>9</v>
      </c>
      <c r="I193" t="s">
        <v>57</v>
      </c>
      <c r="J193">
        <v>1</v>
      </c>
      <c r="K193">
        <v>0.67804710002383195</v>
      </c>
      <c r="L193" t="s">
        <v>51</v>
      </c>
      <c r="M193">
        <v>9</v>
      </c>
      <c r="N193">
        <v>10</v>
      </c>
      <c r="O193">
        <v>190</v>
      </c>
      <c r="P193">
        <v>9</v>
      </c>
      <c r="Q193">
        <v>253.55173629999601</v>
      </c>
      <c r="V193">
        <v>253.541233299998</v>
      </c>
      <c r="W193">
        <v>253.55173629999601</v>
      </c>
      <c r="X193">
        <v>254.05319469998301</v>
      </c>
      <c r="Y193">
        <v>254.05319469998301</v>
      </c>
      <c r="Z193">
        <v>254.05319469998301</v>
      </c>
      <c r="AA193">
        <v>254.73868750000801</v>
      </c>
      <c r="AB193" t="s">
        <v>57</v>
      </c>
      <c r="AC193">
        <v>1</v>
      </c>
      <c r="AD193">
        <v>0.67804710002383195</v>
      </c>
      <c r="AE193" t="s">
        <v>51</v>
      </c>
      <c r="AJ193">
        <v>4</v>
      </c>
      <c r="AK193">
        <v>1</v>
      </c>
      <c r="AL193" t="s">
        <v>85</v>
      </c>
      <c r="AM193" t="s">
        <v>43</v>
      </c>
      <c r="AO193" t="s">
        <v>44</v>
      </c>
      <c r="AP193">
        <v>59.992644915568597</v>
      </c>
      <c r="AQ193" t="s">
        <v>86</v>
      </c>
    </row>
    <row r="194" spans="1:43" x14ac:dyDescent="0.3">
      <c r="A194" t="s">
        <v>66</v>
      </c>
      <c r="B194" t="s">
        <v>47</v>
      </c>
      <c r="C194" t="s">
        <v>61</v>
      </c>
      <c r="D194" t="s">
        <v>49</v>
      </c>
      <c r="E194" t="s">
        <v>63</v>
      </c>
      <c r="F194">
        <v>191</v>
      </c>
      <c r="G194">
        <v>11</v>
      </c>
      <c r="H194">
        <v>9</v>
      </c>
      <c r="I194" t="s">
        <v>63</v>
      </c>
      <c r="J194">
        <v>1</v>
      </c>
      <c r="K194">
        <v>0.63033779995748696</v>
      </c>
      <c r="L194" t="s">
        <v>51</v>
      </c>
      <c r="M194">
        <v>9</v>
      </c>
      <c r="N194">
        <v>11</v>
      </c>
      <c r="O194">
        <v>191</v>
      </c>
      <c r="P194">
        <v>12</v>
      </c>
      <c r="Q194">
        <v>254.751760600018</v>
      </c>
      <c r="V194">
        <v>254.741298599983</v>
      </c>
      <c r="W194">
        <v>254.751760600018</v>
      </c>
      <c r="X194">
        <v>255.251981400011</v>
      </c>
      <c r="Y194">
        <v>255.251981400011</v>
      </c>
      <c r="Z194">
        <v>255.251981400011</v>
      </c>
      <c r="AA194">
        <v>255.889609400008</v>
      </c>
      <c r="AB194" t="s">
        <v>63</v>
      </c>
      <c r="AC194">
        <v>1</v>
      </c>
      <c r="AD194">
        <v>0.63033779995748696</v>
      </c>
      <c r="AE194" t="s">
        <v>51</v>
      </c>
      <c r="AJ194">
        <v>4</v>
      </c>
      <c r="AK194">
        <v>1</v>
      </c>
      <c r="AL194" t="s">
        <v>85</v>
      </c>
      <c r="AM194" t="s">
        <v>43</v>
      </c>
      <c r="AO194" t="s">
        <v>44</v>
      </c>
      <c r="AP194">
        <v>59.992644915568597</v>
      </c>
      <c r="AQ194" t="s">
        <v>86</v>
      </c>
    </row>
    <row r="195" spans="1:43" x14ac:dyDescent="0.3">
      <c r="A195" t="s">
        <v>67</v>
      </c>
      <c r="B195" t="s">
        <v>47</v>
      </c>
      <c r="C195" t="s">
        <v>53</v>
      </c>
      <c r="D195" t="s">
        <v>49</v>
      </c>
      <c r="E195" t="s">
        <v>54</v>
      </c>
      <c r="F195">
        <v>192</v>
      </c>
      <c r="G195">
        <v>12</v>
      </c>
      <c r="H195">
        <v>9</v>
      </c>
      <c r="I195" t="s">
        <v>54</v>
      </c>
      <c r="J195">
        <v>1</v>
      </c>
      <c r="K195">
        <v>0.63617099996190496</v>
      </c>
      <c r="L195" t="s">
        <v>51</v>
      </c>
      <c r="M195">
        <v>9</v>
      </c>
      <c r="N195">
        <v>12</v>
      </c>
      <c r="O195">
        <v>192</v>
      </c>
      <c r="P195">
        <v>10</v>
      </c>
      <c r="Q195">
        <v>255.90145120001301</v>
      </c>
      <c r="V195">
        <v>255.891999199986</v>
      </c>
      <c r="W195">
        <v>255.90145120001301</v>
      </c>
      <c r="X195">
        <v>256.401664500008</v>
      </c>
      <c r="Y195">
        <v>256.401664500008</v>
      </c>
      <c r="Z195">
        <v>256.401664500008</v>
      </c>
      <c r="AA195">
        <v>257.03943140001502</v>
      </c>
      <c r="AB195" t="s">
        <v>54</v>
      </c>
      <c r="AC195">
        <v>1</v>
      </c>
      <c r="AD195">
        <v>0.63617099996190496</v>
      </c>
      <c r="AE195" t="s">
        <v>51</v>
      </c>
      <c r="AJ195">
        <v>4</v>
      </c>
      <c r="AK195">
        <v>1</v>
      </c>
      <c r="AL195" t="s">
        <v>85</v>
      </c>
      <c r="AM195" t="s">
        <v>43</v>
      </c>
      <c r="AO195" t="s">
        <v>44</v>
      </c>
      <c r="AP195">
        <v>59.992644915568597</v>
      </c>
      <c r="AQ195" t="s">
        <v>86</v>
      </c>
    </row>
    <row r="196" spans="1:43" x14ac:dyDescent="0.3">
      <c r="A196" t="s">
        <v>71</v>
      </c>
      <c r="B196" t="s">
        <v>47</v>
      </c>
      <c r="C196" t="s">
        <v>48</v>
      </c>
      <c r="D196" t="s">
        <v>49</v>
      </c>
      <c r="E196" t="s">
        <v>50</v>
      </c>
      <c r="F196">
        <v>193</v>
      </c>
      <c r="G196">
        <v>13</v>
      </c>
      <c r="H196">
        <v>9</v>
      </c>
      <c r="I196" t="s">
        <v>50</v>
      </c>
      <c r="J196">
        <v>1</v>
      </c>
      <c r="K196">
        <v>0.91785879997769304</v>
      </c>
      <c r="L196" t="s">
        <v>51</v>
      </c>
      <c r="M196">
        <v>9</v>
      </c>
      <c r="N196">
        <v>13</v>
      </c>
      <c r="O196">
        <v>193</v>
      </c>
      <c r="P196">
        <v>15</v>
      </c>
      <c r="Q196">
        <v>257.05233640002501</v>
      </c>
      <c r="V196">
        <v>257.04201690002799</v>
      </c>
      <c r="W196">
        <v>257.05233640002501</v>
      </c>
      <c r="X196">
        <v>257.55131070001499</v>
      </c>
      <c r="Y196">
        <v>257.55131070001499</v>
      </c>
      <c r="Z196">
        <v>257.55131070001499</v>
      </c>
      <c r="AA196">
        <v>258.47203020000597</v>
      </c>
      <c r="AB196" t="s">
        <v>50</v>
      </c>
      <c r="AC196">
        <v>1</v>
      </c>
      <c r="AD196">
        <v>0.91785879997769304</v>
      </c>
      <c r="AE196" t="s">
        <v>51</v>
      </c>
      <c r="AJ196">
        <v>4</v>
      </c>
      <c r="AK196">
        <v>1</v>
      </c>
      <c r="AL196" t="s">
        <v>85</v>
      </c>
      <c r="AM196" t="s">
        <v>43</v>
      </c>
      <c r="AO196" t="s">
        <v>44</v>
      </c>
      <c r="AP196">
        <v>59.992644915568597</v>
      </c>
      <c r="AQ196" t="s">
        <v>86</v>
      </c>
    </row>
    <row r="197" spans="1:43" x14ac:dyDescent="0.3">
      <c r="A197" t="s">
        <v>69</v>
      </c>
      <c r="B197" t="s">
        <v>59</v>
      </c>
      <c r="C197" t="s">
        <v>56</v>
      </c>
      <c r="D197" t="s">
        <v>49</v>
      </c>
      <c r="E197" t="s">
        <v>57</v>
      </c>
      <c r="F197">
        <v>194</v>
      </c>
      <c r="G197">
        <v>14</v>
      </c>
      <c r="H197">
        <v>9</v>
      </c>
      <c r="I197" t="s">
        <v>57</v>
      </c>
      <c r="J197">
        <v>1</v>
      </c>
      <c r="K197">
        <v>1.24959679995663</v>
      </c>
      <c r="L197" t="s">
        <v>51</v>
      </c>
      <c r="M197">
        <v>9</v>
      </c>
      <c r="N197">
        <v>14</v>
      </c>
      <c r="O197">
        <v>194</v>
      </c>
      <c r="P197">
        <v>5</v>
      </c>
      <c r="Q197">
        <v>258.48494210001002</v>
      </c>
      <c r="V197">
        <v>258.47542799997598</v>
      </c>
      <c r="W197">
        <v>258.48494210001002</v>
      </c>
      <c r="X197">
        <v>258.98510879999901</v>
      </c>
      <c r="Y197">
        <v>258.98510879999901</v>
      </c>
      <c r="Z197">
        <v>258.98510879999901</v>
      </c>
      <c r="AA197">
        <v>260.23931600002101</v>
      </c>
      <c r="AB197" t="s">
        <v>57</v>
      </c>
      <c r="AC197">
        <v>1</v>
      </c>
      <c r="AD197">
        <v>1.24959679995663</v>
      </c>
      <c r="AE197" t="s">
        <v>51</v>
      </c>
      <c r="AJ197">
        <v>4</v>
      </c>
      <c r="AK197">
        <v>1</v>
      </c>
      <c r="AL197" t="s">
        <v>85</v>
      </c>
      <c r="AM197" t="s">
        <v>43</v>
      </c>
      <c r="AO197" t="s">
        <v>44</v>
      </c>
      <c r="AP197">
        <v>59.992644915568597</v>
      </c>
      <c r="AQ197" t="s">
        <v>86</v>
      </c>
    </row>
    <row r="198" spans="1:43" x14ac:dyDescent="0.3">
      <c r="A198" t="s">
        <v>58</v>
      </c>
      <c r="B198" t="s">
        <v>59</v>
      </c>
      <c r="C198" t="s">
        <v>48</v>
      </c>
      <c r="D198" t="s">
        <v>49</v>
      </c>
      <c r="E198" t="s">
        <v>50</v>
      </c>
      <c r="F198">
        <v>195</v>
      </c>
      <c r="G198">
        <v>15</v>
      </c>
      <c r="H198">
        <v>9</v>
      </c>
      <c r="I198" t="s">
        <v>50</v>
      </c>
      <c r="J198">
        <v>1</v>
      </c>
      <c r="K198">
        <v>1.12182749999919</v>
      </c>
      <c r="L198" t="s">
        <v>51</v>
      </c>
      <c r="M198">
        <v>9</v>
      </c>
      <c r="N198">
        <v>15</v>
      </c>
      <c r="O198">
        <v>195</v>
      </c>
      <c r="P198">
        <v>7</v>
      </c>
      <c r="Q198">
        <v>260.25197270000302</v>
      </c>
      <c r="V198">
        <v>260.24210859998101</v>
      </c>
      <c r="W198">
        <v>260.25197270000302</v>
      </c>
      <c r="X198">
        <v>260.75205730000698</v>
      </c>
      <c r="Y198">
        <v>260.75205730000698</v>
      </c>
      <c r="Z198">
        <v>260.75205730000698</v>
      </c>
      <c r="AA198">
        <v>261.89038340002298</v>
      </c>
      <c r="AB198" t="s">
        <v>50</v>
      </c>
      <c r="AC198">
        <v>1</v>
      </c>
      <c r="AD198">
        <v>1.12182749999919</v>
      </c>
      <c r="AE198" t="s">
        <v>51</v>
      </c>
      <c r="AJ198">
        <v>4</v>
      </c>
      <c r="AK198">
        <v>1</v>
      </c>
      <c r="AL198" t="s">
        <v>85</v>
      </c>
      <c r="AM198" t="s">
        <v>43</v>
      </c>
      <c r="AO198" t="s">
        <v>44</v>
      </c>
      <c r="AP198">
        <v>59.992644915568597</v>
      </c>
      <c r="AQ198" t="s">
        <v>86</v>
      </c>
    </row>
    <row r="199" spans="1:43" x14ac:dyDescent="0.3">
      <c r="A199" t="s">
        <v>74</v>
      </c>
      <c r="B199" t="s">
        <v>47</v>
      </c>
      <c r="C199" t="s">
        <v>48</v>
      </c>
      <c r="D199" t="s">
        <v>49</v>
      </c>
      <c r="E199" t="s">
        <v>50</v>
      </c>
      <c r="F199">
        <v>196</v>
      </c>
      <c r="G199">
        <v>16</v>
      </c>
      <c r="H199">
        <v>9</v>
      </c>
      <c r="I199" t="s">
        <v>50</v>
      </c>
      <c r="J199">
        <v>1</v>
      </c>
      <c r="K199">
        <v>0.56700869998894599</v>
      </c>
      <c r="L199" t="s">
        <v>51</v>
      </c>
      <c r="M199">
        <v>9</v>
      </c>
      <c r="N199">
        <v>16</v>
      </c>
      <c r="O199">
        <v>196</v>
      </c>
      <c r="P199">
        <v>11</v>
      </c>
      <c r="Q199">
        <v>261.90109900000903</v>
      </c>
      <c r="V199">
        <v>261.89387339999598</v>
      </c>
      <c r="W199">
        <v>261.90109900000903</v>
      </c>
      <c r="X199">
        <v>262.40201850002597</v>
      </c>
      <c r="Y199">
        <v>262.40201850002597</v>
      </c>
      <c r="Z199">
        <v>262.40201850002597</v>
      </c>
      <c r="AA199">
        <v>262.97228159999901</v>
      </c>
      <c r="AB199" t="s">
        <v>50</v>
      </c>
      <c r="AC199">
        <v>1</v>
      </c>
      <c r="AD199">
        <v>0.56700869998894599</v>
      </c>
      <c r="AE199" t="s">
        <v>51</v>
      </c>
      <c r="AJ199">
        <v>4</v>
      </c>
      <c r="AK199">
        <v>1</v>
      </c>
      <c r="AL199" t="s">
        <v>85</v>
      </c>
      <c r="AM199" t="s">
        <v>43</v>
      </c>
      <c r="AO199" t="s">
        <v>44</v>
      </c>
      <c r="AP199">
        <v>59.992644915568597</v>
      </c>
      <c r="AQ199" t="s">
        <v>86</v>
      </c>
    </row>
    <row r="200" spans="1:43" x14ac:dyDescent="0.3">
      <c r="A200" t="s">
        <v>55</v>
      </c>
      <c r="B200" t="s">
        <v>47</v>
      </c>
      <c r="C200" t="s">
        <v>56</v>
      </c>
      <c r="D200" t="s">
        <v>49</v>
      </c>
      <c r="E200" t="s">
        <v>57</v>
      </c>
      <c r="F200">
        <v>197</v>
      </c>
      <c r="G200">
        <v>17</v>
      </c>
      <c r="H200">
        <v>9</v>
      </c>
      <c r="I200" t="s">
        <v>57</v>
      </c>
      <c r="J200">
        <v>1</v>
      </c>
      <c r="K200">
        <v>0.85745190002489802</v>
      </c>
      <c r="L200" t="s">
        <v>51</v>
      </c>
      <c r="M200">
        <v>9</v>
      </c>
      <c r="N200">
        <v>17</v>
      </c>
      <c r="O200">
        <v>197</v>
      </c>
      <c r="P200">
        <v>13</v>
      </c>
      <c r="Q200">
        <v>262.984783800027</v>
      </c>
      <c r="V200">
        <v>262.97504380001902</v>
      </c>
      <c r="W200">
        <v>262.984783800027</v>
      </c>
      <c r="X200">
        <v>263.48512800002902</v>
      </c>
      <c r="Y200">
        <v>263.48512800002902</v>
      </c>
      <c r="Z200">
        <v>263.48512800002902</v>
      </c>
      <c r="AA200">
        <v>264.355455300014</v>
      </c>
      <c r="AB200" t="s">
        <v>57</v>
      </c>
      <c r="AC200">
        <v>1</v>
      </c>
      <c r="AD200">
        <v>0.85745190002489802</v>
      </c>
      <c r="AE200" t="s">
        <v>51</v>
      </c>
      <c r="AJ200">
        <v>4</v>
      </c>
      <c r="AK200">
        <v>1</v>
      </c>
      <c r="AL200" t="s">
        <v>85</v>
      </c>
      <c r="AM200" t="s">
        <v>43</v>
      </c>
      <c r="AO200" t="s">
        <v>44</v>
      </c>
      <c r="AP200">
        <v>59.992644915568597</v>
      </c>
      <c r="AQ200" t="s">
        <v>86</v>
      </c>
    </row>
    <row r="201" spans="1:43" x14ac:dyDescent="0.3">
      <c r="A201" t="s">
        <v>73</v>
      </c>
      <c r="B201" t="s">
        <v>59</v>
      </c>
      <c r="C201" t="s">
        <v>56</v>
      </c>
      <c r="D201" t="s">
        <v>49</v>
      </c>
      <c r="E201" t="s">
        <v>57</v>
      </c>
      <c r="F201">
        <v>198</v>
      </c>
      <c r="G201">
        <v>18</v>
      </c>
      <c r="H201">
        <v>9</v>
      </c>
      <c r="I201" t="s">
        <v>57</v>
      </c>
      <c r="J201">
        <v>1</v>
      </c>
      <c r="K201">
        <v>0.73304399999324199</v>
      </c>
      <c r="L201" t="s">
        <v>51</v>
      </c>
      <c r="M201">
        <v>9</v>
      </c>
      <c r="N201">
        <v>18</v>
      </c>
      <c r="O201">
        <v>198</v>
      </c>
      <c r="P201">
        <v>1</v>
      </c>
      <c r="Q201">
        <v>264.36835669999698</v>
      </c>
      <c r="V201">
        <v>264.359171800024</v>
      </c>
      <c r="W201">
        <v>264.36835669999698</v>
      </c>
      <c r="X201">
        <v>264.86823830002601</v>
      </c>
      <c r="Y201">
        <v>264.86823830002601</v>
      </c>
      <c r="Z201">
        <v>264.86823830002601</v>
      </c>
      <c r="AA201">
        <v>265.60549390001597</v>
      </c>
      <c r="AB201" t="s">
        <v>57</v>
      </c>
      <c r="AC201">
        <v>1</v>
      </c>
      <c r="AD201">
        <v>0.73304399999324199</v>
      </c>
      <c r="AE201" t="s">
        <v>51</v>
      </c>
      <c r="AJ201">
        <v>4</v>
      </c>
      <c r="AK201">
        <v>1</v>
      </c>
      <c r="AL201" t="s">
        <v>85</v>
      </c>
      <c r="AM201" t="s">
        <v>43</v>
      </c>
      <c r="AO201" t="s">
        <v>44</v>
      </c>
      <c r="AP201">
        <v>59.992644915568597</v>
      </c>
      <c r="AQ201" t="s">
        <v>86</v>
      </c>
    </row>
    <row r="202" spans="1:43" x14ac:dyDescent="0.3">
      <c r="A202" t="s">
        <v>72</v>
      </c>
      <c r="B202" t="s">
        <v>59</v>
      </c>
      <c r="C202" t="s">
        <v>61</v>
      </c>
      <c r="D202" t="s">
        <v>62</v>
      </c>
      <c r="E202" t="s">
        <v>63</v>
      </c>
      <c r="F202">
        <v>199</v>
      </c>
      <c r="G202">
        <v>19</v>
      </c>
      <c r="H202">
        <v>9</v>
      </c>
      <c r="I202" t="s">
        <v>63</v>
      </c>
      <c r="J202">
        <v>1</v>
      </c>
      <c r="K202">
        <v>0.56190390000119805</v>
      </c>
      <c r="L202" t="s">
        <v>51</v>
      </c>
      <c r="M202">
        <v>9</v>
      </c>
      <c r="N202">
        <v>19</v>
      </c>
      <c r="O202">
        <v>199</v>
      </c>
      <c r="P202">
        <v>8</v>
      </c>
      <c r="Q202">
        <v>265.61765400000098</v>
      </c>
      <c r="V202">
        <v>265.608613400021</v>
      </c>
      <c r="W202">
        <v>265.61765400000098</v>
      </c>
      <c r="X202">
        <v>266.118366800015</v>
      </c>
      <c r="Y202">
        <v>266.118366800015</v>
      </c>
      <c r="Z202">
        <v>266.118366800015</v>
      </c>
      <c r="AA202">
        <v>266.68770940002202</v>
      </c>
      <c r="AB202" t="s">
        <v>63</v>
      </c>
      <c r="AC202">
        <v>1</v>
      </c>
      <c r="AD202">
        <v>0.56190390000119805</v>
      </c>
      <c r="AE202" t="s">
        <v>51</v>
      </c>
      <c r="AJ202">
        <v>4</v>
      </c>
      <c r="AK202">
        <v>1</v>
      </c>
      <c r="AL202" t="s">
        <v>85</v>
      </c>
      <c r="AM202" t="s">
        <v>43</v>
      </c>
      <c r="AO202" t="s">
        <v>44</v>
      </c>
      <c r="AP202">
        <v>59.992644915568597</v>
      </c>
      <c r="AQ202" t="s">
        <v>86</v>
      </c>
    </row>
    <row r="203" spans="1:43" x14ac:dyDescent="0.3">
      <c r="AG203">
        <v>266.68784660001899</v>
      </c>
      <c r="AH203">
        <v>266.70121010002902</v>
      </c>
      <c r="AI203">
        <v>267.68825920001802</v>
      </c>
      <c r="AJ203">
        <v>4</v>
      </c>
      <c r="AK203">
        <v>1</v>
      </c>
      <c r="AL203" t="s">
        <v>85</v>
      </c>
      <c r="AM203" t="s">
        <v>43</v>
      </c>
      <c r="AO203" t="s">
        <v>44</v>
      </c>
      <c r="AP203">
        <v>59.992644915568597</v>
      </c>
      <c r="AQ203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8DCA-0D0D-407A-AD5C-3C0E165FF4C1}">
  <dimension ref="A1:AP203"/>
  <sheetViews>
    <sheetView workbookViewId="0">
      <selection activeCell="E17" sqref="E17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S2">
        <v>2.50021000392735E-2</v>
      </c>
      <c r="T2">
        <v>3.8491000013891601E-2</v>
      </c>
      <c r="U2">
        <v>2.0080251999897798</v>
      </c>
      <c r="AI2">
        <v>5</v>
      </c>
      <c r="AJ2">
        <v>1</v>
      </c>
      <c r="AK2" t="s">
        <v>87</v>
      </c>
      <c r="AL2" t="s">
        <v>43</v>
      </c>
      <c r="AN2" t="s">
        <v>44</v>
      </c>
      <c r="AO2">
        <v>60.129904655169099</v>
      </c>
      <c r="AP2" t="s">
        <v>88</v>
      </c>
    </row>
    <row r="3" spans="1:42" x14ac:dyDescent="0.3">
      <c r="A3" t="s">
        <v>55</v>
      </c>
      <c r="B3" t="s">
        <v>47</v>
      </c>
      <c r="C3" t="s">
        <v>56</v>
      </c>
      <c r="D3" t="s">
        <v>49</v>
      </c>
      <c r="E3" t="s">
        <v>57</v>
      </c>
      <c r="F3">
        <v>0</v>
      </c>
      <c r="G3">
        <v>0</v>
      </c>
      <c r="H3">
        <v>0</v>
      </c>
      <c r="I3" t="s">
        <v>57</v>
      </c>
      <c r="J3">
        <v>1</v>
      </c>
      <c r="K3">
        <v>0.95922219997737501</v>
      </c>
      <c r="L3" t="s">
        <v>51</v>
      </c>
      <c r="M3">
        <v>0</v>
      </c>
      <c r="N3">
        <v>0</v>
      </c>
      <c r="O3">
        <v>0</v>
      </c>
      <c r="P3">
        <v>13</v>
      </c>
      <c r="Q3">
        <v>2.0542469000210901</v>
      </c>
      <c r="V3">
        <v>2.03902389999711</v>
      </c>
      <c r="W3">
        <v>2.0542469000210901</v>
      </c>
      <c r="X3">
        <v>2.5048612999962598</v>
      </c>
      <c r="Y3">
        <v>2.5048612999962598</v>
      </c>
      <c r="Z3">
        <v>2.5048612999962598</v>
      </c>
      <c r="AA3">
        <v>3.4949879000196198</v>
      </c>
      <c r="AB3" t="s">
        <v>57</v>
      </c>
      <c r="AC3">
        <v>1</v>
      </c>
      <c r="AD3">
        <v>0.95922219997737501</v>
      </c>
      <c r="AE3" t="s">
        <v>51</v>
      </c>
      <c r="AI3">
        <v>5</v>
      </c>
      <c r="AJ3">
        <v>1</v>
      </c>
      <c r="AK3" t="s">
        <v>87</v>
      </c>
      <c r="AL3" t="s">
        <v>43</v>
      </c>
      <c r="AN3" t="s">
        <v>44</v>
      </c>
      <c r="AO3">
        <v>60.129904655169099</v>
      </c>
      <c r="AP3" t="s">
        <v>88</v>
      </c>
    </row>
    <row r="4" spans="1:42" x14ac:dyDescent="0.3">
      <c r="A4" t="s">
        <v>77</v>
      </c>
      <c r="B4" t="s">
        <v>59</v>
      </c>
      <c r="C4" t="s">
        <v>61</v>
      </c>
      <c r="D4" t="s">
        <v>62</v>
      </c>
      <c r="E4" t="s">
        <v>63</v>
      </c>
      <c r="F4">
        <v>1</v>
      </c>
      <c r="G4">
        <v>1</v>
      </c>
      <c r="H4">
        <v>0</v>
      </c>
      <c r="I4" t="s">
        <v>63</v>
      </c>
      <c r="J4">
        <v>1</v>
      </c>
      <c r="K4">
        <v>0.65949200000613895</v>
      </c>
      <c r="L4" t="s">
        <v>51</v>
      </c>
      <c r="M4">
        <v>0</v>
      </c>
      <c r="N4">
        <v>1</v>
      </c>
      <c r="O4">
        <v>1</v>
      </c>
      <c r="P4">
        <v>4</v>
      </c>
      <c r="Q4">
        <v>3.5031902000191599</v>
      </c>
      <c r="V4">
        <v>3.49787920003291</v>
      </c>
      <c r="W4">
        <v>3.5031902000191599</v>
      </c>
      <c r="X4">
        <v>4.0051910000038298</v>
      </c>
      <c r="Y4">
        <v>4.0051910000038298</v>
      </c>
      <c r="Z4">
        <v>4.0051910000038298</v>
      </c>
      <c r="AA4">
        <v>4.6745334999868602</v>
      </c>
      <c r="AB4" t="s">
        <v>63</v>
      </c>
      <c r="AC4">
        <v>1</v>
      </c>
      <c r="AD4">
        <v>0.65949200000613895</v>
      </c>
      <c r="AE4" t="s">
        <v>51</v>
      </c>
      <c r="AI4">
        <v>5</v>
      </c>
      <c r="AJ4">
        <v>1</v>
      </c>
      <c r="AK4" t="s">
        <v>87</v>
      </c>
      <c r="AL4" t="s">
        <v>43</v>
      </c>
      <c r="AN4" t="s">
        <v>44</v>
      </c>
      <c r="AO4">
        <v>60.129904655169099</v>
      </c>
      <c r="AP4" t="s">
        <v>88</v>
      </c>
    </row>
    <row r="5" spans="1:42" x14ac:dyDescent="0.3">
      <c r="A5" t="s">
        <v>52</v>
      </c>
      <c r="B5" t="s">
        <v>47</v>
      </c>
      <c r="C5" t="s">
        <v>53</v>
      </c>
      <c r="D5" t="s">
        <v>49</v>
      </c>
      <c r="E5" t="s">
        <v>54</v>
      </c>
      <c r="F5">
        <v>2</v>
      </c>
      <c r="G5">
        <v>2</v>
      </c>
      <c r="H5">
        <v>0</v>
      </c>
      <c r="I5" t="s">
        <v>54</v>
      </c>
      <c r="J5">
        <v>1</v>
      </c>
      <c r="K5">
        <v>1.0613488999661</v>
      </c>
      <c r="L5" t="s">
        <v>51</v>
      </c>
      <c r="M5">
        <v>0</v>
      </c>
      <c r="N5">
        <v>2</v>
      </c>
      <c r="O5">
        <v>2</v>
      </c>
      <c r="P5">
        <v>14</v>
      </c>
      <c r="Q5">
        <v>4.6879064000095196</v>
      </c>
      <c r="V5">
        <v>4.6773801000090298</v>
      </c>
      <c r="W5">
        <v>4.6879064000095196</v>
      </c>
      <c r="X5">
        <v>5.1879944000393099</v>
      </c>
      <c r="Y5">
        <v>5.1879944000393099</v>
      </c>
      <c r="Z5">
        <v>5.1879944000393099</v>
      </c>
      <c r="AA5">
        <v>6.2574811000376904</v>
      </c>
      <c r="AB5" t="s">
        <v>54</v>
      </c>
      <c r="AC5">
        <v>1</v>
      </c>
      <c r="AD5">
        <v>1.0613488999661</v>
      </c>
      <c r="AE5" t="s">
        <v>51</v>
      </c>
      <c r="AI5">
        <v>5</v>
      </c>
      <c r="AJ5">
        <v>1</v>
      </c>
      <c r="AK5" t="s">
        <v>87</v>
      </c>
      <c r="AL5" t="s">
        <v>43</v>
      </c>
      <c r="AN5" t="s">
        <v>44</v>
      </c>
      <c r="AO5">
        <v>60.129904655169099</v>
      </c>
      <c r="AP5" t="s">
        <v>88</v>
      </c>
    </row>
    <row r="6" spans="1:42" x14ac:dyDescent="0.3">
      <c r="A6" t="s">
        <v>74</v>
      </c>
      <c r="B6" t="s">
        <v>47</v>
      </c>
      <c r="C6" t="s">
        <v>48</v>
      </c>
      <c r="D6" t="s">
        <v>49</v>
      </c>
      <c r="E6" t="s">
        <v>50</v>
      </c>
      <c r="F6">
        <v>3</v>
      </c>
      <c r="G6">
        <v>3</v>
      </c>
      <c r="H6">
        <v>0</v>
      </c>
      <c r="I6" t="s">
        <v>50</v>
      </c>
      <c r="J6">
        <v>1</v>
      </c>
      <c r="K6">
        <v>0.57249809999484502</v>
      </c>
      <c r="L6" t="s">
        <v>51</v>
      </c>
      <c r="M6">
        <v>0</v>
      </c>
      <c r="N6">
        <v>3</v>
      </c>
      <c r="O6">
        <v>3</v>
      </c>
      <c r="P6">
        <v>11</v>
      </c>
      <c r="Q6">
        <v>6.2709097000188097</v>
      </c>
      <c r="V6">
        <v>6.2613487000344303</v>
      </c>
      <c r="W6">
        <v>6.2709097000188097</v>
      </c>
      <c r="X6">
        <v>6.7720646000234401</v>
      </c>
      <c r="Y6">
        <v>6.7720646000234401</v>
      </c>
      <c r="Z6">
        <v>6.7720646000234401</v>
      </c>
      <c r="AA6">
        <v>7.3582190999877604</v>
      </c>
      <c r="AB6" t="s">
        <v>50</v>
      </c>
      <c r="AC6">
        <v>1</v>
      </c>
      <c r="AD6">
        <v>0.57249809999484502</v>
      </c>
      <c r="AE6" t="s">
        <v>51</v>
      </c>
      <c r="AI6">
        <v>5</v>
      </c>
      <c r="AJ6">
        <v>1</v>
      </c>
      <c r="AK6" t="s">
        <v>87</v>
      </c>
      <c r="AL6" t="s">
        <v>43</v>
      </c>
      <c r="AN6" t="s">
        <v>44</v>
      </c>
      <c r="AO6">
        <v>60.129904655169099</v>
      </c>
      <c r="AP6" t="s">
        <v>88</v>
      </c>
    </row>
    <row r="7" spans="1:42" x14ac:dyDescent="0.3">
      <c r="A7" t="s">
        <v>73</v>
      </c>
      <c r="B7" t="s">
        <v>59</v>
      </c>
      <c r="C7" t="s">
        <v>56</v>
      </c>
      <c r="D7" t="s">
        <v>49</v>
      </c>
      <c r="E7" t="s">
        <v>57</v>
      </c>
      <c r="F7">
        <v>4</v>
      </c>
      <c r="G7">
        <v>4</v>
      </c>
      <c r="H7">
        <v>0</v>
      </c>
      <c r="I7" t="s">
        <v>57</v>
      </c>
      <c r="J7">
        <v>1</v>
      </c>
      <c r="K7">
        <v>0.93336269998690102</v>
      </c>
      <c r="L7" t="s">
        <v>51</v>
      </c>
      <c r="M7">
        <v>0</v>
      </c>
      <c r="N7">
        <v>4</v>
      </c>
      <c r="O7">
        <v>4</v>
      </c>
      <c r="P7">
        <v>1</v>
      </c>
      <c r="Q7">
        <v>7.37152819999028</v>
      </c>
      <c r="V7">
        <v>7.3608248000382401</v>
      </c>
      <c r="W7">
        <v>7.37152819999028</v>
      </c>
      <c r="X7">
        <v>7.8714808000368004</v>
      </c>
      <c r="Y7">
        <v>7.8714808000368004</v>
      </c>
      <c r="Z7">
        <v>7.8714808000368004</v>
      </c>
      <c r="AA7">
        <v>8.8087199000292404</v>
      </c>
      <c r="AB7" t="s">
        <v>57</v>
      </c>
      <c r="AC7">
        <v>1</v>
      </c>
      <c r="AD7">
        <v>0.93336269998690102</v>
      </c>
      <c r="AE7" t="s">
        <v>51</v>
      </c>
      <c r="AI7">
        <v>5</v>
      </c>
      <c r="AJ7">
        <v>1</v>
      </c>
      <c r="AK7" t="s">
        <v>87</v>
      </c>
      <c r="AL7" t="s">
        <v>43</v>
      </c>
      <c r="AN7" t="s">
        <v>44</v>
      </c>
      <c r="AO7">
        <v>60.129904655169099</v>
      </c>
      <c r="AP7" t="s">
        <v>88</v>
      </c>
    </row>
    <row r="8" spans="1:42" x14ac:dyDescent="0.3">
      <c r="A8" t="s">
        <v>64</v>
      </c>
      <c r="B8" t="s">
        <v>47</v>
      </c>
      <c r="C8" t="s">
        <v>53</v>
      </c>
      <c r="D8" t="s">
        <v>49</v>
      </c>
      <c r="E8" t="s">
        <v>54</v>
      </c>
      <c r="F8">
        <v>5</v>
      </c>
      <c r="G8">
        <v>5</v>
      </c>
      <c r="H8">
        <v>0</v>
      </c>
      <c r="I8" t="s">
        <v>54</v>
      </c>
      <c r="J8">
        <v>1</v>
      </c>
      <c r="K8">
        <v>0.64907009998569198</v>
      </c>
      <c r="L8" t="s">
        <v>51</v>
      </c>
      <c r="M8">
        <v>0</v>
      </c>
      <c r="N8">
        <v>5</v>
      </c>
      <c r="O8">
        <v>5</v>
      </c>
      <c r="P8">
        <v>18</v>
      </c>
      <c r="Q8">
        <v>8.8213951000361703</v>
      </c>
      <c r="V8">
        <v>8.8111923999967896</v>
      </c>
      <c r="W8">
        <v>8.8213951000361703</v>
      </c>
      <c r="X8">
        <v>9.3206375000299797</v>
      </c>
      <c r="Y8">
        <v>9.3206375000299797</v>
      </c>
      <c r="Z8">
        <v>9.3206375000299797</v>
      </c>
      <c r="AA8">
        <v>9.9748429000028391</v>
      </c>
      <c r="AB8" t="s">
        <v>54</v>
      </c>
      <c r="AC8">
        <v>1</v>
      </c>
      <c r="AD8">
        <v>0.64907009998569198</v>
      </c>
      <c r="AE8" t="s">
        <v>51</v>
      </c>
      <c r="AI8">
        <v>5</v>
      </c>
      <c r="AJ8">
        <v>1</v>
      </c>
      <c r="AK8" t="s">
        <v>87</v>
      </c>
      <c r="AL8" t="s">
        <v>43</v>
      </c>
      <c r="AN8" t="s">
        <v>44</v>
      </c>
      <c r="AO8">
        <v>60.129904655169099</v>
      </c>
      <c r="AP8" t="s">
        <v>88</v>
      </c>
    </row>
    <row r="9" spans="1:42" x14ac:dyDescent="0.3">
      <c r="A9" t="s">
        <v>66</v>
      </c>
      <c r="B9" t="s">
        <v>47</v>
      </c>
      <c r="C9" t="s">
        <v>61</v>
      </c>
      <c r="D9" t="s">
        <v>49</v>
      </c>
      <c r="E9" t="s">
        <v>63</v>
      </c>
      <c r="F9">
        <v>6</v>
      </c>
      <c r="G9">
        <v>6</v>
      </c>
      <c r="H9">
        <v>0</v>
      </c>
      <c r="I9" t="s">
        <v>63</v>
      </c>
      <c r="J9">
        <v>1</v>
      </c>
      <c r="K9">
        <v>0.71423800004413296</v>
      </c>
      <c r="L9" t="s">
        <v>51</v>
      </c>
      <c r="M9">
        <v>0</v>
      </c>
      <c r="N9">
        <v>6</v>
      </c>
      <c r="O9">
        <v>6</v>
      </c>
      <c r="P9">
        <v>12</v>
      </c>
      <c r="Q9">
        <v>9.9878524999949096</v>
      </c>
      <c r="V9">
        <v>9.9774800000013695</v>
      </c>
      <c r="W9">
        <v>9.9878524999949096</v>
      </c>
      <c r="X9">
        <v>10.487211800005699</v>
      </c>
      <c r="Y9">
        <v>10.487211800005699</v>
      </c>
      <c r="Z9">
        <v>10.487211800005699</v>
      </c>
      <c r="AA9">
        <v>11.2077537000295</v>
      </c>
      <c r="AB9" t="s">
        <v>63</v>
      </c>
      <c r="AC9">
        <v>1</v>
      </c>
      <c r="AD9">
        <v>0.71423800004413296</v>
      </c>
      <c r="AE9" t="s">
        <v>51</v>
      </c>
      <c r="AI9">
        <v>5</v>
      </c>
      <c r="AJ9">
        <v>1</v>
      </c>
      <c r="AK9" t="s">
        <v>87</v>
      </c>
      <c r="AL9" t="s">
        <v>43</v>
      </c>
      <c r="AN9" t="s">
        <v>44</v>
      </c>
      <c r="AO9">
        <v>60.129904655169099</v>
      </c>
      <c r="AP9" t="s">
        <v>88</v>
      </c>
    </row>
    <row r="10" spans="1:42" x14ac:dyDescent="0.3">
      <c r="A10" t="s">
        <v>72</v>
      </c>
      <c r="B10" t="s">
        <v>59</v>
      </c>
      <c r="C10" t="s">
        <v>61</v>
      </c>
      <c r="D10" t="s">
        <v>62</v>
      </c>
      <c r="E10" t="s">
        <v>63</v>
      </c>
      <c r="F10">
        <v>7</v>
      </c>
      <c r="G10">
        <v>7</v>
      </c>
      <c r="H10">
        <v>0</v>
      </c>
      <c r="I10" t="s">
        <v>63</v>
      </c>
      <c r="J10">
        <v>1</v>
      </c>
      <c r="K10">
        <v>0.64960240002255798</v>
      </c>
      <c r="L10" t="s">
        <v>51</v>
      </c>
      <c r="M10">
        <v>0</v>
      </c>
      <c r="N10">
        <v>7</v>
      </c>
      <c r="O10">
        <v>7</v>
      </c>
      <c r="P10">
        <v>8</v>
      </c>
      <c r="Q10">
        <v>11.2207200000411</v>
      </c>
      <c r="V10">
        <v>11.2102288000169</v>
      </c>
      <c r="W10">
        <v>11.2207200000411</v>
      </c>
      <c r="X10">
        <v>11.7216258000116</v>
      </c>
      <c r="Y10">
        <v>11.7216258000116</v>
      </c>
      <c r="Z10">
        <v>11.7216258000116</v>
      </c>
      <c r="AA10">
        <v>12.374445600027601</v>
      </c>
      <c r="AB10" t="s">
        <v>63</v>
      </c>
      <c r="AC10">
        <v>1</v>
      </c>
      <c r="AD10">
        <v>0.64960240002255798</v>
      </c>
      <c r="AE10" t="s">
        <v>51</v>
      </c>
      <c r="AI10">
        <v>5</v>
      </c>
      <c r="AJ10">
        <v>1</v>
      </c>
      <c r="AK10" t="s">
        <v>87</v>
      </c>
      <c r="AL10" t="s">
        <v>43</v>
      </c>
      <c r="AN10" t="s">
        <v>44</v>
      </c>
      <c r="AO10">
        <v>60.129904655169099</v>
      </c>
      <c r="AP10" t="s">
        <v>88</v>
      </c>
    </row>
    <row r="11" spans="1:42" x14ac:dyDescent="0.3">
      <c r="A11" t="s">
        <v>65</v>
      </c>
      <c r="B11" t="s">
        <v>59</v>
      </c>
      <c r="C11" t="s">
        <v>56</v>
      </c>
      <c r="D11" t="s">
        <v>49</v>
      </c>
      <c r="E11" t="s">
        <v>57</v>
      </c>
      <c r="F11">
        <v>8</v>
      </c>
      <c r="G11">
        <v>8</v>
      </c>
      <c r="H11">
        <v>0</v>
      </c>
      <c r="I11" t="s">
        <v>57</v>
      </c>
      <c r="J11">
        <v>1</v>
      </c>
      <c r="K11">
        <v>0.91017210000427395</v>
      </c>
      <c r="L11" t="s">
        <v>51</v>
      </c>
      <c r="M11">
        <v>0</v>
      </c>
      <c r="N11">
        <v>8</v>
      </c>
      <c r="O11">
        <v>8</v>
      </c>
      <c r="P11">
        <v>9</v>
      </c>
      <c r="Q11">
        <v>12.3871415000176</v>
      </c>
      <c r="V11">
        <v>12.379280299995999</v>
      </c>
      <c r="W11">
        <v>12.3871415000176</v>
      </c>
      <c r="X11">
        <v>12.887580499984301</v>
      </c>
      <c r="Y11">
        <v>12.887580499984301</v>
      </c>
      <c r="Z11">
        <v>12.887580499984301</v>
      </c>
      <c r="AA11">
        <v>13.8082193000009</v>
      </c>
      <c r="AB11" t="s">
        <v>57</v>
      </c>
      <c r="AC11">
        <v>1</v>
      </c>
      <c r="AD11">
        <v>0.91017210000427395</v>
      </c>
      <c r="AE11" t="s">
        <v>51</v>
      </c>
      <c r="AI11">
        <v>5</v>
      </c>
      <c r="AJ11">
        <v>1</v>
      </c>
      <c r="AK11" t="s">
        <v>87</v>
      </c>
      <c r="AL11" t="s">
        <v>43</v>
      </c>
      <c r="AN11" t="s">
        <v>44</v>
      </c>
      <c r="AO11">
        <v>60.129904655169099</v>
      </c>
      <c r="AP11" t="s">
        <v>88</v>
      </c>
    </row>
    <row r="12" spans="1:42" x14ac:dyDescent="0.3">
      <c r="A12" t="s">
        <v>78</v>
      </c>
      <c r="B12" t="s">
        <v>47</v>
      </c>
      <c r="C12" t="s">
        <v>56</v>
      </c>
      <c r="D12" t="s">
        <v>49</v>
      </c>
      <c r="E12" t="s">
        <v>57</v>
      </c>
      <c r="F12">
        <v>9</v>
      </c>
      <c r="G12">
        <v>9</v>
      </c>
      <c r="H12">
        <v>0</v>
      </c>
      <c r="I12" t="s">
        <v>57</v>
      </c>
      <c r="J12">
        <v>1</v>
      </c>
      <c r="K12">
        <v>0.64004160003969401</v>
      </c>
      <c r="L12" t="s">
        <v>51</v>
      </c>
      <c r="M12">
        <v>0</v>
      </c>
      <c r="N12">
        <v>9</v>
      </c>
      <c r="O12">
        <v>9</v>
      </c>
      <c r="P12">
        <v>17</v>
      </c>
      <c r="Q12">
        <v>13.8214597000041</v>
      </c>
      <c r="V12">
        <v>13.8111452999874</v>
      </c>
      <c r="W12">
        <v>13.8214597000041</v>
      </c>
      <c r="X12">
        <v>14.320920100028101</v>
      </c>
      <c r="Y12">
        <v>14.320920100028101</v>
      </c>
      <c r="Z12">
        <v>14.320920100028101</v>
      </c>
      <c r="AA12">
        <v>14.9743966000387</v>
      </c>
      <c r="AB12" t="s">
        <v>57</v>
      </c>
      <c r="AC12">
        <v>1</v>
      </c>
      <c r="AD12">
        <v>0.64004160003969401</v>
      </c>
      <c r="AE12" t="s">
        <v>51</v>
      </c>
      <c r="AI12">
        <v>5</v>
      </c>
      <c r="AJ12">
        <v>1</v>
      </c>
      <c r="AK12" t="s">
        <v>87</v>
      </c>
      <c r="AL12" t="s">
        <v>43</v>
      </c>
      <c r="AN12" t="s">
        <v>44</v>
      </c>
      <c r="AO12">
        <v>60.129904655169099</v>
      </c>
      <c r="AP12" t="s">
        <v>88</v>
      </c>
    </row>
    <row r="13" spans="1:42" x14ac:dyDescent="0.3">
      <c r="A13" t="s">
        <v>68</v>
      </c>
      <c r="B13" t="s">
        <v>59</v>
      </c>
      <c r="C13" t="s">
        <v>53</v>
      </c>
      <c r="D13" t="s">
        <v>49</v>
      </c>
      <c r="E13" t="s">
        <v>54</v>
      </c>
      <c r="F13">
        <v>10</v>
      </c>
      <c r="G13">
        <v>10</v>
      </c>
      <c r="H13">
        <v>0</v>
      </c>
      <c r="I13" t="s">
        <v>54</v>
      </c>
      <c r="J13">
        <v>1</v>
      </c>
      <c r="K13">
        <v>0.812381500029005</v>
      </c>
      <c r="L13" t="s">
        <v>51</v>
      </c>
      <c r="M13">
        <v>0</v>
      </c>
      <c r="N13">
        <v>10</v>
      </c>
      <c r="O13">
        <v>10</v>
      </c>
      <c r="P13">
        <v>6</v>
      </c>
      <c r="Q13">
        <v>14.987020500004199</v>
      </c>
      <c r="V13">
        <v>14.980214000039201</v>
      </c>
      <c r="W13">
        <v>14.987020500004199</v>
      </c>
      <c r="X13">
        <v>15.487383200030299</v>
      </c>
      <c r="Y13">
        <v>15.487383200030299</v>
      </c>
      <c r="Z13">
        <v>15.487383200030299</v>
      </c>
      <c r="AA13">
        <v>16.3075877000228</v>
      </c>
      <c r="AB13" t="s">
        <v>54</v>
      </c>
      <c r="AC13">
        <v>1</v>
      </c>
      <c r="AD13">
        <v>0.812381500029005</v>
      </c>
      <c r="AE13" t="s">
        <v>51</v>
      </c>
      <c r="AI13">
        <v>5</v>
      </c>
      <c r="AJ13">
        <v>1</v>
      </c>
      <c r="AK13" t="s">
        <v>87</v>
      </c>
      <c r="AL13" t="s">
        <v>43</v>
      </c>
      <c r="AN13" t="s">
        <v>44</v>
      </c>
      <c r="AO13">
        <v>60.129904655169099</v>
      </c>
      <c r="AP13" t="s">
        <v>88</v>
      </c>
    </row>
    <row r="14" spans="1:42" x14ac:dyDescent="0.3">
      <c r="A14" t="s">
        <v>67</v>
      </c>
      <c r="B14" t="s">
        <v>47</v>
      </c>
      <c r="C14" t="s">
        <v>53</v>
      </c>
      <c r="D14" t="s">
        <v>49</v>
      </c>
      <c r="E14" t="s">
        <v>54</v>
      </c>
      <c r="F14">
        <v>11</v>
      </c>
      <c r="G14">
        <v>11</v>
      </c>
      <c r="H14">
        <v>0</v>
      </c>
      <c r="I14" t="s">
        <v>54</v>
      </c>
      <c r="J14">
        <v>1</v>
      </c>
      <c r="K14">
        <v>0.557203700009267</v>
      </c>
      <c r="L14" t="s">
        <v>51</v>
      </c>
      <c r="M14">
        <v>0</v>
      </c>
      <c r="N14">
        <v>11</v>
      </c>
      <c r="O14">
        <v>11</v>
      </c>
      <c r="P14">
        <v>10</v>
      </c>
      <c r="Q14">
        <v>16.3204114999971</v>
      </c>
      <c r="V14">
        <v>16.310246400011199</v>
      </c>
      <c r="W14">
        <v>16.3204114999971</v>
      </c>
      <c r="X14">
        <v>16.820418799994499</v>
      </c>
      <c r="Y14">
        <v>16.820418799994499</v>
      </c>
      <c r="Z14">
        <v>16.820418799994499</v>
      </c>
      <c r="AA14">
        <v>17.390763000002998</v>
      </c>
      <c r="AB14" t="s">
        <v>54</v>
      </c>
      <c r="AC14">
        <v>1</v>
      </c>
      <c r="AD14">
        <v>0.557203700009267</v>
      </c>
      <c r="AE14" t="s">
        <v>51</v>
      </c>
      <c r="AI14">
        <v>5</v>
      </c>
      <c r="AJ14">
        <v>1</v>
      </c>
      <c r="AK14" t="s">
        <v>87</v>
      </c>
      <c r="AL14" t="s">
        <v>43</v>
      </c>
      <c r="AN14" t="s">
        <v>44</v>
      </c>
      <c r="AO14">
        <v>60.129904655169099</v>
      </c>
      <c r="AP14" t="s">
        <v>88</v>
      </c>
    </row>
    <row r="15" spans="1:42" x14ac:dyDescent="0.3">
      <c r="A15" t="s">
        <v>71</v>
      </c>
      <c r="B15" t="s">
        <v>47</v>
      </c>
      <c r="C15" t="s">
        <v>48</v>
      </c>
      <c r="D15" t="s">
        <v>49</v>
      </c>
      <c r="E15" t="s">
        <v>50</v>
      </c>
      <c r="F15">
        <v>12</v>
      </c>
      <c r="G15">
        <v>12</v>
      </c>
      <c r="H15">
        <v>0</v>
      </c>
      <c r="I15" t="s">
        <v>50</v>
      </c>
      <c r="J15">
        <v>1</v>
      </c>
      <c r="K15">
        <v>0.52477189997443896</v>
      </c>
      <c r="L15" t="s">
        <v>51</v>
      </c>
      <c r="M15">
        <v>0</v>
      </c>
      <c r="N15">
        <v>12</v>
      </c>
      <c r="O15">
        <v>12</v>
      </c>
      <c r="P15">
        <v>15</v>
      </c>
      <c r="Q15">
        <v>17.4037788999849</v>
      </c>
      <c r="V15">
        <v>17.3940136000164</v>
      </c>
      <c r="W15">
        <v>17.4037788999849</v>
      </c>
      <c r="X15">
        <v>17.904157000011701</v>
      </c>
      <c r="Y15">
        <v>17.904157000011701</v>
      </c>
      <c r="Z15">
        <v>17.904157000011701</v>
      </c>
      <c r="AA15">
        <v>18.441171200014601</v>
      </c>
      <c r="AB15" t="s">
        <v>50</v>
      </c>
      <c r="AC15">
        <v>1</v>
      </c>
      <c r="AD15">
        <v>0.52477189997443896</v>
      </c>
      <c r="AE15" t="s">
        <v>51</v>
      </c>
      <c r="AI15">
        <v>5</v>
      </c>
      <c r="AJ15">
        <v>1</v>
      </c>
      <c r="AK15" t="s">
        <v>87</v>
      </c>
      <c r="AL15" t="s">
        <v>43</v>
      </c>
      <c r="AN15" t="s">
        <v>44</v>
      </c>
      <c r="AO15">
        <v>60.129904655169099</v>
      </c>
      <c r="AP15" t="s">
        <v>88</v>
      </c>
    </row>
    <row r="16" spans="1:42" x14ac:dyDescent="0.3">
      <c r="A16" t="s">
        <v>58</v>
      </c>
      <c r="B16" t="s">
        <v>59</v>
      </c>
      <c r="C16" t="s">
        <v>48</v>
      </c>
      <c r="D16" t="s">
        <v>49</v>
      </c>
      <c r="E16" t="s">
        <v>50</v>
      </c>
      <c r="F16">
        <v>13</v>
      </c>
      <c r="G16">
        <v>13</v>
      </c>
      <c r="H16">
        <v>0</v>
      </c>
      <c r="I16" t="s">
        <v>50</v>
      </c>
      <c r="J16">
        <v>1</v>
      </c>
      <c r="K16">
        <v>0.42154820001451299</v>
      </c>
      <c r="L16" t="s">
        <v>51</v>
      </c>
      <c r="M16">
        <v>0</v>
      </c>
      <c r="N16">
        <v>13</v>
      </c>
      <c r="O16">
        <v>13</v>
      </c>
      <c r="P16">
        <v>7</v>
      </c>
      <c r="Q16">
        <v>18.4552322000381</v>
      </c>
      <c r="V16">
        <v>18.444047900033102</v>
      </c>
      <c r="W16">
        <v>18.4552322000381</v>
      </c>
      <c r="X16">
        <v>18.954103900003201</v>
      </c>
      <c r="Y16">
        <v>18.954103900003201</v>
      </c>
      <c r="Z16">
        <v>18.954103900003201</v>
      </c>
      <c r="AA16">
        <v>19.391473499999801</v>
      </c>
      <c r="AB16" t="s">
        <v>50</v>
      </c>
      <c r="AC16">
        <v>1</v>
      </c>
      <c r="AD16">
        <v>0.42154820001451299</v>
      </c>
      <c r="AE16" t="s">
        <v>51</v>
      </c>
      <c r="AI16">
        <v>5</v>
      </c>
      <c r="AJ16">
        <v>1</v>
      </c>
      <c r="AK16" t="s">
        <v>87</v>
      </c>
      <c r="AL16" t="s">
        <v>43</v>
      </c>
      <c r="AN16" t="s">
        <v>44</v>
      </c>
      <c r="AO16">
        <v>60.129904655169099</v>
      </c>
      <c r="AP16" t="s">
        <v>88</v>
      </c>
    </row>
    <row r="17" spans="1:42" x14ac:dyDescent="0.3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>
        <v>14</v>
      </c>
      <c r="G17">
        <v>14</v>
      </c>
      <c r="H17">
        <v>0</v>
      </c>
      <c r="I17" t="s">
        <v>50</v>
      </c>
      <c r="J17">
        <v>1</v>
      </c>
      <c r="K17">
        <v>0.40052279998781098</v>
      </c>
      <c r="L17" t="s">
        <v>51</v>
      </c>
      <c r="M17">
        <v>0</v>
      </c>
      <c r="N17">
        <v>14</v>
      </c>
      <c r="O17">
        <v>14</v>
      </c>
      <c r="P17">
        <v>19</v>
      </c>
      <c r="Q17">
        <v>19.4037749000126</v>
      </c>
      <c r="V17">
        <v>19.3941622999846</v>
      </c>
      <c r="W17">
        <v>19.4037749000126</v>
      </c>
      <c r="X17">
        <v>19.904406399989899</v>
      </c>
      <c r="Y17">
        <v>19.904406399989899</v>
      </c>
      <c r="Z17">
        <v>19.904406399989899</v>
      </c>
      <c r="AA17">
        <v>20.308146500028599</v>
      </c>
      <c r="AB17" t="s">
        <v>50</v>
      </c>
      <c r="AC17">
        <v>1</v>
      </c>
      <c r="AD17">
        <v>0.40052279998781098</v>
      </c>
      <c r="AE17" t="s">
        <v>51</v>
      </c>
      <c r="AI17">
        <v>5</v>
      </c>
      <c r="AJ17">
        <v>1</v>
      </c>
      <c r="AK17" t="s">
        <v>87</v>
      </c>
      <c r="AL17" t="s">
        <v>43</v>
      </c>
      <c r="AN17" t="s">
        <v>44</v>
      </c>
      <c r="AO17">
        <v>60.129904655169099</v>
      </c>
      <c r="AP17" t="s">
        <v>88</v>
      </c>
    </row>
    <row r="18" spans="1:42" x14ac:dyDescent="0.3">
      <c r="A18" t="s">
        <v>70</v>
      </c>
      <c r="B18" t="s">
        <v>59</v>
      </c>
      <c r="C18" t="s">
        <v>53</v>
      </c>
      <c r="D18" t="s">
        <v>49</v>
      </c>
      <c r="E18" t="s">
        <v>54</v>
      </c>
      <c r="F18">
        <v>15</v>
      </c>
      <c r="G18">
        <v>15</v>
      </c>
      <c r="H18">
        <v>0</v>
      </c>
      <c r="I18" t="s">
        <v>54</v>
      </c>
      <c r="J18">
        <v>1</v>
      </c>
      <c r="K18">
        <v>0.73955880000721597</v>
      </c>
      <c r="L18" t="s">
        <v>51</v>
      </c>
      <c r="M18">
        <v>0</v>
      </c>
      <c r="N18">
        <v>15</v>
      </c>
      <c r="O18">
        <v>15</v>
      </c>
      <c r="P18">
        <v>2</v>
      </c>
      <c r="Q18">
        <v>20.320653900038401</v>
      </c>
      <c r="V18">
        <v>20.313536500034299</v>
      </c>
      <c r="W18">
        <v>20.320653900038401</v>
      </c>
      <c r="X18">
        <v>20.820861899992401</v>
      </c>
      <c r="Y18">
        <v>20.820861899992401</v>
      </c>
      <c r="Z18">
        <v>20.820861899992401</v>
      </c>
      <c r="AA18">
        <v>21.574019099993102</v>
      </c>
      <c r="AB18" t="s">
        <v>54</v>
      </c>
      <c r="AC18">
        <v>1</v>
      </c>
      <c r="AD18">
        <v>0.73955880000721597</v>
      </c>
      <c r="AE18" t="s">
        <v>51</v>
      </c>
      <c r="AI18">
        <v>5</v>
      </c>
      <c r="AJ18">
        <v>1</v>
      </c>
      <c r="AK18" t="s">
        <v>87</v>
      </c>
      <c r="AL18" t="s">
        <v>43</v>
      </c>
      <c r="AN18" t="s">
        <v>44</v>
      </c>
      <c r="AO18">
        <v>60.129904655169099</v>
      </c>
      <c r="AP18" t="s">
        <v>88</v>
      </c>
    </row>
    <row r="19" spans="1:42" x14ac:dyDescent="0.3">
      <c r="A19" t="s">
        <v>75</v>
      </c>
      <c r="B19" t="s">
        <v>47</v>
      </c>
      <c r="C19" t="s">
        <v>61</v>
      </c>
      <c r="D19" t="s">
        <v>49</v>
      </c>
      <c r="E19" t="s">
        <v>63</v>
      </c>
      <c r="F19">
        <v>16</v>
      </c>
      <c r="G19">
        <v>16</v>
      </c>
      <c r="H19">
        <v>0</v>
      </c>
      <c r="I19" t="s">
        <v>63</v>
      </c>
      <c r="J19">
        <v>1</v>
      </c>
      <c r="K19">
        <v>0.58785060001537204</v>
      </c>
      <c r="L19" t="s">
        <v>51</v>
      </c>
      <c r="M19">
        <v>0</v>
      </c>
      <c r="N19">
        <v>16</v>
      </c>
      <c r="O19">
        <v>16</v>
      </c>
      <c r="P19">
        <v>16</v>
      </c>
      <c r="Q19">
        <v>21.587047900015001</v>
      </c>
      <c r="V19">
        <v>21.5764983000117</v>
      </c>
      <c r="W19">
        <v>21.587047900015001</v>
      </c>
      <c r="X19">
        <v>22.087422200012899</v>
      </c>
      <c r="Y19">
        <v>22.087422200012899</v>
      </c>
      <c r="Z19">
        <v>22.087422200012899</v>
      </c>
      <c r="AA19">
        <v>22.691410500032301</v>
      </c>
      <c r="AB19" t="s">
        <v>63</v>
      </c>
      <c r="AC19">
        <v>1</v>
      </c>
      <c r="AD19">
        <v>0.58785060001537204</v>
      </c>
      <c r="AE19" t="s">
        <v>51</v>
      </c>
      <c r="AI19">
        <v>5</v>
      </c>
      <c r="AJ19">
        <v>1</v>
      </c>
      <c r="AK19" t="s">
        <v>87</v>
      </c>
      <c r="AL19" t="s">
        <v>43</v>
      </c>
      <c r="AN19" t="s">
        <v>44</v>
      </c>
      <c r="AO19">
        <v>60.129904655169099</v>
      </c>
      <c r="AP19" t="s">
        <v>88</v>
      </c>
    </row>
    <row r="20" spans="1:42" x14ac:dyDescent="0.3">
      <c r="A20" t="s">
        <v>60</v>
      </c>
      <c r="B20" t="s">
        <v>59</v>
      </c>
      <c r="C20" t="s">
        <v>61</v>
      </c>
      <c r="D20" t="s">
        <v>62</v>
      </c>
      <c r="E20" t="s">
        <v>63</v>
      </c>
      <c r="F20">
        <v>17</v>
      </c>
      <c r="G20">
        <v>17</v>
      </c>
      <c r="H20">
        <v>0</v>
      </c>
      <c r="I20" t="s">
        <v>63</v>
      </c>
      <c r="J20">
        <v>1</v>
      </c>
      <c r="K20">
        <v>0.71872359997360002</v>
      </c>
      <c r="L20" t="s">
        <v>51</v>
      </c>
      <c r="M20">
        <v>0</v>
      </c>
      <c r="N20">
        <v>17</v>
      </c>
      <c r="O20">
        <v>17</v>
      </c>
      <c r="P20">
        <v>0</v>
      </c>
      <c r="Q20">
        <v>22.7037193999858</v>
      </c>
      <c r="V20">
        <v>22.696199700003401</v>
      </c>
      <c r="W20">
        <v>22.7037193999858</v>
      </c>
      <c r="X20">
        <v>23.204114400024899</v>
      </c>
      <c r="Y20">
        <v>23.204114400024899</v>
      </c>
      <c r="Z20">
        <v>23.204114400024899</v>
      </c>
      <c r="AA20">
        <v>23.9267569000367</v>
      </c>
      <c r="AB20" t="s">
        <v>63</v>
      </c>
      <c r="AC20">
        <v>1</v>
      </c>
      <c r="AD20">
        <v>0.71872359997360002</v>
      </c>
      <c r="AE20" t="s">
        <v>51</v>
      </c>
      <c r="AI20">
        <v>5</v>
      </c>
      <c r="AJ20">
        <v>1</v>
      </c>
      <c r="AK20" t="s">
        <v>87</v>
      </c>
      <c r="AL20" t="s">
        <v>43</v>
      </c>
      <c r="AN20" t="s">
        <v>44</v>
      </c>
      <c r="AO20">
        <v>60.129904655169099</v>
      </c>
      <c r="AP20" t="s">
        <v>88</v>
      </c>
    </row>
    <row r="21" spans="1:42" x14ac:dyDescent="0.3">
      <c r="A21" t="s">
        <v>69</v>
      </c>
      <c r="B21" t="s">
        <v>59</v>
      </c>
      <c r="C21" t="s">
        <v>56</v>
      </c>
      <c r="D21" t="s">
        <v>49</v>
      </c>
      <c r="E21" t="s">
        <v>57</v>
      </c>
      <c r="F21">
        <v>18</v>
      </c>
      <c r="G21">
        <v>18</v>
      </c>
      <c r="H21">
        <v>0</v>
      </c>
      <c r="I21" t="s">
        <v>57</v>
      </c>
      <c r="J21">
        <v>1</v>
      </c>
      <c r="K21">
        <v>1.2972640999942</v>
      </c>
      <c r="L21" t="s">
        <v>51</v>
      </c>
      <c r="M21">
        <v>0</v>
      </c>
      <c r="N21">
        <v>18</v>
      </c>
      <c r="O21">
        <v>18</v>
      </c>
      <c r="P21">
        <v>5</v>
      </c>
      <c r="Q21">
        <v>23.936789100000102</v>
      </c>
      <c r="V21">
        <v>23.929260100005099</v>
      </c>
      <c r="W21">
        <v>23.936789100000102</v>
      </c>
      <c r="X21">
        <v>24.437303100014098</v>
      </c>
      <c r="Y21">
        <v>24.437303100014098</v>
      </c>
      <c r="Z21">
        <v>24.437303100014098</v>
      </c>
      <c r="AA21">
        <v>25.741512400039898</v>
      </c>
      <c r="AB21" t="s">
        <v>57</v>
      </c>
      <c r="AC21">
        <v>1</v>
      </c>
      <c r="AD21">
        <v>1.2972640999942</v>
      </c>
      <c r="AE21" t="s">
        <v>51</v>
      </c>
      <c r="AI21">
        <v>5</v>
      </c>
      <c r="AJ21">
        <v>1</v>
      </c>
      <c r="AK21" t="s">
        <v>87</v>
      </c>
      <c r="AL21" t="s">
        <v>43</v>
      </c>
      <c r="AN21" t="s">
        <v>44</v>
      </c>
      <c r="AO21">
        <v>60.129904655169099</v>
      </c>
      <c r="AP21" t="s">
        <v>88</v>
      </c>
    </row>
    <row r="22" spans="1:42" x14ac:dyDescent="0.3">
      <c r="A22" t="s">
        <v>76</v>
      </c>
      <c r="B22" t="s">
        <v>59</v>
      </c>
      <c r="C22" t="s">
        <v>48</v>
      </c>
      <c r="D22" t="s">
        <v>49</v>
      </c>
      <c r="E22" t="s">
        <v>50</v>
      </c>
      <c r="F22">
        <v>19</v>
      </c>
      <c r="G22">
        <v>19</v>
      </c>
      <c r="H22">
        <v>0</v>
      </c>
      <c r="I22" t="s">
        <v>50</v>
      </c>
      <c r="J22">
        <v>1</v>
      </c>
      <c r="K22">
        <v>0.80869360000360702</v>
      </c>
      <c r="L22" t="s">
        <v>51</v>
      </c>
      <c r="M22">
        <v>0</v>
      </c>
      <c r="N22">
        <v>19</v>
      </c>
      <c r="O22">
        <v>19</v>
      </c>
      <c r="P22">
        <v>3</v>
      </c>
      <c r="Q22">
        <v>25.7538113000337</v>
      </c>
      <c r="V22">
        <v>25.7449655000236</v>
      </c>
      <c r="W22">
        <v>25.7538113000337</v>
      </c>
      <c r="X22">
        <v>26.253509000001898</v>
      </c>
      <c r="Y22">
        <v>26.253509000001898</v>
      </c>
      <c r="Z22">
        <v>26.253509000001898</v>
      </c>
      <c r="AA22">
        <v>27.074818900029602</v>
      </c>
      <c r="AB22" t="s">
        <v>50</v>
      </c>
      <c r="AC22">
        <v>1</v>
      </c>
      <c r="AD22">
        <v>0.80869360000360702</v>
      </c>
      <c r="AE22" t="s">
        <v>51</v>
      </c>
      <c r="AI22">
        <v>5</v>
      </c>
      <c r="AJ22">
        <v>1</v>
      </c>
      <c r="AK22" t="s">
        <v>87</v>
      </c>
      <c r="AL22" t="s">
        <v>43</v>
      </c>
      <c r="AN22" t="s">
        <v>44</v>
      </c>
      <c r="AO22">
        <v>60.129904655169099</v>
      </c>
      <c r="AP22" t="s">
        <v>88</v>
      </c>
    </row>
    <row r="23" spans="1:42" x14ac:dyDescent="0.3">
      <c r="A23" t="s">
        <v>69</v>
      </c>
      <c r="B23" t="s">
        <v>59</v>
      </c>
      <c r="C23" t="s">
        <v>56</v>
      </c>
      <c r="D23" t="s">
        <v>49</v>
      </c>
      <c r="E23" t="s">
        <v>57</v>
      </c>
      <c r="F23">
        <v>20</v>
      </c>
      <c r="G23">
        <v>0</v>
      </c>
      <c r="H23">
        <v>1</v>
      </c>
      <c r="I23" t="s">
        <v>57</v>
      </c>
      <c r="J23">
        <v>1</v>
      </c>
      <c r="K23">
        <v>0.65546739997807801</v>
      </c>
      <c r="L23" t="s">
        <v>51</v>
      </c>
      <c r="M23">
        <v>1</v>
      </c>
      <c r="N23">
        <v>0</v>
      </c>
      <c r="O23">
        <v>20</v>
      </c>
      <c r="P23">
        <v>5</v>
      </c>
      <c r="Q23">
        <v>27.087116100010402</v>
      </c>
      <c r="V23">
        <v>27.0774824999971</v>
      </c>
      <c r="W23">
        <v>27.087116100010402</v>
      </c>
      <c r="X23">
        <v>27.587249500036702</v>
      </c>
      <c r="Y23">
        <v>27.587249500036702</v>
      </c>
      <c r="Z23">
        <v>27.587249500036702</v>
      </c>
      <c r="AA23">
        <v>28.257249100017301</v>
      </c>
      <c r="AB23" t="s">
        <v>57</v>
      </c>
      <c r="AC23">
        <v>1</v>
      </c>
      <c r="AD23">
        <v>0.65546739997807801</v>
      </c>
      <c r="AE23" t="s">
        <v>51</v>
      </c>
      <c r="AI23">
        <v>5</v>
      </c>
      <c r="AJ23">
        <v>1</v>
      </c>
      <c r="AK23" t="s">
        <v>87</v>
      </c>
      <c r="AL23" t="s">
        <v>43</v>
      </c>
      <c r="AN23" t="s">
        <v>44</v>
      </c>
      <c r="AO23">
        <v>60.129904655169099</v>
      </c>
      <c r="AP23" t="s">
        <v>88</v>
      </c>
    </row>
    <row r="24" spans="1:42" x14ac:dyDescent="0.3">
      <c r="A24" t="s">
        <v>77</v>
      </c>
      <c r="B24" t="s">
        <v>59</v>
      </c>
      <c r="C24" t="s">
        <v>61</v>
      </c>
      <c r="D24" t="s">
        <v>62</v>
      </c>
      <c r="E24" t="s">
        <v>63</v>
      </c>
      <c r="F24">
        <v>21</v>
      </c>
      <c r="G24">
        <v>1</v>
      </c>
      <c r="H24">
        <v>1</v>
      </c>
      <c r="I24" t="s">
        <v>63</v>
      </c>
      <c r="J24">
        <v>1</v>
      </c>
      <c r="K24">
        <v>1.1076141999801601</v>
      </c>
      <c r="L24" t="s">
        <v>51</v>
      </c>
      <c r="M24">
        <v>1</v>
      </c>
      <c r="N24">
        <v>1</v>
      </c>
      <c r="O24">
        <v>21</v>
      </c>
      <c r="P24">
        <v>4</v>
      </c>
      <c r="Q24">
        <v>28.2705764999846</v>
      </c>
      <c r="V24">
        <v>28.259914099995498</v>
      </c>
      <c r="W24">
        <v>28.2705764999846</v>
      </c>
      <c r="X24">
        <v>28.7704034000053</v>
      </c>
      <c r="Y24">
        <v>28.7704034000053</v>
      </c>
      <c r="Z24">
        <v>28.7704034000053</v>
      </c>
      <c r="AA24">
        <v>29.8901159000233</v>
      </c>
      <c r="AB24" t="s">
        <v>63</v>
      </c>
      <c r="AC24">
        <v>1</v>
      </c>
      <c r="AD24">
        <v>1.1076141999801601</v>
      </c>
      <c r="AE24" t="s">
        <v>51</v>
      </c>
      <c r="AI24">
        <v>5</v>
      </c>
      <c r="AJ24">
        <v>1</v>
      </c>
      <c r="AK24" t="s">
        <v>87</v>
      </c>
      <c r="AL24" t="s">
        <v>43</v>
      </c>
      <c r="AN24" t="s">
        <v>44</v>
      </c>
      <c r="AO24">
        <v>60.129904655169099</v>
      </c>
      <c r="AP24" t="s">
        <v>88</v>
      </c>
    </row>
    <row r="25" spans="1:42" x14ac:dyDescent="0.3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>
        <v>22</v>
      </c>
      <c r="G25">
        <v>2</v>
      </c>
      <c r="H25">
        <v>1</v>
      </c>
      <c r="I25" t="s">
        <v>50</v>
      </c>
      <c r="J25">
        <v>1</v>
      </c>
      <c r="K25">
        <v>1.0176418999908401</v>
      </c>
      <c r="L25" t="s">
        <v>51</v>
      </c>
      <c r="M25">
        <v>1</v>
      </c>
      <c r="N25">
        <v>2</v>
      </c>
      <c r="O25">
        <v>22</v>
      </c>
      <c r="P25">
        <v>19</v>
      </c>
      <c r="Q25">
        <v>29.9034595999983</v>
      </c>
      <c r="V25">
        <v>29.892833599995299</v>
      </c>
      <c r="W25">
        <v>29.9034595999983</v>
      </c>
      <c r="X25">
        <v>30.403192900004701</v>
      </c>
      <c r="Y25">
        <v>30.403192900004701</v>
      </c>
      <c r="Z25">
        <v>30.403192900004701</v>
      </c>
      <c r="AA25">
        <v>31.4244225000147</v>
      </c>
      <c r="AB25" t="s">
        <v>50</v>
      </c>
      <c r="AC25">
        <v>1</v>
      </c>
      <c r="AD25">
        <v>1.0176418999908401</v>
      </c>
      <c r="AE25" t="s">
        <v>51</v>
      </c>
      <c r="AI25">
        <v>5</v>
      </c>
      <c r="AJ25">
        <v>1</v>
      </c>
      <c r="AK25" t="s">
        <v>87</v>
      </c>
      <c r="AL25" t="s">
        <v>43</v>
      </c>
      <c r="AN25" t="s">
        <v>44</v>
      </c>
      <c r="AO25">
        <v>60.129904655169099</v>
      </c>
      <c r="AP25" t="s">
        <v>88</v>
      </c>
    </row>
    <row r="26" spans="1:42" x14ac:dyDescent="0.3">
      <c r="A26" t="s">
        <v>65</v>
      </c>
      <c r="B26" t="s">
        <v>59</v>
      </c>
      <c r="C26" t="s">
        <v>56</v>
      </c>
      <c r="D26" t="s">
        <v>49</v>
      </c>
      <c r="E26" t="s">
        <v>57</v>
      </c>
      <c r="F26">
        <v>23</v>
      </c>
      <c r="G26">
        <v>3</v>
      </c>
      <c r="H26">
        <v>1</v>
      </c>
      <c r="I26" t="s">
        <v>57</v>
      </c>
      <c r="J26">
        <v>1</v>
      </c>
      <c r="K26">
        <v>0.76665229996433404</v>
      </c>
      <c r="L26" t="s">
        <v>51</v>
      </c>
      <c r="M26">
        <v>1</v>
      </c>
      <c r="N26">
        <v>3</v>
      </c>
      <c r="O26">
        <v>23</v>
      </c>
      <c r="P26">
        <v>9</v>
      </c>
      <c r="Q26">
        <v>31.436594500031699</v>
      </c>
      <c r="V26">
        <v>31.427820799988599</v>
      </c>
      <c r="W26">
        <v>31.436594500031699</v>
      </c>
      <c r="X26">
        <v>31.937362099997699</v>
      </c>
      <c r="Y26">
        <v>31.937362099997699</v>
      </c>
      <c r="Z26">
        <v>31.937362099997699</v>
      </c>
      <c r="AA26">
        <v>32.707368600007598</v>
      </c>
      <c r="AB26" t="s">
        <v>57</v>
      </c>
      <c r="AC26">
        <v>1</v>
      </c>
      <c r="AD26">
        <v>0.76665229996433404</v>
      </c>
      <c r="AE26" t="s">
        <v>51</v>
      </c>
      <c r="AI26">
        <v>5</v>
      </c>
      <c r="AJ26">
        <v>1</v>
      </c>
      <c r="AK26" t="s">
        <v>87</v>
      </c>
      <c r="AL26" t="s">
        <v>43</v>
      </c>
      <c r="AN26" t="s">
        <v>44</v>
      </c>
      <c r="AO26">
        <v>60.129904655169099</v>
      </c>
      <c r="AP26" t="s">
        <v>88</v>
      </c>
    </row>
    <row r="27" spans="1:42" x14ac:dyDescent="0.3">
      <c r="A27" t="s">
        <v>67</v>
      </c>
      <c r="B27" t="s">
        <v>47</v>
      </c>
      <c r="C27" t="s">
        <v>53</v>
      </c>
      <c r="D27" t="s">
        <v>49</v>
      </c>
      <c r="E27" t="s">
        <v>54</v>
      </c>
      <c r="F27">
        <v>24</v>
      </c>
      <c r="G27">
        <v>4</v>
      </c>
      <c r="H27">
        <v>1</v>
      </c>
      <c r="I27" t="s">
        <v>54</v>
      </c>
      <c r="J27">
        <v>1</v>
      </c>
      <c r="K27">
        <v>0.67506420001154699</v>
      </c>
      <c r="L27" t="s">
        <v>51</v>
      </c>
      <c r="M27">
        <v>1</v>
      </c>
      <c r="N27">
        <v>4</v>
      </c>
      <c r="O27">
        <v>24</v>
      </c>
      <c r="P27">
        <v>10</v>
      </c>
      <c r="Q27">
        <v>32.720368499983998</v>
      </c>
      <c r="V27">
        <v>32.710013300005798</v>
      </c>
      <c r="W27">
        <v>32.720368499983998</v>
      </c>
      <c r="X27">
        <v>33.2202589000226</v>
      </c>
      <c r="Y27">
        <v>33.2202589000226</v>
      </c>
      <c r="Z27">
        <v>33.2202589000226</v>
      </c>
      <c r="AA27">
        <v>33.907218200038102</v>
      </c>
      <c r="AB27" t="s">
        <v>54</v>
      </c>
      <c r="AC27">
        <v>1</v>
      </c>
      <c r="AD27">
        <v>0.67506420001154699</v>
      </c>
      <c r="AE27" t="s">
        <v>51</v>
      </c>
      <c r="AI27">
        <v>5</v>
      </c>
      <c r="AJ27">
        <v>1</v>
      </c>
      <c r="AK27" t="s">
        <v>87</v>
      </c>
      <c r="AL27" t="s">
        <v>43</v>
      </c>
      <c r="AN27" t="s">
        <v>44</v>
      </c>
      <c r="AO27">
        <v>60.129904655169099</v>
      </c>
      <c r="AP27" t="s">
        <v>88</v>
      </c>
    </row>
    <row r="28" spans="1:42" x14ac:dyDescent="0.3">
      <c r="A28" t="s">
        <v>55</v>
      </c>
      <c r="B28" t="s">
        <v>47</v>
      </c>
      <c r="C28" t="s">
        <v>56</v>
      </c>
      <c r="D28" t="s">
        <v>49</v>
      </c>
      <c r="E28" t="s">
        <v>57</v>
      </c>
      <c r="F28">
        <v>25</v>
      </c>
      <c r="G28">
        <v>5</v>
      </c>
      <c r="H28">
        <v>1</v>
      </c>
      <c r="I28" t="s">
        <v>57</v>
      </c>
      <c r="J28">
        <v>1</v>
      </c>
      <c r="K28">
        <v>0.74529609997989599</v>
      </c>
      <c r="L28" t="s">
        <v>51</v>
      </c>
      <c r="M28">
        <v>1</v>
      </c>
      <c r="N28">
        <v>5</v>
      </c>
      <c r="O28">
        <v>25</v>
      </c>
      <c r="P28">
        <v>13</v>
      </c>
      <c r="Q28">
        <v>33.920969700033297</v>
      </c>
      <c r="V28">
        <v>33.909889000002202</v>
      </c>
      <c r="W28">
        <v>33.920969700033297</v>
      </c>
      <c r="X28">
        <v>34.420733899984</v>
      </c>
      <c r="Y28">
        <v>34.420733899984</v>
      </c>
      <c r="Z28">
        <v>34.420733899984</v>
      </c>
      <c r="AA28">
        <v>35.173682500026104</v>
      </c>
      <c r="AB28" t="s">
        <v>57</v>
      </c>
      <c r="AC28">
        <v>1</v>
      </c>
      <c r="AD28">
        <v>0.74529609997989599</v>
      </c>
      <c r="AE28" t="s">
        <v>51</v>
      </c>
      <c r="AI28">
        <v>5</v>
      </c>
      <c r="AJ28">
        <v>1</v>
      </c>
      <c r="AK28" t="s">
        <v>87</v>
      </c>
      <c r="AL28" t="s">
        <v>43</v>
      </c>
      <c r="AN28" t="s">
        <v>44</v>
      </c>
      <c r="AO28">
        <v>60.129904655169099</v>
      </c>
      <c r="AP28" t="s">
        <v>88</v>
      </c>
    </row>
    <row r="29" spans="1:42" x14ac:dyDescent="0.3">
      <c r="A29" t="s">
        <v>75</v>
      </c>
      <c r="B29" t="s">
        <v>47</v>
      </c>
      <c r="C29" t="s">
        <v>61</v>
      </c>
      <c r="D29" t="s">
        <v>49</v>
      </c>
      <c r="E29" t="s">
        <v>63</v>
      </c>
      <c r="F29">
        <v>26</v>
      </c>
      <c r="G29">
        <v>6</v>
      </c>
      <c r="H29">
        <v>1</v>
      </c>
      <c r="I29" t="s">
        <v>63</v>
      </c>
      <c r="J29">
        <v>1</v>
      </c>
      <c r="K29">
        <v>0.76742280001053498</v>
      </c>
      <c r="L29" t="s">
        <v>51</v>
      </c>
      <c r="M29">
        <v>1</v>
      </c>
      <c r="N29">
        <v>6</v>
      </c>
      <c r="O29">
        <v>26</v>
      </c>
      <c r="P29">
        <v>16</v>
      </c>
      <c r="Q29">
        <v>35.186851200007297</v>
      </c>
      <c r="V29">
        <v>35.176425200013902</v>
      </c>
      <c r="W29">
        <v>35.186851200007297</v>
      </c>
      <c r="X29">
        <v>35.686452800000502</v>
      </c>
      <c r="Y29">
        <v>35.686452800000502</v>
      </c>
      <c r="Z29">
        <v>35.686452800000502</v>
      </c>
      <c r="AA29">
        <v>36.457207900006303</v>
      </c>
      <c r="AB29" t="s">
        <v>63</v>
      </c>
      <c r="AC29">
        <v>1</v>
      </c>
      <c r="AD29">
        <v>0.76742280001053498</v>
      </c>
      <c r="AE29" t="s">
        <v>51</v>
      </c>
      <c r="AI29">
        <v>5</v>
      </c>
      <c r="AJ29">
        <v>1</v>
      </c>
      <c r="AK29" t="s">
        <v>87</v>
      </c>
      <c r="AL29" t="s">
        <v>43</v>
      </c>
      <c r="AN29" t="s">
        <v>44</v>
      </c>
      <c r="AO29">
        <v>60.129904655169099</v>
      </c>
      <c r="AP29" t="s">
        <v>88</v>
      </c>
    </row>
    <row r="30" spans="1:42" x14ac:dyDescent="0.3">
      <c r="A30" t="s">
        <v>76</v>
      </c>
      <c r="B30" t="s">
        <v>59</v>
      </c>
      <c r="C30" t="s">
        <v>48</v>
      </c>
      <c r="D30" t="s">
        <v>49</v>
      </c>
      <c r="E30" t="s">
        <v>50</v>
      </c>
      <c r="F30">
        <v>27</v>
      </c>
      <c r="G30">
        <v>7</v>
      </c>
      <c r="H30">
        <v>1</v>
      </c>
      <c r="I30" t="s">
        <v>50</v>
      </c>
      <c r="J30">
        <v>1</v>
      </c>
      <c r="K30">
        <v>0.65827650000574001</v>
      </c>
      <c r="L30" t="s">
        <v>51</v>
      </c>
      <c r="M30">
        <v>1</v>
      </c>
      <c r="N30">
        <v>7</v>
      </c>
      <c r="O30">
        <v>27</v>
      </c>
      <c r="P30">
        <v>3</v>
      </c>
      <c r="Q30">
        <v>36.470740900025703</v>
      </c>
      <c r="V30">
        <v>36.459893100021802</v>
      </c>
      <c r="W30">
        <v>36.470740900025703</v>
      </c>
      <c r="X30">
        <v>36.970308099989701</v>
      </c>
      <c r="Y30">
        <v>36.970308099989701</v>
      </c>
      <c r="Z30">
        <v>36.970308099989701</v>
      </c>
      <c r="AA30">
        <v>37.641631899983601</v>
      </c>
      <c r="AB30" t="s">
        <v>50</v>
      </c>
      <c r="AC30">
        <v>1</v>
      </c>
      <c r="AD30">
        <v>0.65827650000574001</v>
      </c>
      <c r="AE30" t="s">
        <v>51</v>
      </c>
      <c r="AI30">
        <v>5</v>
      </c>
      <c r="AJ30">
        <v>1</v>
      </c>
      <c r="AK30" t="s">
        <v>87</v>
      </c>
      <c r="AL30" t="s">
        <v>43</v>
      </c>
      <c r="AN30" t="s">
        <v>44</v>
      </c>
      <c r="AO30">
        <v>60.129904655169099</v>
      </c>
      <c r="AP30" t="s">
        <v>88</v>
      </c>
    </row>
    <row r="31" spans="1:42" x14ac:dyDescent="0.3">
      <c r="A31" t="s">
        <v>58</v>
      </c>
      <c r="B31" t="s">
        <v>59</v>
      </c>
      <c r="C31" t="s">
        <v>48</v>
      </c>
      <c r="D31" t="s">
        <v>49</v>
      </c>
      <c r="E31" t="s">
        <v>50</v>
      </c>
      <c r="F31">
        <v>28</v>
      </c>
      <c r="G31">
        <v>8</v>
      </c>
      <c r="H31">
        <v>1</v>
      </c>
      <c r="I31" t="s">
        <v>50</v>
      </c>
      <c r="J31">
        <v>1</v>
      </c>
      <c r="K31">
        <v>0.56104979995870896</v>
      </c>
      <c r="L31" t="s">
        <v>51</v>
      </c>
      <c r="M31">
        <v>1</v>
      </c>
      <c r="N31">
        <v>8</v>
      </c>
      <c r="O31">
        <v>28</v>
      </c>
      <c r="P31">
        <v>7</v>
      </c>
      <c r="Q31">
        <v>37.652942200016597</v>
      </c>
      <c r="V31">
        <v>37.644859899999503</v>
      </c>
      <c r="W31">
        <v>37.652942200016597</v>
      </c>
      <c r="X31">
        <v>38.153297100041499</v>
      </c>
      <c r="Y31">
        <v>38.153297100041499</v>
      </c>
      <c r="Z31">
        <v>38.153297100041499</v>
      </c>
      <c r="AA31">
        <v>38.723197599989298</v>
      </c>
      <c r="AB31" t="s">
        <v>50</v>
      </c>
      <c r="AC31">
        <v>1</v>
      </c>
      <c r="AD31">
        <v>0.56104979995870896</v>
      </c>
      <c r="AE31" t="s">
        <v>51</v>
      </c>
      <c r="AI31">
        <v>5</v>
      </c>
      <c r="AJ31">
        <v>1</v>
      </c>
      <c r="AK31" t="s">
        <v>87</v>
      </c>
      <c r="AL31" t="s">
        <v>43</v>
      </c>
      <c r="AN31" t="s">
        <v>44</v>
      </c>
      <c r="AO31">
        <v>60.129904655169099</v>
      </c>
      <c r="AP31" t="s">
        <v>88</v>
      </c>
    </row>
    <row r="32" spans="1:42" x14ac:dyDescent="0.3">
      <c r="A32" t="s">
        <v>71</v>
      </c>
      <c r="B32" t="s">
        <v>47</v>
      </c>
      <c r="C32" t="s">
        <v>48</v>
      </c>
      <c r="D32" t="s">
        <v>49</v>
      </c>
      <c r="E32" t="s">
        <v>50</v>
      </c>
      <c r="F32">
        <v>29</v>
      </c>
      <c r="G32">
        <v>9</v>
      </c>
      <c r="H32">
        <v>1</v>
      </c>
      <c r="I32" t="s">
        <v>50</v>
      </c>
      <c r="J32">
        <v>1</v>
      </c>
      <c r="K32">
        <v>0.43190119997598198</v>
      </c>
      <c r="L32" t="s">
        <v>51</v>
      </c>
      <c r="M32">
        <v>1</v>
      </c>
      <c r="N32">
        <v>9</v>
      </c>
      <c r="O32">
        <v>29</v>
      </c>
      <c r="P32">
        <v>15</v>
      </c>
      <c r="Q32">
        <v>38.736091100028702</v>
      </c>
      <c r="V32">
        <v>38.726117899990598</v>
      </c>
      <c r="W32">
        <v>38.736091100028702</v>
      </c>
      <c r="X32">
        <v>39.236051000014399</v>
      </c>
      <c r="Y32">
        <v>39.236051000014399</v>
      </c>
      <c r="Z32">
        <v>39.236051000014399</v>
      </c>
      <c r="AA32">
        <v>39.673842300020603</v>
      </c>
      <c r="AB32" t="s">
        <v>50</v>
      </c>
      <c r="AC32">
        <v>1</v>
      </c>
      <c r="AD32">
        <v>0.43190119997598198</v>
      </c>
      <c r="AE32" t="s">
        <v>51</v>
      </c>
      <c r="AI32">
        <v>5</v>
      </c>
      <c r="AJ32">
        <v>1</v>
      </c>
      <c r="AK32" t="s">
        <v>87</v>
      </c>
      <c r="AL32" t="s">
        <v>43</v>
      </c>
      <c r="AN32" t="s">
        <v>44</v>
      </c>
      <c r="AO32">
        <v>60.129904655169099</v>
      </c>
      <c r="AP32" t="s">
        <v>88</v>
      </c>
    </row>
    <row r="33" spans="1:42" x14ac:dyDescent="0.3">
      <c r="A33" t="s">
        <v>66</v>
      </c>
      <c r="B33" t="s">
        <v>47</v>
      </c>
      <c r="C33" t="s">
        <v>61</v>
      </c>
      <c r="D33" t="s">
        <v>49</v>
      </c>
      <c r="E33" t="s">
        <v>63</v>
      </c>
      <c r="F33">
        <v>30</v>
      </c>
      <c r="G33">
        <v>10</v>
      </c>
      <c r="H33">
        <v>1</v>
      </c>
      <c r="I33" t="s">
        <v>63</v>
      </c>
      <c r="J33">
        <v>1</v>
      </c>
      <c r="K33">
        <v>0.77335210004821398</v>
      </c>
      <c r="L33" t="s">
        <v>51</v>
      </c>
      <c r="M33">
        <v>1</v>
      </c>
      <c r="N33">
        <v>10</v>
      </c>
      <c r="O33">
        <v>30</v>
      </c>
      <c r="P33">
        <v>12</v>
      </c>
      <c r="Q33">
        <v>39.686585200019103</v>
      </c>
      <c r="V33">
        <v>39.676517600018997</v>
      </c>
      <c r="W33">
        <v>39.686585200019103</v>
      </c>
      <c r="X33">
        <v>40.1861263000173</v>
      </c>
      <c r="Y33">
        <v>40.1861263000173</v>
      </c>
      <c r="Z33">
        <v>40.1861263000173</v>
      </c>
      <c r="AA33">
        <v>40.974192099994902</v>
      </c>
      <c r="AB33" t="s">
        <v>63</v>
      </c>
      <c r="AC33">
        <v>1</v>
      </c>
      <c r="AD33">
        <v>0.77335210004821398</v>
      </c>
      <c r="AE33" t="s">
        <v>51</v>
      </c>
      <c r="AI33">
        <v>5</v>
      </c>
      <c r="AJ33">
        <v>1</v>
      </c>
      <c r="AK33" t="s">
        <v>87</v>
      </c>
      <c r="AL33" t="s">
        <v>43</v>
      </c>
      <c r="AN33" t="s">
        <v>44</v>
      </c>
      <c r="AO33">
        <v>60.129904655169099</v>
      </c>
      <c r="AP33" t="s">
        <v>88</v>
      </c>
    </row>
    <row r="34" spans="1:42" x14ac:dyDescent="0.3">
      <c r="A34" t="s">
        <v>60</v>
      </c>
      <c r="B34" t="s">
        <v>59</v>
      </c>
      <c r="C34" t="s">
        <v>61</v>
      </c>
      <c r="D34" t="s">
        <v>62</v>
      </c>
      <c r="E34" t="s">
        <v>63</v>
      </c>
      <c r="F34">
        <v>31</v>
      </c>
      <c r="G34">
        <v>11</v>
      </c>
      <c r="H34">
        <v>1</v>
      </c>
      <c r="I34" t="s">
        <v>63</v>
      </c>
      <c r="J34">
        <v>1</v>
      </c>
      <c r="K34">
        <v>0.58794669999042504</v>
      </c>
      <c r="L34" t="s">
        <v>51</v>
      </c>
      <c r="M34">
        <v>1</v>
      </c>
      <c r="N34">
        <v>11</v>
      </c>
      <c r="O34">
        <v>31</v>
      </c>
      <c r="P34">
        <v>0</v>
      </c>
      <c r="Q34">
        <v>40.986464900022803</v>
      </c>
      <c r="V34">
        <v>40.976677400001698</v>
      </c>
      <c r="W34">
        <v>40.986464900022803</v>
      </c>
      <c r="X34">
        <v>41.486368699988802</v>
      </c>
      <c r="Y34">
        <v>41.486368699988802</v>
      </c>
      <c r="Z34">
        <v>41.486368699988802</v>
      </c>
      <c r="AA34">
        <v>42.090362499991897</v>
      </c>
      <c r="AB34" t="s">
        <v>63</v>
      </c>
      <c r="AC34">
        <v>1</v>
      </c>
      <c r="AD34">
        <v>0.58794669999042504</v>
      </c>
      <c r="AE34" t="s">
        <v>51</v>
      </c>
      <c r="AI34">
        <v>5</v>
      </c>
      <c r="AJ34">
        <v>1</v>
      </c>
      <c r="AK34" t="s">
        <v>87</v>
      </c>
      <c r="AL34" t="s">
        <v>43</v>
      </c>
      <c r="AN34" t="s">
        <v>44</v>
      </c>
      <c r="AO34">
        <v>60.129904655169099</v>
      </c>
      <c r="AP34" t="s">
        <v>88</v>
      </c>
    </row>
    <row r="35" spans="1:42" x14ac:dyDescent="0.3">
      <c r="A35" t="s">
        <v>72</v>
      </c>
      <c r="B35" t="s">
        <v>59</v>
      </c>
      <c r="C35" t="s">
        <v>61</v>
      </c>
      <c r="D35" t="s">
        <v>62</v>
      </c>
      <c r="E35" t="s">
        <v>63</v>
      </c>
      <c r="F35">
        <v>32</v>
      </c>
      <c r="G35">
        <v>12</v>
      </c>
      <c r="H35">
        <v>1</v>
      </c>
      <c r="I35" t="s">
        <v>63</v>
      </c>
      <c r="J35">
        <v>1</v>
      </c>
      <c r="K35">
        <v>0.48609359998954399</v>
      </c>
      <c r="L35" t="s">
        <v>51</v>
      </c>
      <c r="M35">
        <v>1</v>
      </c>
      <c r="N35">
        <v>12</v>
      </c>
      <c r="O35">
        <v>32</v>
      </c>
      <c r="P35">
        <v>8</v>
      </c>
      <c r="Q35">
        <v>42.103015000000497</v>
      </c>
      <c r="V35">
        <v>42.093029499985199</v>
      </c>
      <c r="W35">
        <v>42.103015000000497</v>
      </c>
      <c r="X35">
        <v>42.602760699984998</v>
      </c>
      <c r="Y35">
        <v>42.602760699984998</v>
      </c>
      <c r="Z35">
        <v>42.602760699984998</v>
      </c>
      <c r="AA35">
        <v>43.090522799990097</v>
      </c>
      <c r="AB35" t="s">
        <v>63</v>
      </c>
      <c r="AC35">
        <v>1</v>
      </c>
      <c r="AD35">
        <v>0.48609359998954399</v>
      </c>
      <c r="AE35" t="s">
        <v>51</v>
      </c>
      <c r="AI35">
        <v>5</v>
      </c>
      <c r="AJ35">
        <v>1</v>
      </c>
      <c r="AK35" t="s">
        <v>87</v>
      </c>
      <c r="AL35" t="s">
        <v>43</v>
      </c>
      <c r="AN35" t="s">
        <v>44</v>
      </c>
      <c r="AO35">
        <v>60.129904655169099</v>
      </c>
      <c r="AP35" t="s">
        <v>88</v>
      </c>
    </row>
    <row r="36" spans="1:42" x14ac:dyDescent="0.3">
      <c r="A36" t="s">
        <v>64</v>
      </c>
      <c r="B36" t="s">
        <v>47</v>
      </c>
      <c r="C36" t="s">
        <v>53</v>
      </c>
      <c r="D36" t="s">
        <v>49</v>
      </c>
      <c r="E36" t="s">
        <v>54</v>
      </c>
      <c r="F36">
        <v>33</v>
      </c>
      <c r="G36">
        <v>13</v>
      </c>
      <c r="H36">
        <v>1</v>
      </c>
      <c r="I36" t="s">
        <v>54</v>
      </c>
      <c r="J36">
        <v>1</v>
      </c>
      <c r="K36">
        <v>0.72129140002653003</v>
      </c>
      <c r="L36" t="s">
        <v>51</v>
      </c>
      <c r="M36">
        <v>1</v>
      </c>
      <c r="N36">
        <v>13</v>
      </c>
      <c r="O36">
        <v>33</v>
      </c>
      <c r="P36">
        <v>18</v>
      </c>
      <c r="Q36">
        <v>43.103035300038698</v>
      </c>
      <c r="V36">
        <v>43.093953900039097</v>
      </c>
      <c r="W36">
        <v>43.103035300038698</v>
      </c>
      <c r="X36">
        <v>43.603281599993302</v>
      </c>
      <c r="Y36">
        <v>43.603281599993302</v>
      </c>
      <c r="Z36">
        <v>43.603281599993302</v>
      </c>
      <c r="AA36">
        <v>44.340412200020999</v>
      </c>
      <c r="AB36" t="s">
        <v>54</v>
      </c>
      <c r="AC36">
        <v>1</v>
      </c>
      <c r="AD36">
        <v>0.72129140002653003</v>
      </c>
      <c r="AE36" t="s">
        <v>51</v>
      </c>
      <c r="AI36">
        <v>5</v>
      </c>
      <c r="AJ36">
        <v>1</v>
      </c>
      <c r="AK36" t="s">
        <v>87</v>
      </c>
      <c r="AL36" t="s">
        <v>43</v>
      </c>
      <c r="AN36" t="s">
        <v>44</v>
      </c>
      <c r="AO36">
        <v>60.129904655169099</v>
      </c>
      <c r="AP36" t="s">
        <v>88</v>
      </c>
    </row>
    <row r="37" spans="1:42" x14ac:dyDescent="0.3">
      <c r="A37" t="s">
        <v>52</v>
      </c>
      <c r="B37" t="s">
        <v>47</v>
      </c>
      <c r="C37" t="s">
        <v>53</v>
      </c>
      <c r="D37" t="s">
        <v>49</v>
      </c>
      <c r="E37" t="s">
        <v>54</v>
      </c>
      <c r="F37">
        <v>34</v>
      </c>
      <c r="G37">
        <v>14</v>
      </c>
      <c r="H37">
        <v>1</v>
      </c>
      <c r="I37" t="s">
        <v>54</v>
      </c>
      <c r="J37">
        <v>1</v>
      </c>
      <c r="K37">
        <v>0.57725020003272198</v>
      </c>
      <c r="L37" t="s">
        <v>51</v>
      </c>
      <c r="M37">
        <v>1</v>
      </c>
      <c r="N37">
        <v>14</v>
      </c>
      <c r="O37">
        <v>34</v>
      </c>
      <c r="P37">
        <v>14</v>
      </c>
      <c r="Q37">
        <v>44.353374099999201</v>
      </c>
      <c r="V37">
        <v>44.343067300040197</v>
      </c>
      <c r="W37">
        <v>44.353374099999201</v>
      </c>
      <c r="X37">
        <v>44.8534309000242</v>
      </c>
      <c r="Y37">
        <v>44.8534309000242</v>
      </c>
      <c r="Z37">
        <v>44.8534309000242</v>
      </c>
      <c r="AA37">
        <v>45.440028000040897</v>
      </c>
      <c r="AB37" t="s">
        <v>54</v>
      </c>
      <c r="AC37">
        <v>1</v>
      </c>
      <c r="AD37">
        <v>0.57725020003272198</v>
      </c>
      <c r="AE37" t="s">
        <v>51</v>
      </c>
      <c r="AI37">
        <v>5</v>
      </c>
      <c r="AJ37">
        <v>1</v>
      </c>
      <c r="AK37" t="s">
        <v>87</v>
      </c>
      <c r="AL37" t="s">
        <v>43</v>
      </c>
      <c r="AN37" t="s">
        <v>44</v>
      </c>
      <c r="AO37">
        <v>60.129904655169099</v>
      </c>
      <c r="AP37" t="s">
        <v>88</v>
      </c>
    </row>
    <row r="38" spans="1:42" x14ac:dyDescent="0.3">
      <c r="A38" t="s">
        <v>70</v>
      </c>
      <c r="B38" t="s">
        <v>59</v>
      </c>
      <c r="C38" t="s">
        <v>53</v>
      </c>
      <c r="D38" t="s">
        <v>49</v>
      </c>
      <c r="E38" t="s">
        <v>54</v>
      </c>
      <c r="F38">
        <v>35</v>
      </c>
      <c r="G38">
        <v>15</v>
      </c>
      <c r="H38">
        <v>1</v>
      </c>
      <c r="I38" t="s">
        <v>54</v>
      </c>
      <c r="J38">
        <v>1</v>
      </c>
      <c r="K38">
        <v>0.425274599983822</v>
      </c>
      <c r="L38" t="s">
        <v>51</v>
      </c>
      <c r="M38">
        <v>1</v>
      </c>
      <c r="N38">
        <v>15</v>
      </c>
      <c r="O38">
        <v>35</v>
      </c>
      <c r="P38">
        <v>2</v>
      </c>
      <c r="Q38">
        <v>45.452946100034701</v>
      </c>
      <c r="V38">
        <v>45.443083300022401</v>
      </c>
      <c r="W38">
        <v>45.452946100034701</v>
      </c>
      <c r="X38">
        <v>45.953298799984601</v>
      </c>
      <c r="Y38">
        <v>45.953298799984601</v>
      </c>
      <c r="Z38">
        <v>45.953298799984601</v>
      </c>
      <c r="AA38">
        <v>46.389465900021598</v>
      </c>
      <c r="AB38" t="s">
        <v>54</v>
      </c>
      <c r="AC38">
        <v>1</v>
      </c>
      <c r="AD38">
        <v>0.425274599983822</v>
      </c>
      <c r="AE38" t="s">
        <v>51</v>
      </c>
      <c r="AI38">
        <v>5</v>
      </c>
      <c r="AJ38">
        <v>1</v>
      </c>
      <c r="AK38" t="s">
        <v>87</v>
      </c>
      <c r="AL38" t="s">
        <v>43</v>
      </c>
      <c r="AN38" t="s">
        <v>44</v>
      </c>
      <c r="AO38">
        <v>60.129904655169099</v>
      </c>
      <c r="AP38" t="s">
        <v>88</v>
      </c>
    </row>
    <row r="39" spans="1:42" x14ac:dyDescent="0.3">
      <c r="A39" t="s">
        <v>78</v>
      </c>
      <c r="B39" t="s">
        <v>47</v>
      </c>
      <c r="C39" t="s">
        <v>56</v>
      </c>
      <c r="D39" t="s">
        <v>49</v>
      </c>
      <c r="E39" t="s">
        <v>57</v>
      </c>
      <c r="F39">
        <v>36</v>
      </c>
      <c r="G39">
        <v>16</v>
      </c>
      <c r="H39">
        <v>1</v>
      </c>
      <c r="I39" t="s">
        <v>57</v>
      </c>
      <c r="J39">
        <v>1</v>
      </c>
      <c r="K39">
        <v>0.56619009998394099</v>
      </c>
      <c r="L39" t="s">
        <v>51</v>
      </c>
      <c r="M39">
        <v>1</v>
      </c>
      <c r="N39">
        <v>16</v>
      </c>
      <c r="O39">
        <v>36</v>
      </c>
      <c r="P39">
        <v>17</v>
      </c>
      <c r="Q39">
        <v>46.4029465999919</v>
      </c>
      <c r="V39">
        <v>46.392747999983797</v>
      </c>
      <c r="W39">
        <v>46.4029465999919</v>
      </c>
      <c r="X39">
        <v>46.903494600031898</v>
      </c>
      <c r="Y39">
        <v>46.903494600031898</v>
      </c>
      <c r="Z39">
        <v>46.903494600031898</v>
      </c>
      <c r="AA39">
        <v>47.475245999987202</v>
      </c>
      <c r="AB39" t="s">
        <v>57</v>
      </c>
      <c r="AC39">
        <v>1</v>
      </c>
      <c r="AD39">
        <v>0.56619009998394099</v>
      </c>
      <c r="AE39" t="s">
        <v>51</v>
      </c>
      <c r="AI39">
        <v>5</v>
      </c>
      <c r="AJ39">
        <v>1</v>
      </c>
      <c r="AK39" t="s">
        <v>87</v>
      </c>
      <c r="AL39" t="s">
        <v>43</v>
      </c>
      <c r="AN39" t="s">
        <v>44</v>
      </c>
      <c r="AO39">
        <v>60.129904655169099</v>
      </c>
      <c r="AP39" t="s">
        <v>88</v>
      </c>
    </row>
    <row r="40" spans="1:42" x14ac:dyDescent="0.3">
      <c r="A40" t="s">
        <v>74</v>
      </c>
      <c r="B40" t="s">
        <v>47</v>
      </c>
      <c r="C40" t="s">
        <v>48</v>
      </c>
      <c r="D40" t="s">
        <v>49</v>
      </c>
      <c r="E40" t="s">
        <v>50</v>
      </c>
      <c r="F40">
        <v>37</v>
      </c>
      <c r="G40">
        <v>17</v>
      </c>
      <c r="H40">
        <v>1</v>
      </c>
      <c r="I40" t="s">
        <v>50</v>
      </c>
      <c r="J40">
        <v>1</v>
      </c>
      <c r="K40">
        <v>0.88553700002375901</v>
      </c>
      <c r="L40" t="s">
        <v>51</v>
      </c>
      <c r="M40">
        <v>1</v>
      </c>
      <c r="N40">
        <v>17</v>
      </c>
      <c r="O40">
        <v>37</v>
      </c>
      <c r="P40">
        <v>11</v>
      </c>
      <c r="Q40">
        <v>47.487069300026597</v>
      </c>
      <c r="V40">
        <v>47.478824799996801</v>
      </c>
      <c r="W40">
        <v>47.487069300026597</v>
      </c>
      <c r="X40">
        <v>47.9861775999888</v>
      </c>
      <c r="Y40">
        <v>47.9861775999888</v>
      </c>
      <c r="Z40">
        <v>47.9861775999888</v>
      </c>
      <c r="AA40">
        <v>48.874388900003296</v>
      </c>
      <c r="AB40" t="s">
        <v>50</v>
      </c>
      <c r="AC40">
        <v>1</v>
      </c>
      <c r="AD40">
        <v>0.88553700002375901</v>
      </c>
      <c r="AE40" t="s">
        <v>51</v>
      </c>
      <c r="AI40">
        <v>5</v>
      </c>
      <c r="AJ40">
        <v>1</v>
      </c>
      <c r="AK40" t="s">
        <v>87</v>
      </c>
      <c r="AL40" t="s">
        <v>43</v>
      </c>
      <c r="AN40" t="s">
        <v>44</v>
      </c>
      <c r="AO40">
        <v>60.129904655169099</v>
      </c>
      <c r="AP40" t="s">
        <v>88</v>
      </c>
    </row>
    <row r="41" spans="1:42" x14ac:dyDescent="0.3">
      <c r="A41" t="s">
        <v>68</v>
      </c>
      <c r="B41" t="s">
        <v>59</v>
      </c>
      <c r="C41" t="s">
        <v>53</v>
      </c>
      <c r="D41" t="s">
        <v>49</v>
      </c>
      <c r="E41" t="s">
        <v>54</v>
      </c>
      <c r="F41">
        <v>38</v>
      </c>
      <c r="G41">
        <v>18</v>
      </c>
      <c r="H41">
        <v>1</v>
      </c>
      <c r="I41" t="s">
        <v>54</v>
      </c>
      <c r="J41">
        <v>1</v>
      </c>
      <c r="K41">
        <v>1.1418730999575899</v>
      </c>
      <c r="L41" t="s">
        <v>51</v>
      </c>
      <c r="M41">
        <v>1</v>
      </c>
      <c r="N41">
        <v>18</v>
      </c>
      <c r="O41">
        <v>38</v>
      </c>
      <c r="P41">
        <v>6</v>
      </c>
      <c r="Q41">
        <v>48.886091099993699</v>
      </c>
      <c r="V41">
        <v>48.877919499995102</v>
      </c>
      <c r="W41">
        <v>48.886091099993699</v>
      </c>
      <c r="X41">
        <v>49.385731499991302</v>
      </c>
      <c r="Y41">
        <v>49.385731499991302</v>
      </c>
      <c r="Z41">
        <v>49.385731499991302</v>
      </c>
      <c r="AA41">
        <v>50.540864799986501</v>
      </c>
      <c r="AB41" t="s">
        <v>54</v>
      </c>
      <c r="AC41">
        <v>1</v>
      </c>
      <c r="AD41">
        <v>1.1418730999575899</v>
      </c>
      <c r="AE41" t="s">
        <v>51</v>
      </c>
      <c r="AI41">
        <v>5</v>
      </c>
      <c r="AJ41">
        <v>1</v>
      </c>
      <c r="AK41" t="s">
        <v>87</v>
      </c>
      <c r="AL41" t="s">
        <v>43</v>
      </c>
      <c r="AN41" t="s">
        <v>44</v>
      </c>
      <c r="AO41">
        <v>60.129904655169099</v>
      </c>
      <c r="AP41" t="s">
        <v>88</v>
      </c>
    </row>
    <row r="42" spans="1:42" x14ac:dyDescent="0.3">
      <c r="A42" t="s">
        <v>73</v>
      </c>
      <c r="B42" t="s">
        <v>59</v>
      </c>
      <c r="C42" t="s">
        <v>56</v>
      </c>
      <c r="D42" t="s">
        <v>49</v>
      </c>
      <c r="E42" t="s">
        <v>57</v>
      </c>
      <c r="F42">
        <v>39</v>
      </c>
      <c r="G42">
        <v>19</v>
      </c>
      <c r="H42">
        <v>1</v>
      </c>
      <c r="I42" t="s">
        <v>57</v>
      </c>
      <c r="J42">
        <v>1</v>
      </c>
      <c r="K42">
        <v>1.20084010000573</v>
      </c>
      <c r="L42" t="s">
        <v>51</v>
      </c>
      <c r="M42">
        <v>1</v>
      </c>
      <c r="N42">
        <v>19</v>
      </c>
      <c r="O42">
        <v>39</v>
      </c>
      <c r="P42">
        <v>1</v>
      </c>
      <c r="Q42">
        <v>50.552733900025402</v>
      </c>
      <c r="V42">
        <v>50.543315000017103</v>
      </c>
      <c r="W42">
        <v>50.552733900025402</v>
      </c>
      <c r="X42">
        <v>51.052928499993797</v>
      </c>
      <c r="Y42">
        <v>51.052928499993797</v>
      </c>
      <c r="Z42">
        <v>51.052928499993797</v>
      </c>
      <c r="AA42">
        <v>52.255899000039697</v>
      </c>
      <c r="AB42" t="s">
        <v>57</v>
      </c>
      <c r="AC42">
        <v>1</v>
      </c>
      <c r="AD42">
        <v>1.20084010000573</v>
      </c>
      <c r="AE42" t="s">
        <v>51</v>
      </c>
      <c r="AI42">
        <v>5</v>
      </c>
      <c r="AJ42">
        <v>1</v>
      </c>
      <c r="AK42" t="s">
        <v>87</v>
      </c>
      <c r="AL42" t="s">
        <v>43</v>
      </c>
      <c r="AN42" t="s">
        <v>44</v>
      </c>
      <c r="AO42">
        <v>60.129904655169099</v>
      </c>
      <c r="AP42" t="s">
        <v>88</v>
      </c>
    </row>
    <row r="43" spans="1:42" x14ac:dyDescent="0.3">
      <c r="A43" t="s">
        <v>76</v>
      </c>
      <c r="B43" t="s">
        <v>59</v>
      </c>
      <c r="C43" t="s">
        <v>48</v>
      </c>
      <c r="D43" t="s">
        <v>49</v>
      </c>
      <c r="E43" t="s">
        <v>50</v>
      </c>
      <c r="F43">
        <v>40</v>
      </c>
      <c r="G43">
        <v>0</v>
      </c>
      <c r="H43">
        <v>2</v>
      </c>
      <c r="I43" t="s">
        <v>50</v>
      </c>
      <c r="J43">
        <v>1</v>
      </c>
      <c r="K43">
        <v>0.93207470001652803</v>
      </c>
      <c r="L43" t="s">
        <v>51</v>
      </c>
      <c r="M43">
        <v>2</v>
      </c>
      <c r="N43">
        <v>0</v>
      </c>
      <c r="O43">
        <v>40</v>
      </c>
      <c r="P43">
        <v>3</v>
      </c>
      <c r="Q43">
        <v>52.270264399994602</v>
      </c>
      <c r="V43">
        <v>52.258836900000396</v>
      </c>
      <c r="W43">
        <v>52.270264399994602</v>
      </c>
      <c r="X43">
        <v>52.769257600011699</v>
      </c>
      <c r="Y43">
        <v>52.769257600011699</v>
      </c>
      <c r="Z43">
        <v>52.769257600011699</v>
      </c>
      <c r="AA43">
        <v>53.707140000013098</v>
      </c>
      <c r="AB43" t="s">
        <v>50</v>
      </c>
      <c r="AC43">
        <v>1</v>
      </c>
      <c r="AD43">
        <v>0.93207470001652803</v>
      </c>
      <c r="AE43" t="s">
        <v>51</v>
      </c>
      <c r="AI43">
        <v>5</v>
      </c>
      <c r="AJ43">
        <v>1</v>
      </c>
      <c r="AK43" t="s">
        <v>87</v>
      </c>
      <c r="AL43" t="s">
        <v>43</v>
      </c>
      <c r="AN43" t="s">
        <v>44</v>
      </c>
      <c r="AO43">
        <v>60.129904655169099</v>
      </c>
      <c r="AP43" t="s">
        <v>88</v>
      </c>
    </row>
    <row r="44" spans="1:42" x14ac:dyDescent="0.3">
      <c r="A44" t="s">
        <v>72</v>
      </c>
      <c r="B44" t="s">
        <v>59</v>
      </c>
      <c r="C44" t="s">
        <v>61</v>
      </c>
      <c r="D44" t="s">
        <v>62</v>
      </c>
      <c r="E44" t="s">
        <v>63</v>
      </c>
      <c r="F44">
        <v>41</v>
      </c>
      <c r="G44">
        <v>1</v>
      </c>
      <c r="H44">
        <v>2</v>
      </c>
      <c r="I44" t="s">
        <v>63</v>
      </c>
      <c r="J44">
        <v>1</v>
      </c>
      <c r="K44">
        <v>0.59483429999090698</v>
      </c>
      <c r="L44" t="s">
        <v>51</v>
      </c>
      <c r="M44">
        <v>2</v>
      </c>
      <c r="N44">
        <v>1</v>
      </c>
      <c r="O44">
        <v>41</v>
      </c>
      <c r="P44">
        <v>8</v>
      </c>
      <c r="Q44">
        <v>53.719058500020701</v>
      </c>
      <c r="V44">
        <v>53.710251600015901</v>
      </c>
      <c r="W44">
        <v>53.719058500020701</v>
      </c>
      <c r="X44">
        <v>54.218936000019298</v>
      </c>
      <c r="Y44">
        <v>54.218936000019298</v>
      </c>
      <c r="Z44">
        <v>54.218936000019298</v>
      </c>
      <c r="AA44">
        <v>54.822197400033403</v>
      </c>
      <c r="AB44" t="s">
        <v>63</v>
      </c>
      <c r="AC44">
        <v>1</v>
      </c>
      <c r="AD44">
        <v>0.59483429999090698</v>
      </c>
      <c r="AE44" t="s">
        <v>51</v>
      </c>
      <c r="AI44">
        <v>5</v>
      </c>
      <c r="AJ44">
        <v>1</v>
      </c>
      <c r="AK44" t="s">
        <v>87</v>
      </c>
      <c r="AL44" t="s">
        <v>43</v>
      </c>
      <c r="AN44" t="s">
        <v>44</v>
      </c>
      <c r="AO44">
        <v>60.129904655169099</v>
      </c>
      <c r="AP44" t="s">
        <v>88</v>
      </c>
    </row>
    <row r="45" spans="1:42" x14ac:dyDescent="0.3">
      <c r="A45" t="s">
        <v>74</v>
      </c>
      <c r="B45" t="s">
        <v>47</v>
      </c>
      <c r="C45" t="s">
        <v>48</v>
      </c>
      <c r="D45" t="s">
        <v>49</v>
      </c>
      <c r="E45" t="s">
        <v>50</v>
      </c>
      <c r="F45">
        <v>42</v>
      </c>
      <c r="G45">
        <v>2</v>
      </c>
      <c r="H45">
        <v>2</v>
      </c>
      <c r="I45" t="s">
        <v>50</v>
      </c>
      <c r="J45">
        <v>1</v>
      </c>
      <c r="K45">
        <v>1.24251609999919</v>
      </c>
      <c r="L45" t="s">
        <v>51</v>
      </c>
      <c r="M45">
        <v>2</v>
      </c>
      <c r="N45">
        <v>2</v>
      </c>
      <c r="O45">
        <v>42</v>
      </c>
      <c r="P45">
        <v>11</v>
      </c>
      <c r="Q45">
        <v>54.835833800025199</v>
      </c>
      <c r="V45">
        <v>54.824940700025699</v>
      </c>
      <c r="W45">
        <v>54.835833800025199</v>
      </c>
      <c r="X45">
        <v>55.335508299991403</v>
      </c>
      <c r="Y45">
        <v>55.335508299991403</v>
      </c>
      <c r="Z45">
        <v>55.335508299991403</v>
      </c>
      <c r="AA45">
        <v>56.589251300028899</v>
      </c>
      <c r="AB45" t="s">
        <v>50</v>
      </c>
      <c r="AC45">
        <v>1</v>
      </c>
      <c r="AD45">
        <v>1.24251609999919</v>
      </c>
      <c r="AE45" t="s">
        <v>51</v>
      </c>
      <c r="AI45">
        <v>5</v>
      </c>
      <c r="AJ45">
        <v>1</v>
      </c>
      <c r="AK45" t="s">
        <v>87</v>
      </c>
      <c r="AL45" t="s">
        <v>43</v>
      </c>
      <c r="AN45" t="s">
        <v>44</v>
      </c>
      <c r="AO45">
        <v>60.129904655169099</v>
      </c>
      <c r="AP45" t="s">
        <v>88</v>
      </c>
    </row>
    <row r="46" spans="1:42" x14ac:dyDescent="0.3">
      <c r="A46" t="s">
        <v>70</v>
      </c>
      <c r="B46" t="s">
        <v>59</v>
      </c>
      <c r="C46" t="s">
        <v>53</v>
      </c>
      <c r="D46" t="s">
        <v>49</v>
      </c>
      <c r="E46" t="s">
        <v>54</v>
      </c>
      <c r="F46">
        <v>43</v>
      </c>
      <c r="G46">
        <v>3</v>
      </c>
      <c r="H46">
        <v>2</v>
      </c>
      <c r="I46" t="s">
        <v>54</v>
      </c>
      <c r="J46">
        <v>1</v>
      </c>
      <c r="K46">
        <v>0.79261619999306199</v>
      </c>
      <c r="L46" t="s">
        <v>51</v>
      </c>
      <c r="M46">
        <v>2</v>
      </c>
      <c r="N46">
        <v>3</v>
      </c>
      <c r="O46">
        <v>43</v>
      </c>
      <c r="P46">
        <v>2</v>
      </c>
      <c r="Q46">
        <v>56.602292100025799</v>
      </c>
      <c r="V46">
        <v>56.592035400040899</v>
      </c>
      <c r="W46">
        <v>56.602292100025799</v>
      </c>
      <c r="X46">
        <v>57.1023490999941</v>
      </c>
      <c r="Y46">
        <v>57.1023490999941</v>
      </c>
      <c r="Z46">
        <v>57.1023490999941</v>
      </c>
      <c r="AA46">
        <v>57.9056423000292</v>
      </c>
      <c r="AB46" t="s">
        <v>54</v>
      </c>
      <c r="AC46">
        <v>1</v>
      </c>
      <c r="AD46">
        <v>0.79261619999306199</v>
      </c>
      <c r="AE46" t="s">
        <v>51</v>
      </c>
      <c r="AI46">
        <v>5</v>
      </c>
      <c r="AJ46">
        <v>1</v>
      </c>
      <c r="AK46" t="s">
        <v>87</v>
      </c>
      <c r="AL46" t="s">
        <v>43</v>
      </c>
      <c r="AN46" t="s">
        <v>44</v>
      </c>
      <c r="AO46">
        <v>60.129904655169099</v>
      </c>
      <c r="AP46" t="s">
        <v>88</v>
      </c>
    </row>
    <row r="47" spans="1:42" x14ac:dyDescent="0.3">
      <c r="A47" t="s">
        <v>65</v>
      </c>
      <c r="B47" t="s">
        <v>59</v>
      </c>
      <c r="C47" t="s">
        <v>56</v>
      </c>
      <c r="D47" t="s">
        <v>49</v>
      </c>
      <c r="E47" t="s">
        <v>57</v>
      </c>
      <c r="F47">
        <v>44</v>
      </c>
      <c r="G47">
        <v>4</v>
      </c>
      <c r="H47">
        <v>2</v>
      </c>
      <c r="I47" t="s">
        <v>57</v>
      </c>
      <c r="J47">
        <v>1</v>
      </c>
      <c r="K47">
        <v>0.82680799998342902</v>
      </c>
      <c r="L47" t="s">
        <v>51</v>
      </c>
      <c r="M47">
        <v>2</v>
      </c>
      <c r="N47">
        <v>4</v>
      </c>
      <c r="O47">
        <v>44</v>
      </c>
      <c r="P47">
        <v>9</v>
      </c>
      <c r="Q47">
        <v>57.919175999995701</v>
      </c>
      <c r="V47">
        <v>57.908670200034898</v>
      </c>
      <c r="W47">
        <v>57.919175999995701</v>
      </c>
      <c r="X47">
        <v>58.4195573999895</v>
      </c>
      <c r="Y47">
        <v>58.4195573999895</v>
      </c>
      <c r="Z47">
        <v>58.4195573999895</v>
      </c>
      <c r="AA47">
        <v>59.255652800027697</v>
      </c>
      <c r="AB47" t="s">
        <v>57</v>
      </c>
      <c r="AC47">
        <v>1</v>
      </c>
      <c r="AD47">
        <v>0.82680799998342902</v>
      </c>
      <c r="AE47" t="s">
        <v>51</v>
      </c>
      <c r="AI47">
        <v>5</v>
      </c>
      <c r="AJ47">
        <v>1</v>
      </c>
      <c r="AK47" t="s">
        <v>87</v>
      </c>
      <c r="AL47" t="s">
        <v>43</v>
      </c>
      <c r="AN47" t="s">
        <v>44</v>
      </c>
      <c r="AO47">
        <v>60.129904655169099</v>
      </c>
      <c r="AP47" t="s">
        <v>88</v>
      </c>
    </row>
    <row r="48" spans="1:42" x14ac:dyDescent="0.3">
      <c r="A48" t="s">
        <v>58</v>
      </c>
      <c r="B48" t="s">
        <v>59</v>
      </c>
      <c r="C48" t="s">
        <v>48</v>
      </c>
      <c r="D48" t="s">
        <v>49</v>
      </c>
      <c r="E48" t="s">
        <v>50</v>
      </c>
      <c r="F48">
        <v>45</v>
      </c>
      <c r="G48">
        <v>5</v>
      </c>
      <c r="H48">
        <v>2</v>
      </c>
      <c r="I48" t="s">
        <v>50</v>
      </c>
      <c r="J48">
        <v>1</v>
      </c>
      <c r="K48">
        <v>1.1483352000359399</v>
      </c>
      <c r="L48" t="s">
        <v>51</v>
      </c>
      <c r="M48">
        <v>2</v>
      </c>
      <c r="N48">
        <v>5</v>
      </c>
      <c r="O48">
        <v>45</v>
      </c>
      <c r="P48">
        <v>7</v>
      </c>
      <c r="Q48">
        <v>59.269301299995199</v>
      </c>
      <c r="V48">
        <v>59.258304100017902</v>
      </c>
      <c r="W48">
        <v>59.269301299995199</v>
      </c>
      <c r="X48">
        <v>59.768879300041498</v>
      </c>
      <c r="Y48">
        <v>59.768879300041498</v>
      </c>
      <c r="Z48">
        <v>59.768879300041498</v>
      </c>
      <c r="AA48">
        <v>60.923050699988302</v>
      </c>
      <c r="AB48" t="s">
        <v>50</v>
      </c>
      <c r="AC48">
        <v>1</v>
      </c>
      <c r="AD48">
        <v>1.1483352000359399</v>
      </c>
      <c r="AE48" t="s">
        <v>51</v>
      </c>
      <c r="AI48">
        <v>5</v>
      </c>
      <c r="AJ48">
        <v>1</v>
      </c>
      <c r="AK48" t="s">
        <v>87</v>
      </c>
      <c r="AL48" t="s">
        <v>43</v>
      </c>
      <c r="AN48" t="s">
        <v>44</v>
      </c>
      <c r="AO48">
        <v>60.129904655169099</v>
      </c>
      <c r="AP48" t="s">
        <v>88</v>
      </c>
    </row>
    <row r="49" spans="1:42" x14ac:dyDescent="0.3">
      <c r="A49" t="s">
        <v>73</v>
      </c>
      <c r="B49" t="s">
        <v>59</v>
      </c>
      <c r="C49" t="s">
        <v>56</v>
      </c>
      <c r="D49" t="s">
        <v>49</v>
      </c>
      <c r="E49" t="s">
        <v>57</v>
      </c>
      <c r="F49">
        <v>46</v>
      </c>
      <c r="G49">
        <v>6</v>
      </c>
      <c r="H49">
        <v>2</v>
      </c>
      <c r="I49" t="s">
        <v>57</v>
      </c>
      <c r="J49">
        <v>1</v>
      </c>
      <c r="K49">
        <v>0.949501600000076</v>
      </c>
      <c r="L49" t="s">
        <v>51</v>
      </c>
      <c r="M49">
        <v>2</v>
      </c>
      <c r="N49">
        <v>6</v>
      </c>
      <c r="O49">
        <v>46</v>
      </c>
      <c r="P49">
        <v>1</v>
      </c>
      <c r="Q49">
        <v>60.935612900007897</v>
      </c>
      <c r="V49">
        <v>60.926074000017202</v>
      </c>
      <c r="W49">
        <v>60.935612900007897</v>
      </c>
      <c r="X49">
        <v>61.435853600036303</v>
      </c>
      <c r="Y49">
        <v>61.435853600036303</v>
      </c>
      <c r="Z49">
        <v>61.435853600036303</v>
      </c>
      <c r="AA49">
        <v>62.389741600025403</v>
      </c>
      <c r="AB49" t="s">
        <v>57</v>
      </c>
      <c r="AC49">
        <v>1</v>
      </c>
      <c r="AD49">
        <v>0.949501600000076</v>
      </c>
      <c r="AE49" t="s">
        <v>51</v>
      </c>
      <c r="AI49">
        <v>5</v>
      </c>
      <c r="AJ49">
        <v>1</v>
      </c>
      <c r="AK49" t="s">
        <v>87</v>
      </c>
      <c r="AL49" t="s">
        <v>43</v>
      </c>
      <c r="AN49" t="s">
        <v>44</v>
      </c>
      <c r="AO49">
        <v>60.129904655169099</v>
      </c>
      <c r="AP49" t="s">
        <v>88</v>
      </c>
    </row>
    <row r="50" spans="1:42" x14ac:dyDescent="0.3">
      <c r="A50" t="s">
        <v>75</v>
      </c>
      <c r="B50" t="s">
        <v>47</v>
      </c>
      <c r="C50" t="s">
        <v>61</v>
      </c>
      <c r="D50" t="s">
        <v>49</v>
      </c>
      <c r="E50" t="s">
        <v>63</v>
      </c>
      <c r="F50">
        <v>47</v>
      </c>
      <c r="G50">
        <v>7</v>
      </c>
      <c r="H50">
        <v>2</v>
      </c>
      <c r="I50" t="s">
        <v>63</v>
      </c>
      <c r="J50">
        <v>1</v>
      </c>
      <c r="K50">
        <v>0.60172109998529699</v>
      </c>
      <c r="L50" t="s">
        <v>51</v>
      </c>
      <c r="M50">
        <v>2</v>
      </c>
      <c r="N50">
        <v>7</v>
      </c>
      <c r="O50">
        <v>47</v>
      </c>
      <c r="P50">
        <v>16</v>
      </c>
      <c r="Q50">
        <v>62.401967399986397</v>
      </c>
      <c r="V50">
        <v>62.392274999991002</v>
      </c>
      <c r="W50">
        <v>62.401967399986397</v>
      </c>
      <c r="X50">
        <v>62.903711599996299</v>
      </c>
      <c r="Y50">
        <v>62.903711599996299</v>
      </c>
      <c r="Z50">
        <v>62.903711599996299</v>
      </c>
      <c r="AA50">
        <v>63.506385100015898</v>
      </c>
      <c r="AB50" t="s">
        <v>63</v>
      </c>
      <c r="AC50">
        <v>1</v>
      </c>
      <c r="AD50">
        <v>0.60172109998529699</v>
      </c>
      <c r="AE50" t="s">
        <v>51</v>
      </c>
      <c r="AI50">
        <v>5</v>
      </c>
      <c r="AJ50">
        <v>1</v>
      </c>
      <c r="AK50" t="s">
        <v>87</v>
      </c>
      <c r="AL50" t="s">
        <v>43</v>
      </c>
      <c r="AN50" t="s">
        <v>44</v>
      </c>
      <c r="AO50">
        <v>60.129904655169099</v>
      </c>
      <c r="AP50" t="s">
        <v>88</v>
      </c>
    </row>
    <row r="51" spans="1:42" x14ac:dyDescent="0.3">
      <c r="A51" t="s">
        <v>78</v>
      </c>
      <c r="B51" t="s">
        <v>47</v>
      </c>
      <c r="C51" t="s">
        <v>56</v>
      </c>
      <c r="D51" t="s">
        <v>49</v>
      </c>
      <c r="E51" t="s">
        <v>57</v>
      </c>
      <c r="F51">
        <v>48</v>
      </c>
      <c r="G51">
        <v>8</v>
      </c>
      <c r="H51">
        <v>2</v>
      </c>
      <c r="I51" t="s">
        <v>50</v>
      </c>
      <c r="J51">
        <v>0</v>
      </c>
      <c r="K51">
        <v>0.86756149999564502</v>
      </c>
      <c r="L51" t="s">
        <v>51</v>
      </c>
      <c r="M51">
        <v>2</v>
      </c>
      <c r="N51">
        <v>8</v>
      </c>
      <c r="O51">
        <v>48</v>
      </c>
      <c r="P51">
        <v>17</v>
      </c>
      <c r="Q51">
        <v>63.518869500025097</v>
      </c>
      <c r="V51">
        <v>63.509042499994301</v>
      </c>
      <c r="W51">
        <v>63.518869500025097</v>
      </c>
      <c r="X51">
        <v>64.018963400041599</v>
      </c>
      <c r="Y51">
        <v>64.018963400041599</v>
      </c>
      <c r="Z51">
        <v>64.018963400041599</v>
      </c>
      <c r="AA51">
        <v>64.889433900010701</v>
      </c>
      <c r="AB51" t="s">
        <v>50</v>
      </c>
      <c r="AC51">
        <v>0</v>
      </c>
      <c r="AD51">
        <v>0.86756149999564502</v>
      </c>
      <c r="AE51" t="s">
        <v>51</v>
      </c>
      <c r="AI51">
        <v>5</v>
      </c>
      <c r="AJ51">
        <v>1</v>
      </c>
      <c r="AK51" t="s">
        <v>87</v>
      </c>
      <c r="AL51" t="s">
        <v>43</v>
      </c>
      <c r="AN51" t="s">
        <v>44</v>
      </c>
      <c r="AO51">
        <v>60.129904655169099</v>
      </c>
      <c r="AP51" t="s">
        <v>88</v>
      </c>
    </row>
    <row r="52" spans="1:42" x14ac:dyDescent="0.3">
      <c r="A52" t="s">
        <v>69</v>
      </c>
      <c r="B52" t="s">
        <v>59</v>
      </c>
      <c r="C52" t="s">
        <v>56</v>
      </c>
      <c r="D52" t="s">
        <v>49</v>
      </c>
      <c r="E52" t="s">
        <v>57</v>
      </c>
      <c r="F52">
        <v>49</v>
      </c>
      <c r="G52">
        <v>9</v>
      </c>
      <c r="H52">
        <v>2</v>
      </c>
      <c r="I52" t="s">
        <v>57</v>
      </c>
      <c r="J52">
        <v>1</v>
      </c>
      <c r="K52">
        <v>0.99005289998603896</v>
      </c>
      <c r="L52" t="s">
        <v>51</v>
      </c>
      <c r="M52">
        <v>2</v>
      </c>
      <c r="N52">
        <v>9</v>
      </c>
      <c r="O52">
        <v>49</v>
      </c>
      <c r="P52">
        <v>5</v>
      </c>
      <c r="Q52">
        <v>64.902098699996699</v>
      </c>
      <c r="V52">
        <v>64.892307900008703</v>
      </c>
      <c r="W52">
        <v>64.902098699996699</v>
      </c>
      <c r="X52">
        <v>65.402166299987499</v>
      </c>
      <c r="Y52">
        <v>65.402166299987499</v>
      </c>
      <c r="Z52">
        <v>65.402166299987499</v>
      </c>
      <c r="AA52">
        <v>66.406125400040693</v>
      </c>
      <c r="AB52" t="s">
        <v>57</v>
      </c>
      <c r="AC52">
        <v>1</v>
      </c>
      <c r="AD52">
        <v>0.99005289998603896</v>
      </c>
      <c r="AE52" t="s">
        <v>51</v>
      </c>
      <c r="AI52">
        <v>5</v>
      </c>
      <c r="AJ52">
        <v>1</v>
      </c>
      <c r="AK52" t="s">
        <v>87</v>
      </c>
      <c r="AL52" t="s">
        <v>43</v>
      </c>
      <c r="AN52" t="s">
        <v>44</v>
      </c>
      <c r="AO52">
        <v>60.129904655169099</v>
      </c>
      <c r="AP52" t="s">
        <v>88</v>
      </c>
    </row>
    <row r="53" spans="1:42" x14ac:dyDescent="0.3">
      <c r="A53" t="s">
        <v>46</v>
      </c>
      <c r="B53" t="s">
        <v>47</v>
      </c>
      <c r="C53" t="s">
        <v>48</v>
      </c>
      <c r="D53" t="s">
        <v>49</v>
      </c>
      <c r="E53" t="s">
        <v>50</v>
      </c>
      <c r="F53">
        <v>50</v>
      </c>
      <c r="G53">
        <v>10</v>
      </c>
      <c r="H53">
        <v>2</v>
      </c>
      <c r="I53" t="s">
        <v>50</v>
      </c>
      <c r="J53">
        <v>1</v>
      </c>
      <c r="K53">
        <v>0.88536060001933903</v>
      </c>
      <c r="L53" t="s">
        <v>51</v>
      </c>
      <c r="M53">
        <v>2</v>
      </c>
      <c r="N53">
        <v>10</v>
      </c>
      <c r="O53">
        <v>50</v>
      </c>
      <c r="P53">
        <v>19</v>
      </c>
      <c r="Q53">
        <v>66.418508500035301</v>
      </c>
      <c r="V53">
        <v>66.408747699984801</v>
      </c>
      <c r="W53">
        <v>66.418508500035301</v>
      </c>
      <c r="X53">
        <v>66.918825500004402</v>
      </c>
      <c r="Y53">
        <v>66.918825500004402</v>
      </c>
      <c r="Z53">
        <v>66.918825500004402</v>
      </c>
      <c r="AA53">
        <v>67.806755800032903</v>
      </c>
      <c r="AB53" t="s">
        <v>50</v>
      </c>
      <c r="AC53">
        <v>1</v>
      </c>
      <c r="AD53">
        <v>0.88536060001933903</v>
      </c>
      <c r="AE53" t="s">
        <v>51</v>
      </c>
      <c r="AI53">
        <v>5</v>
      </c>
      <c r="AJ53">
        <v>1</v>
      </c>
      <c r="AK53" t="s">
        <v>87</v>
      </c>
      <c r="AL53" t="s">
        <v>43</v>
      </c>
      <c r="AN53" t="s">
        <v>44</v>
      </c>
      <c r="AO53">
        <v>60.129904655169099</v>
      </c>
      <c r="AP53" t="s">
        <v>88</v>
      </c>
    </row>
    <row r="54" spans="1:42" x14ac:dyDescent="0.3">
      <c r="A54" t="s">
        <v>55</v>
      </c>
      <c r="B54" t="s">
        <v>47</v>
      </c>
      <c r="C54" t="s">
        <v>56</v>
      </c>
      <c r="D54" t="s">
        <v>49</v>
      </c>
      <c r="E54" t="s">
        <v>57</v>
      </c>
      <c r="F54">
        <v>51</v>
      </c>
      <c r="G54">
        <v>11</v>
      </c>
      <c r="H54">
        <v>2</v>
      </c>
      <c r="I54" t="s">
        <v>57</v>
      </c>
      <c r="J54">
        <v>1</v>
      </c>
      <c r="K54">
        <v>0.87168409995501805</v>
      </c>
      <c r="L54" t="s">
        <v>51</v>
      </c>
      <c r="M54">
        <v>2</v>
      </c>
      <c r="N54">
        <v>11</v>
      </c>
      <c r="O54">
        <v>51</v>
      </c>
      <c r="P54">
        <v>13</v>
      </c>
      <c r="Q54">
        <v>67.819044200004996</v>
      </c>
      <c r="V54">
        <v>67.8100892000366</v>
      </c>
      <c r="W54">
        <v>67.819044200004996</v>
      </c>
      <c r="X54">
        <v>68.318736299988799</v>
      </c>
      <c r="Y54">
        <v>68.318736299988799</v>
      </c>
      <c r="Z54">
        <v>68.318736299988799</v>
      </c>
      <c r="AA54">
        <v>69.205609700002199</v>
      </c>
      <c r="AB54" t="s">
        <v>57</v>
      </c>
      <c r="AC54">
        <v>1</v>
      </c>
      <c r="AD54">
        <v>0.87168409995501805</v>
      </c>
      <c r="AE54" t="s">
        <v>51</v>
      </c>
      <c r="AI54">
        <v>5</v>
      </c>
      <c r="AJ54">
        <v>1</v>
      </c>
      <c r="AK54" t="s">
        <v>87</v>
      </c>
      <c r="AL54" t="s">
        <v>43</v>
      </c>
      <c r="AN54" t="s">
        <v>44</v>
      </c>
      <c r="AO54">
        <v>60.129904655169099</v>
      </c>
      <c r="AP54" t="s">
        <v>88</v>
      </c>
    </row>
    <row r="55" spans="1:42" x14ac:dyDescent="0.3">
      <c r="A55" t="s">
        <v>66</v>
      </c>
      <c r="B55" t="s">
        <v>47</v>
      </c>
      <c r="C55" t="s">
        <v>61</v>
      </c>
      <c r="D55" t="s">
        <v>49</v>
      </c>
      <c r="E55" t="s">
        <v>63</v>
      </c>
      <c r="F55">
        <v>52</v>
      </c>
      <c r="G55">
        <v>12</v>
      </c>
      <c r="H55">
        <v>2</v>
      </c>
      <c r="I55" t="s">
        <v>63</v>
      </c>
      <c r="J55">
        <v>1</v>
      </c>
      <c r="K55">
        <v>0.93327919999137499</v>
      </c>
      <c r="L55" t="s">
        <v>51</v>
      </c>
      <c r="M55">
        <v>2</v>
      </c>
      <c r="N55">
        <v>12</v>
      </c>
      <c r="O55">
        <v>52</v>
      </c>
      <c r="P55">
        <v>12</v>
      </c>
      <c r="Q55">
        <v>69.218449600040898</v>
      </c>
      <c r="V55">
        <v>69.208686600031797</v>
      </c>
      <c r="W55">
        <v>69.218449600040898</v>
      </c>
      <c r="X55">
        <v>69.718744000012506</v>
      </c>
      <c r="Y55">
        <v>69.718744000012506</v>
      </c>
      <c r="Z55">
        <v>69.718744000012506</v>
      </c>
      <c r="AA55">
        <v>70.655361999990404</v>
      </c>
      <c r="AB55" t="s">
        <v>63</v>
      </c>
      <c r="AC55">
        <v>1</v>
      </c>
      <c r="AD55">
        <v>0.93327919999137499</v>
      </c>
      <c r="AE55" t="s">
        <v>51</v>
      </c>
      <c r="AI55">
        <v>5</v>
      </c>
      <c r="AJ55">
        <v>1</v>
      </c>
      <c r="AK55" t="s">
        <v>87</v>
      </c>
      <c r="AL55" t="s">
        <v>43</v>
      </c>
      <c r="AN55" t="s">
        <v>44</v>
      </c>
      <c r="AO55">
        <v>60.129904655169099</v>
      </c>
      <c r="AP55" t="s">
        <v>88</v>
      </c>
    </row>
    <row r="56" spans="1:42" x14ac:dyDescent="0.3">
      <c r="A56" t="s">
        <v>71</v>
      </c>
      <c r="B56" t="s">
        <v>47</v>
      </c>
      <c r="C56" t="s">
        <v>48</v>
      </c>
      <c r="D56" t="s">
        <v>49</v>
      </c>
      <c r="E56" t="s">
        <v>50</v>
      </c>
      <c r="F56">
        <v>53</v>
      </c>
      <c r="G56">
        <v>13</v>
      </c>
      <c r="H56">
        <v>2</v>
      </c>
      <c r="I56" t="s">
        <v>50</v>
      </c>
      <c r="J56">
        <v>1</v>
      </c>
      <c r="K56">
        <v>0.72952230001101204</v>
      </c>
      <c r="L56" t="s">
        <v>51</v>
      </c>
      <c r="M56">
        <v>2</v>
      </c>
      <c r="N56">
        <v>13</v>
      </c>
      <c r="O56">
        <v>53</v>
      </c>
      <c r="P56">
        <v>15</v>
      </c>
      <c r="Q56">
        <v>70.669271900027496</v>
      </c>
      <c r="V56">
        <v>70.657965600024895</v>
      </c>
      <c r="W56">
        <v>70.669271900027496</v>
      </c>
      <c r="X56">
        <v>71.168795100005795</v>
      </c>
      <c r="Y56">
        <v>71.168795100005795</v>
      </c>
      <c r="Z56">
        <v>71.168795100005795</v>
      </c>
      <c r="AA56">
        <v>71.906251500011393</v>
      </c>
      <c r="AB56" t="s">
        <v>50</v>
      </c>
      <c r="AC56">
        <v>1</v>
      </c>
      <c r="AD56">
        <v>0.72952230001101204</v>
      </c>
      <c r="AE56" t="s">
        <v>51</v>
      </c>
      <c r="AI56">
        <v>5</v>
      </c>
      <c r="AJ56">
        <v>1</v>
      </c>
      <c r="AK56" t="s">
        <v>87</v>
      </c>
      <c r="AL56" t="s">
        <v>43</v>
      </c>
      <c r="AN56" t="s">
        <v>44</v>
      </c>
      <c r="AO56">
        <v>60.129904655169099</v>
      </c>
      <c r="AP56" t="s">
        <v>88</v>
      </c>
    </row>
    <row r="57" spans="1:42" x14ac:dyDescent="0.3">
      <c r="A57" t="s">
        <v>77</v>
      </c>
      <c r="B57" t="s">
        <v>59</v>
      </c>
      <c r="C57" t="s">
        <v>61</v>
      </c>
      <c r="D57" t="s">
        <v>62</v>
      </c>
      <c r="E57" t="s">
        <v>63</v>
      </c>
      <c r="F57">
        <v>54</v>
      </c>
      <c r="G57">
        <v>14</v>
      </c>
      <c r="H57">
        <v>2</v>
      </c>
      <c r="I57" t="s">
        <v>63</v>
      </c>
      <c r="J57">
        <v>1</v>
      </c>
      <c r="K57">
        <v>0.92975250002928</v>
      </c>
      <c r="L57" t="s">
        <v>51</v>
      </c>
      <c r="M57">
        <v>2</v>
      </c>
      <c r="N57">
        <v>14</v>
      </c>
      <c r="O57">
        <v>54</v>
      </c>
      <c r="P57">
        <v>4</v>
      </c>
      <c r="Q57">
        <v>71.919427399989203</v>
      </c>
      <c r="V57">
        <v>71.910137100028805</v>
      </c>
      <c r="W57">
        <v>71.919427399989203</v>
      </c>
      <c r="X57">
        <v>72.418463699985296</v>
      </c>
      <c r="Y57">
        <v>72.418463699985296</v>
      </c>
      <c r="Z57">
        <v>72.418463699985296</v>
      </c>
      <c r="AA57">
        <v>73.355805300001506</v>
      </c>
      <c r="AB57" t="s">
        <v>63</v>
      </c>
      <c r="AC57">
        <v>1</v>
      </c>
      <c r="AD57">
        <v>0.92975250002928</v>
      </c>
      <c r="AE57" t="s">
        <v>51</v>
      </c>
      <c r="AI57">
        <v>5</v>
      </c>
      <c r="AJ57">
        <v>1</v>
      </c>
      <c r="AK57" t="s">
        <v>87</v>
      </c>
      <c r="AL57" t="s">
        <v>43</v>
      </c>
      <c r="AN57" t="s">
        <v>44</v>
      </c>
      <c r="AO57">
        <v>60.129904655169099</v>
      </c>
      <c r="AP57" t="s">
        <v>88</v>
      </c>
    </row>
    <row r="58" spans="1:42" x14ac:dyDescent="0.3">
      <c r="A58" t="s">
        <v>67</v>
      </c>
      <c r="B58" t="s">
        <v>47</v>
      </c>
      <c r="C58" t="s">
        <v>53</v>
      </c>
      <c r="D58" t="s">
        <v>49</v>
      </c>
      <c r="E58" t="s">
        <v>54</v>
      </c>
      <c r="F58">
        <v>55</v>
      </c>
      <c r="G58">
        <v>15</v>
      </c>
      <c r="H58">
        <v>2</v>
      </c>
      <c r="I58" t="s">
        <v>54</v>
      </c>
      <c r="J58">
        <v>1</v>
      </c>
      <c r="K58">
        <v>0.71451730001717795</v>
      </c>
      <c r="L58" t="s">
        <v>51</v>
      </c>
      <c r="M58">
        <v>2</v>
      </c>
      <c r="N58">
        <v>15</v>
      </c>
      <c r="O58">
        <v>55</v>
      </c>
      <c r="P58">
        <v>10</v>
      </c>
      <c r="Q58">
        <v>73.368484200036605</v>
      </c>
      <c r="V58">
        <v>73.3588879000162</v>
      </c>
      <c r="W58">
        <v>73.368484200036605</v>
      </c>
      <c r="X58">
        <v>73.868328100012107</v>
      </c>
      <c r="Y58">
        <v>73.868328100012107</v>
      </c>
      <c r="Z58">
        <v>73.868328100012107</v>
      </c>
      <c r="AA58">
        <v>74.590264199999993</v>
      </c>
      <c r="AB58" t="s">
        <v>54</v>
      </c>
      <c r="AC58">
        <v>1</v>
      </c>
      <c r="AD58">
        <v>0.71451730001717795</v>
      </c>
      <c r="AE58" t="s">
        <v>51</v>
      </c>
      <c r="AI58">
        <v>5</v>
      </c>
      <c r="AJ58">
        <v>1</v>
      </c>
      <c r="AK58" t="s">
        <v>87</v>
      </c>
      <c r="AL58" t="s">
        <v>43</v>
      </c>
      <c r="AN58" t="s">
        <v>44</v>
      </c>
      <c r="AO58">
        <v>60.129904655169099</v>
      </c>
      <c r="AP58" t="s">
        <v>88</v>
      </c>
    </row>
    <row r="59" spans="1:42" x14ac:dyDescent="0.3">
      <c r="A59" t="s">
        <v>68</v>
      </c>
      <c r="B59" t="s">
        <v>59</v>
      </c>
      <c r="C59" t="s">
        <v>53</v>
      </c>
      <c r="D59" t="s">
        <v>49</v>
      </c>
      <c r="E59" t="s">
        <v>54</v>
      </c>
      <c r="F59">
        <v>56</v>
      </c>
      <c r="G59">
        <v>16</v>
      </c>
      <c r="H59">
        <v>2</v>
      </c>
      <c r="I59" t="s">
        <v>54</v>
      </c>
      <c r="J59">
        <v>1</v>
      </c>
      <c r="K59">
        <v>0.48893940000561997</v>
      </c>
      <c r="L59" t="s">
        <v>51</v>
      </c>
      <c r="M59">
        <v>2</v>
      </c>
      <c r="N59">
        <v>16</v>
      </c>
      <c r="O59">
        <v>56</v>
      </c>
      <c r="P59">
        <v>6</v>
      </c>
      <c r="Q59">
        <v>74.601597800035904</v>
      </c>
      <c r="V59">
        <v>74.592903800017595</v>
      </c>
      <c r="W59">
        <v>74.601597800035904</v>
      </c>
      <c r="X59">
        <v>75.102588900015604</v>
      </c>
      <c r="Y59">
        <v>75.102588900015604</v>
      </c>
      <c r="Z59">
        <v>75.102588900015604</v>
      </c>
      <c r="AA59">
        <v>75.605231299996305</v>
      </c>
      <c r="AB59" t="s">
        <v>54</v>
      </c>
      <c r="AC59">
        <v>1</v>
      </c>
      <c r="AD59">
        <v>0.48893940000561997</v>
      </c>
      <c r="AE59" t="s">
        <v>51</v>
      </c>
      <c r="AI59">
        <v>5</v>
      </c>
      <c r="AJ59">
        <v>1</v>
      </c>
      <c r="AK59" t="s">
        <v>87</v>
      </c>
      <c r="AL59" t="s">
        <v>43</v>
      </c>
      <c r="AN59" t="s">
        <v>44</v>
      </c>
      <c r="AO59">
        <v>60.129904655169099</v>
      </c>
      <c r="AP59" t="s">
        <v>88</v>
      </c>
    </row>
    <row r="60" spans="1:42" x14ac:dyDescent="0.3">
      <c r="A60" t="s">
        <v>52</v>
      </c>
      <c r="B60" t="s">
        <v>47</v>
      </c>
      <c r="C60" t="s">
        <v>53</v>
      </c>
      <c r="D60" t="s">
        <v>49</v>
      </c>
      <c r="E60" t="s">
        <v>54</v>
      </c>
      <c r="F60">
        <v>57</v>
      </c>
      <c r="G60">
        <v>17</v>
      </c>
      <c r="H60">
        <v>2</v>
      </c>
      <c r="I60" t="s">
        <v>54</v>
      </c>
      <c r="J60">
        <v>1</v>
      </c>
      <c r="K60">
        <v>0.41223529999842801</v>
      </c>
      <c r="L60" t="s">
        <v>51</v>
      </c>
      <c r="M60">
        <v>2</v>
      </c>
      <c r="N60">
        <v>17</v>
      </c>
      <c r="O60">
        <v>57</v>
      </c>
      <c r="P60">
        <v>14</v>
      </c>
      <c r="Q60">
        <v>75.618248799990397</v>
      </c>
      <c r="V60">
        <v>75.608186600031303</v>
      </c>
      <c r="W60">
        <v>75.618248799990397</v>
      </c>
      <c r="X60">
        <v>76.118163200037003</v>
      </c>
      <c r="Y60">
        <v>76.118163200037003</v>
      </c>
      <c r="Z60">
        <v>76.118163200037003</v>
      </c>
      <c r="AA60">
        <v>76.538732999993897</v>
      </c>
      <c r="AB60" t="s">
        <v>54</v>
      </c>
      <c r="AC60">
        <v>1</v>
      </c>
      <c r="AD60">
        <v>0.41223529999842801</v>
      </c>
      <c r="AE60" t="s">
        <v>51</v>
      </c>
      <c r="AI60">
        <v>5</v>
      </c>
      <c r="AJ60">
        <v>1</v>
      </c>
      <c r="AK60" t="s">
        <v>87</v>
      </c>
      <c r="AL60" t="s">
        <v>43</v>
      </c>
      <c r="AN60" t="s">
        <v>44</v>
      </c>
      <c r="AO60">
        <v>60.129904655169099</v>
      </c>
      <c r="AP60" t="s">
        <v>88</v>
      </c>
    </row>
    <row r="61" spans="1:42" x14ac:dyDescent="0.3">
      <c r="A61" t="s">
        <v>64</v>
      </c>
      <c r="B61" t="s">
        <v>47</v>
      </c>
      <c r="C61" t="s">
        <v>53</v>
      </c>
      <c r="D61" t="s">
        <v>49</v>
      </c>
      <c r="E61" t="s">
        <v>54</v>
      </c>
      <c r="F61">
        <v>58</v>
      </c>
      <c r="G61">
        <v>18</v>
      </c>
      <c r="H61">
        <v>2</v>
      </c>
      <c r="I61" t="s">
        <v>54</v>
      </c>
      <c r="J61">
        <v>1</v>
      </c>
      <c r="K61">
        <v>0.41847119998419602</v>
      </c>
      <c r="L61" t="s">
        <v>51</v>
      </c>
      <c r="M61">
        <v>2</v>
      </c>
      <c r="N61">
        <v>18</v>
      </c>
      <c r="O61">
        <v>58</v>
      </c>
      <c r="P61">
        <v>18</v>
      </c>
      <c r="Q61">
        <v>76.5518661999958</v>
      </c>
      <c r="V61">
        <v>76.541163299989407</v>
      </c>
      <c r="W61">
        <v>76.5518661999958</v>
      </c>
      <c r="X61">
        <v>77.052103099995193</v>
      </c>
      <c r="Y61">
        <v>77.052103099995193</v>
      </c>
      <c r="Z61">
        <v>77.052103099995193</v>
      </c>
      <c r="AA61">
        <v>77.472581900015896</v>
      </c>
      <c r="AB61" t="s">
        <v>54</v>
      </c>
      <c r="AC61">
        <v>1</v>
      </c>
      <c r="AD61">
        <v>0.41847119998419602</v>
      </c>
      <c r="AE61" t="s">
        <v>51</v>
      </c>
      <c r="AI61">
        <v>5</v>
      </c>
      <c r="AJ61">
        <v>1</v>
      </c>
      <c r="AK61" t="s">
        <v>87</v>
      </c>
      <c r="AL61" t="s">
        <v>43</v>
      </c>
      <c r="AN61" t="s">
        <v>44</v>
      </c>
      <c r="AO61">
        <v>60.129904655169099</v>
      </c>
      <c r="AP61" t="s">
        <v>88</v>
      </c>
    </row>
    <row r="62" spans="1:42" x14ac:dyDescent="0.3">
      <c r="A62" t="s">
        <v>60</v>
      </c>
      <c r="B62" t="s">
        <v>59</v>
      </c>
      <c r="C62" t="s">
        <v>61</v>
      </c>
      <c r="D62" t="s">
        <v>62</v>
      </c>
      <c r="E62" t="s">
        <v>63</v>
      </c>
      <c r="F62">
        <v>59</v>
      </c>
      <c r="G62">
        <v>19</v>
      </c>
      <c r="H62">
        <v>2</v>
      </c>
      <c r="I62" t="s">
        <v>63</v>
      </c>
      <c r="J62">
        <v>1</v>
      </c>
      <c r="K62">
        <v>0.68561610003234796</v>
      </c>
      <c r="L62" t="s">
        <v>51</v>
      </c>
      <c r="M62">
        <v>2</v>
      </c>
      <c r="N62">
        <v>19</v>
      </c>
      <c r="O62">
        <v>59</v>
      </c>
      <c r="P62">
        <v>0</v>
      </c>
      <c r="Q62">
        <v>77.484731900040003</v>
      </c>
      <c r="V62">
        <v>77.4756600999971</v>
      </c>
      <c r="W62">
        <v>77.484731900040003</v>
      </c>
      <c r="X62">
        <v>77.984876000031306</v>
      </c>
      <c r="Y62">
        <v>77.984876000031306</v>
      </c>
      <c r="Z62">
        <v>77.984876000031306</v>
      </c>
      <c r="AA62">
        <v>78.672391600033706</v>
      </c>
      <c r="AB62" t="s">
        <v>63</v>
      </c>
      <c r="AC62">
        <v>1</v>
      </c>
      <c r="AD62">
        <v>0.68561610003234796</v>
      </c>
      <c r="AE62" t="s">
        <v>51</v>
      </c>
      <c r="AI62">
        <v>5</v>
      </c>
      <c r="AJ62">
        <v>1</v>
      </c>
      <c r="AK62" t="s">
        <v>87</v>
      </c>
      <c r="AL62" t="s">
        <v>43</v>
      </c>
      <c r="AN62" t="s">
        <v>44</v>
      </c>
      <c r="AO62">
        <v>60.129904655169099</v>
      </c>
      <c r="AP62" t="s">
        <v>88</v>
      </c>
    </row>
    <row r="63" spans="1:42" x14ac:dyDescent="0.3">
      <c r="A63" t="s">
        <v>52</v>
      </c>
      <c r="B63" t="s">
        <v>47</v>
      </c>
      <c r="C63" t="s">
        <v>53</v>
      </c>
      <c r="D63" t="s">
        <v>49</v>
      </c>
      <c r="E63" t="s">
        <v>54</v>
      </c>
      <c r="F63">
        <v>60</v>
      </c>
      <c r="G63">
        <v>0</v>
      </c>
      <c r="H63">
        <v>3</v>
      </c>
      <c r="I63" t="s">
        <v>54</v>
      </c>
      <c r="J63">
        <v>1</v>
      </c>
      <c r="K63">
        <v>0.62058359995717105</v>
      </c>
      <c r="L63" t="s">
        <v>51</v>
      </c>
      <c r="M63">
        <v>3</v>
      </c>
      <c r="N63">
        <v>0</v>
      </c>
      <c r="O63">
        <v>60</v>
      </c>
      <c r="P63">
        <v>14</v>
      </c>
      <c r="Q63">
        <v>78.684706000029095</v>
      </c>
      <c r="V63">
        <v>78.675112500029996</v>
      </c>
      <c r="W63">
        <v>78.684706000029095</v>
      </c>
      <c r="X63">
        <v>79.185257700039003</v>
      </c>
      <c r="Y63">
        <v>79.185257700039003</v>
      </c>
      <c r="Z63">
        <v>79.185257700039003</v>
      </c>
      <c r="AA63">
        <v>79.822083500039298</v>
      </c>
      <c r="AB63" t="s">
        <v>54</v>
      </c>
      <c r="AC63">
        <v>1</v>
      </c>
      <c r="AD63">
        <v>0.62058359995717105</v>
      </c>
      <c r="AE63" t="s">
        <v>51</v>
      </c>
      <c r="AI63">
        <v>5</v>
      </c>
      <c r="AJ63">
        <v>1</v>
      </c>
      <c r="AK63" t="s">
        <v>87</v>
      </c>
      <c r="AL63" t="s">
        <v>43</v>
      </c>
      <c r="AN63" t="s">
        <v>44</v>
      </c>
      <c r="AO63">
        <v>60.129904655169099</v>
      </c>
      <c r="AP63" t="s">
        <v>88</v>
      </c>
    </row>
    <row r="64" spans="1:42" x14ac:dyDescent="0.3">
      <c r="A64" t="s">
        <v>76</v>
      </c>
      <c r="B64" t="s">
        <v>59</v>
      </c>
      <c r="C64" t="s">
        <v>48</v>
      </c>
      <c r="D64" t="s">
        <v>49</v>
      </c>
      <c r="E64" t="s">
        <v>50</v>
      </c>
      <c r="F64">
        <v>61</v>
      </c>
      <c r="G64">
        <v>1</v>
      </c>
      <c r="H64">
        <v>3</v>
      </c>
      <c r="I64" t="s">
        <v>50</v>
      </c>
      <c r="J64">
        <v>1</v>
      </c>
      <c r="K64">
        <v>0.60547459998633701</v>
      </c>
      <c r="L64" t="s">
        <v>51</v>
      </c>
      <c r="M64">
        <v>3</v>
      </c>
      <c r="N64">
        <v>1</v>
      </c>
      <c r="O64">
        <v>61</v>
      </c>
      <c r="P64">
        <v>3</v>
      </c>
      <c r="Q64">
        <v>79.834770300018107</v>
      </c>
      <c r="V64">
        <v>79.824665600026407</v>
      </c>
      <c r="W64">
        <v>79.834770300018107</v>
      </c>
      <c r="X64">
        <v>80.335110099986196</v>
      </c>
      <c r="Y64">
        <v>80.335110099986196</v>
      </c>
      <c r="Z64">
        <v>80.335110099986196</v>
      </c>
      <c r="AA64">
        <v>80.956935800029896</v>
      </c>
      <c r="AB64" t="s">
        <v>50</v>
      </c>
      <c r="AC64">
        <v>1</v>
      </c>
      <c r="AD64">
        <v>0.60547459998633701</v>
      </c>
      <c r="AE64" t="s">
        <v>51</v>
      </c>
      <c r="AI64">
        <v>5</v>
      </c>
      <c r="AJ64">
        <v>1</v>
      </c>
      <c r="AK64" t="s">
        <v>87</v>
      </c>
      <c r="AL64" t="s">
        <v>43</v>
      </c>
      <c r="AN64" t="s">
        <v>44</v>
      </c>
      <c r="AO64">
        <v>60.129904655169099</v>
      </c>
      <c r="AP64" t="s">
        <v>88</v>
      </c>
    </row>
    <row r="65" spans="1:42" x14ac:dyDescent="0.3">
      <c r="A65" t="s">
        <v>72</v>
      </c>
      <c r="B65" t="s">
        <v>59</v>
      </c>
      <c r="C65" t="s">
        <v>61</v>
      </c>
      <c r="D65" t="s">
        <v>62</v>
      </c>
      <c r="E65" t="s">
        <v>63</v>
      </c>
      <c r="F65">
        <v>62</v>
      </c>
      <c r="G65">
        <v>2</v>
      </c>
      <c r="H65">
        <v>3</v>
      </c>
      <c r="I65" t="s">
        <v>63</v>
      </c>
      <c r="J65">
        <v>1</v>
      </c>
      <c r="K65">
        <v>0.64799759996822104</v>
      </c>
      <c r="L65" t="s">
        <v>51</v>
      </c>
      <c r="M65">
        <v>3</v>
      </c>
      <c r="N65">
        <v>2</v>
      </c>
      <c r="O65">
        <v>62</v>
      </c>
      <c r="P65">
        <v>8</v>
      </c>
      <c r="Q65">
        <v>80.968017200008006</v>
      </c>
      <c r="V65">
        <v>80.959812999994</v>
      </c>
      <c r="W65">
        <v>80.968017200008006</v>
      </c>
      <c r="X65">
        <v>81.467797000019303</v>
      </c>
      <c r="Y65">
        <v>81.467797000019303</v>
      </c>
      <c r="Z65">
        <v>81.467797000019303</v>
      </c>
      <c r="AA65">
        <v>82.122312500025103</v>
      </c>
      <c r="AB65" t="s">
        <v>63</v>
      </c>
      <c r="AC65">
        <v>1</v>
      </c>
      <c r="AD65">
        <v>0.64799759996822104</v>
      </c>
      <c r="AE65" t="s">
        <v>51</v>
      </c>
      <c r="AI65">
        <v>5</v>
      </c>
      <c r="AJ65">
        <v>1</v>
      </c>
      <c r="AK65" t="s">
        <v>87</v>
      </c>
      <c r="AL65" t="s">
        <v>43</v>
      </c>
      <c r="AN65" t="s">
        <v>44</v>
      </c>
      <c r="AO65">
        <v>60.129904655169099</v>
      </c>
      <c r="AP65" t="s">
        <v>88</v>
      </c>
    </row>
    <row r="66" spans="1:42" x14ac:dyDescent="0.3">
      <c r="A66" t="s">
        <v>46</v>
      </c>
      <c r="B66" t="s">
        <v>47</v>
      </c>
      <c r="C66" t="s">
        <v>48</v>
      </c>
      <c r="D66" t="s">
        <v>49</v>
      </c>
      <c r="E66" t="s">
        <v>50</v>
      </c>
      <c r="F66">
        <v>63</v>
      </c>
      <c r="G66">
        <v>3</v>
      </c>
      <c r="H66">
        <v>3</v>
      </c>
      <c r="I66" t="s">
        <v>57</v>
      </c>
      <c r="J66">
        <v>0</v>
      </c>
      <c r="K66">
        <v>1.01238499995088</v>
      </c>
      <c r="L66" t="s">
        <v>51</v>
      </c>
      <c r="M66">
        <v>3</v>
      </c>
      <c r="N66">
        <v>3</v>
      </c>
      <c r="O66">
        <v>63</v>
      </c>
      <c r="P66">
        <v>19</v>
      </c>
      <c r="Q66">
        <v>82.135307600023197</v>
      </c>
      <c r="V66">
        <v>82.124825100007001</v>
      </c>
      <c r="W66">
        <v>82.135307600023197</v>
      </c>
      <c r="X66">
        <v>82.634639099997003</v>
      </c>
      <c r="Y66">
        <v>82.634639099997003</v>
      </c>
      <c r="Z66">
        <v>82.634639099997003</v>
      </c>
      <c r="AA66">
        <v>83.654924500035094</v>
      </c>
      <c r="AB66" t="s">
        <v>57</v>
      </c>
      <c r="AC66">
        <v>0</v>
      </c>
      <c r="AD66">
        <v>1.01238499995088</v>
      </c>
      <c r="AE66" t="s">
        <v>51</v>
      </c>
      <c r="AI66">
        <v>5</v>
      </c>
      <c r="AJ66">
        <v>1</v>
      </c>
      <c r="AK66" t="s">
        <v>87</v>
      </c>
      <c r="AL66" t="s">
        <v>43</v>
      </c>
      <c r="AN66" t="s">
        <v>44</v>
      </c>
      <c r="AO66">
        <v>60.129904655169099</v>
      </c>
      <c r="AP66" t="s">
        <v>88</v>
      </c>
    </row>
    <row r="67" spans="1:42" x14ac:dyDescent="0.3">
      <c r="A67" t="s">
        <v>65</v>
      </c>
      <c r="B67" t="s">
        <v>59</v>
      </c>
      <c r="C67" t="s">
        <v>56</v>
      </c>
      <c r="D67" t="s">
        <v>49</v>
      </c>
      <c r="E67" t="s">
        <v>57</v>
      </c>
      <c r="F67">
        <v>64</v>
      </c>
      <c r="G67">
        <v>4</v>
      </c>
      <c r="H67">
        <v>3</v>
      </c>
      <c r="I67" t="s">
        <v>57</v>
      </c>
      <c r="J67">
        <v>1</v>
      </c>
      <c r="K67">
        <v>0.578986099979374</v>
      </c>
      <c r="L67" t="s">
        <v>51</v>
      </c>
      <c r="M67">
        <v>3</v>
      </c>
      <c r="N67">
        <v>4</v>
      </c>
      <c r="O67">
        <v>64</v>
      </c>
      <c r="P67">
        <v>9</v>
      </c>
      <c r="Q67">
        <v>83.667698300036093</v>
      </c>
      <c r="V67">
        <v>83.657915399991893</v>
      </c>
      <c r="W67">
        <v>83.667698300036093</v>
      </c>
      <c r="X67">
        <v>84.168421300011602</v>
      </c>
      <c r="Y67">
        <v>84.168421300011602</v>
      </c>
      <c r="Z67">
        <v>84.168421300011602</v>
      </c>
      <c r="AA67">
        <v>84.754928799986303</v>
      </c>
      <c r="AB67" t="s">
        <v>57</v>
      </c>
      <c r="AC67">
        <v>1</v>
      </c>
      <c r="AD67">
        <v>0.578986099979374</v>
      </c>
      <c r="AE67" t="s">
        <v>51</v>
      </c>
      <c r="AI67">
        <v>5</v>
      </c>
      <c r="AJ67">
        <v>1</v>
      </c>
      <c r="AK67" t="s">
        <v>87</v>
      </c>
      <c r="AL67" t="s">
        <v>43</v>
      </c>
      <c r="AN67" t="s">
        <v>44</v>
      </c>
      <c r="AO67">
        <v>60.129904655169099</v>
      </c>
      <c r="AP67" t="s">
        <v>88</v>
      </c>
    </row>
    <row r="68" spans="1:42" x14ac:dyDescent="0.3">
      <c r="A68" t="s">
        <v>77</v>
      </c>
      <c r="B68" t="s">
        <v>59</v>
      </c>
      <c r="C68" t="s">
        <v>61</v>
      </c>
      <c r="D68" t="s">
        <v>62</v>
      </c>
      <c r="E68" t="s">
        <v>63</v>
      </c>
      <c r="F68">
        <v>65</v>
      </c>
      <c r="G68">
        <v>5</v>
      </c>
      <c r="H68">
        <v>3</v>
      </c>
      <c r="I68" t="s">
        <v>63</v>
      </c>
      <c r="J68">
        <v>1</v>
      </c>
      <c r="K68">
        <v>0.58805439999559805</v>
      </c>
      <c r="L68" t="s">
        <v>51</v>
      </c>
      <c r="M68">
        <v>3</v>
      </c>
      <c r="N68">
        <v>5</v>
      </c>
      <c r="O68">
        <v>65</v>
      </c>
      <c r="P68">
        <v>4</v>
      </c>
      <c r="Q68">
        <v>84.768181900028097</v>
      </c>
      <c r="V68">
        <v>84.757918599992905</v>
      </c>
      <c r="W68">
        <v>84.768181900028097</v>
      </c>
      <c r="X68">
        <v>85.267854000034205</v>
      </c>
      <c r="Y68">
        <v>85.267854000034205</v>
      </c>
      <c r="Z68">
        <v>85.267854000034205</v>
      </c>
      <c r="AA68">
        <v>85.871409200015407</v>
      </c>
      <c r="AB68" t="s">
        <v>63</v>
      </c>
      <c r="AC68">
        <v>1</v>
      </c>
      <c r="AD68">
        <v>0.58805439999559805</v>
      </c>
      <c r="AE68" t="s">
        <v>51</v>
      </c>
      <c r="AI68">
        <v>5</v>
      </c>
      <c r="AJ68">
        <v>1</v>
      </c>
      <c r="AK68" t="s">
        <v>87</v>
      </c>
      <c r="AL68" t="s">
        <v>43</v>
      </c>
      <c r="AN68" t="s">
        <v>44</v>
      </c>
      <c r="AO68">
        <v>60.129904655169099</v>
      </c>
      <c r="AP68" t="s">
        <v>88</v>
      </c>
    </row>
    <row r="69" spans="1:42" x14ac:dyDescent="0.3">
      <c r="A69" t="s">
        <v>69</v>
      </c>
      <c r="B69" t="s">
        <v>59</v>
      </c>
      <c r="C69" t="s">
        <v>56</v>
      </c>
      <c r="D69" t="s">
        <v>49</v>
      </c>
      <c r="E69" t="s">
        <v>57</v>
      </c>
      <c r="F69">
        <v>66</v>
      </c>
      <c r="G69">
        <v>6</v>
      </c>
      <c r="H69">
        <v>3</v>
      </c>
      <c r="I69" t="s">
        <v>57</v>
      </c>
      <c r="J69">
        <v>1</v>
      </c>
      <c r="K69">
        <v>1.1273412000155001</v>
      </c>
      <c r="L69" t="s">
        <v>51</v>
      </c>
      <c r="M69">
        <v>3</v>
      </c>
      <c r="N69">
        <v>6</v>
      </c>
      <c r="O69">
        <v>66</v>
      </c>
      <c r="P69">
        <v>5</v>
      </c>
      <c r="Q69">
        <v>85.884439099987503</v>
      </c>
      <c r="V69">
        <v>85.875349400041102</v>
      </c>
      <c r="W69">
        <v>85.884439099987503</v>
      </c>
      <c r="X69">
        <v>86.385177700023604</v>
      </c>
      <c r="Y69">
        <v>86.385177700023604</v>
      </c>
      <c r="Z69">
        <v>86.385177700023604</v>
      </c>
      <c r="AA69">
        <v>87.521966600033906</v>
      </c>
      <c r="AB69" t="s">
        <v>57</v>
      </c>
      <c r="AC69">
        <v>1</v>
      </c>
      <c r="AD69">
        <v>1.1273412000155001</v>
      </c>
      <c r="AE69" t="s">
        <v>51</v>
      </c>
      <c r="AI69">
        <v>5</v>
      </c>
      <c r="AJ69">
        <v>1</v>
      </c>
      <c r="AK69" t="s">
        <v>87</v>
      </c>
      <c r="AL69" t="s">
        <v>43</v>
      </c>
      <c r="AN69" t="s">
        <v>44</v>
      </c>
      <c r="AO69">
        <v>60.129904655169099</v>
      </c>
      <c r="AP69" t="s">
        <v>88</v>
      </c>
    </row>
    <row r="70" spans="1:42" x14ac:dyDescent="0.3">
      <c r="A70" t="s">
        <v>64</v>
      </c>
      <c r="B70" t="s">
        <v>47</v>
      </c>
      <c r="C70" t="s">
        <v>53</v>
      </c>
      <c r="D70" t="s">
        <v>49</v>
      </c>
      <c r="E70" t="s">
        <v>54</v>
      </c>
      <c r="F70">
        <v>67</v>
      </c>
      <c r="G70">
        <v>7</v>
      </c>
      <c r="H70">
        <v>3</v>
      </c>
      <c r="I70" t="s">
        <v>54</v>
      </c>
      <c r="J70">
        <v>1</v>
      </c>
      <c r="K70">
        <v>0.729228700045496</v>
      </c>
      <c r="L70" t="s">
        <v>51</v>
      </c>
      <c r="M70">
        <v>3</v>
      </c>
      <c r="N70">
        <v>7</v>
      </c>
      <c r="O70">
        <v>67</v>
      </c>
      <c r="P70">
        <v>18</v>
      </c>
      <c r="Q70">
        <v>87.534933499991894</v>
      </c>
      <c r="V70">
        <v>87.524484499997897</v>
      </c>
      <c r="W70">
        <v>87.534933499991894</v>
      </c>
      <c r="X70">
        <v>88.035014100023503</v>
      </c>
      <c r="Y70">
        <v>88.035014100023503</v>
      </c>
      <c r="Z70">
        <v>88.035014100023503</v>
      </c>
      <c r="AA70">
        <v>88.771436800016005</v>
      </c>
      <c r="AB70" t="s">
        <v>54</v>
      </c>
      <c r="AC70">
        <v>1</v>
      </c>
      <c r="AD70">
        <v>0.729228700045496</v>
      </c>
      <c r="AE70" t="s">
        <v>51</v>
      </c>
      <c r="AI70">
        <v>5</v>
      </c>
      <c r="AJ70">
        <v>1</v>
      </c>
      <c r="AK70" t="s">
        <v>87</v>
      </c>
      <c r="AL70" t="s">
        <v>43</v>
      </c>
      <c r="AN70" t="s">
        <v>44</v>
      </c>
      <c r="AO70">
        <v>60.129904655169099</v>
      </c>
      <c r="AP70" t="s">
        <v>88</v>
      </c>
    </row>
    <row r="71" spans="1:42" x14ac:dyDescent="0.3">
      <c r="A71" t="s">
        <v>74</v>
      </c>
      <c r="B71" t="s">
        <v>47</v>
      </c>
      <c r="C71" t="s">
        <v>48</v>
      </c>
      <c r="D71" t="s">
        <v>49</v>
      </c>
      <c r="E71" t="s">
        <v>50</v>
      </c>
      <c r="F71">
        <v>68</v>
      </c>
      <c r="G71">
        <v>8</v>
      </c>
      <c r="H71">
        <v>3</v>
      </c>
      <c r="I71" t="s">
        <v>50</v>
      </c>
      <c r="J71">
        <v>1</v>
      </c>
      <c r="K71">
        <v>0.47972689999733098</v>
      </c>
      <c r="L71" t="s">
        <v>51</v>
      </c>
      <c r="M71">
        <v>3</v>
      </c>
      <c r="N71">
        <v>8</v>
      </c>
      <c r="O71">
        <v>68</v>
      </c>
      <c r="P71">
        <v>11</v>
      </c>
      <c r="Q71">
        <v>88.784486000018603</v>
      </c>
      <c r="V71">
        <v>88.774098200024994</v>
      </c>
      <c r="W71">
        <v>88.784486000018603</v>
      </c>
      <c r="X71">
        <v>89.284134600020394</v>
      </c>
      <c r="Y71">
        <v>89.284134600020394</v>
      </c>
      <c r="Z71">
        <v>89.284134600020394</v>
      </c>
      <c r="AA71">
        <v>89.771292200020895</v>
      </c>
      <c r="AB71" t="s">
        <v>50</v>
      </c>
      <c r="AC71">
        <v>1</v>
      </c>
      <c r="AD71">
        <v>0.47972689999733098</v>
      </c>
      <c r="AE71" t="s">
        <v>51</v>
      </c>
      <c r="AI71">
        <v>5</v>
      </c>
      <c r="AJ71">
        <v>1</v>
      </c>
      <c r="AK71" t="s">
        <v>87</v>
      </c>
      <c r="AL71" t="s">
        <v>43</v>
      </c>
      <c r="AN71" t="s">
        <v>44</v>
      </c>
      <c r="AO71">
        <v>60.129904655169099</v>
      </c>
      <c r="AP71" t="s">
        <v>88</v>
      </c>
    </row>
    <row r="72" spans="1:42" x14ac:dyDescent="0.3">
      <c r="A72" t="s">
        <v>55</v>
      </c>
      <c r="B72" t="s">
        <v>47</v>
      </c>
      <c r="C72" t="s">
        <v>56</v>
      </c>
      <c r="D72" t="s">
        <v>49</v>
      </c>
      <c r="E72" t="s">
        <v>57</v>
      </c>
      <c r="F72">
        <v>69</v>
      </c>
      <c r="G72">
        <v>9</v>
      </c>
      <c r="H72">
        <v>3</v>
      </c>
      <c r="I72" t="s">
        <v>57</v>
      </c>
      <c r="J72">
        <v>1</v>
      </c>
      <c r="K72">
        <v>0.68389479996403602</v>
      </c>
      <c r="L72" t="s">
        <v>51</v>
      </c>
      <c r="M72">
        <v>3</v>
      </c>
      <c r="N72">
        <v>9</v>
      </c>
      <c r="O72">
        <v>69</v>
      </c>
      <c r="P72">
        <v>13</v>
      </c>
      <c r="Q72">
        <v>89.784421199990902</v>
      </c>
      <c r="V72">
        <v>89.773826599994194</v>
      </c>
      <c r="W72">
        <v>89.784421199990902</v>
      </c>
      <c r="X72">
        <v>90.284828300005699</v>
      </c>
      <c r="Y72">
        <v>90.284828300005699</v>
      </c>
      <c r="Z72">
        <v>90.284828300005699</v>
      </c>
      <c r="AA72">
        <v>90.971697900036801</v>
      </c>
      <c r="AB72" t="s">
        <v>57</v>
      </c>
      <c r="AC72">
        <v>1</v>
      </c>
      <c r="AD72">
        <v>0.68389479996403602</v>
      </c>
      <c r="AE72" t="s">
        <v>51</v>
      </c>
      <c r="AI72">
        <v>5</v>
      </c>
      <c r="AJ72">
        <v>1</v>
      </c>
      <c r="AK72" t="s">
        <v>87</v>
      </c>
      <c r="AL72" t="s">
        <v>43</v>
      </c>
      <c r="AN72" t="s">
        <v>44</v>
      </c>
      <c r="AO72">
        <v>60.129904655169099</v>
      </c>
      <c r="AP72" t="s">
        <v>88</v>
      </c>
    </row>
    <row r="73" spans="1:42" x14ac:dyDescent="0.3">
      <c r="A73" t="s">
        <v>75</v>
      </c>
      <c r="B73" t="s">
        <v>47</v>
      </c>
      <c r="C73" t="s">
        <v>61</v>
      </c>
      <c r="D73" t="s">
        <v>49</v>
      </c>
      <c r="E73" t="s">
        <v>63</v>
      </c>
      <c r="F73">
        <v>70</v>
      </c>
      <c r="G73">
        <v>10</v>
      </c>
      <c r="H73">
        <v>3</v>
      </c>
      <c r="I73" t="s">
        <v>63</v>
      </c>
      <c r="J73">
        <v>1</v>
      </c>
      <c r="K73">
        <v>0.85615960002178304</v>
      </c>
      <c r="L73" t="s">
        <v>51</v>
      </c>
      <c r="M73">
        <v>3</v>
      </c>
      <c r="N73">
        <v>10</v>
      </c>
      <c r="O73">
        <v>70</v>
      </c>
      <c r="P73">
        <v>16</v>
      </c>
      <c r="Q73">
        <v>90.984582200006102</v>
      </c>
      <c r="V73">
        <v>90.974432500020995</v>
      </c>
      <c r="W73">
        <v>90.984582200006102</v>
      </c>
      <c r="X73">
        <v>91.484862799989003</v>
      </c>
      <c r="Y73">
        <v>91.484862799989003</v>
      </c>
      <c r="Z73">
        <v>91.484862799989003</v>
      </c>
      <c r="AA73">
        <v>92.3548721999977</v>
      </c>
      <c r="AB73" t="s">
        <v>63</v>
      </c>
      <c r="AC73">
        <v>1</v>
      </c>
      <c r="AD73">
        <v>0.85615960002178304</v>
      </c>
      <c r="AE73" t="s">
        <v>51</v>
      </c>
      <c r="AI73">
        <v>5</v>
      </c>
      <c r="AJ73">
        <v>1</v>
      </c>
      <c r="AK73" t="s">
        <v>87</v>
      </c>
      <c r="AL73" t="s">
        <v>43</v>
      </c>
      <c r="AN73" t="s">
        <v>44</v>
      </c>
      <c r="AO73">
        <v>60.129904655169099</v>
      </c>
      <c r="AP73" t="s">
        <v>88</v>
      </c>
    </row>
    <row r="74" spans="1:42" x14ac:dyDescent="0.3">
      <c r="A74" t="s">
        <v>68</v>
      </c>
      <c r="B74" t="s">
        <v>59</v>
      </c>
      <c r="C74" t="s">
        <v>53</v>
      </c>
      <c r="D74" t="s">
        <v>49</v>
      </c>
      <c r="E74" t="s">
        <v>54</v>
      </c>
      <c r="F74">
        <v>71</v>
      </c>
      <c r="G74">
        <v>11</v>
      </c>
      <c r="H74">
        <v>3</v>
      </c>
      <c r="I74" t="s">
        <v>54</v>
      </c>
      <c r="J74">
        <v>1</v>
      </c>
      <c r="K74">
        <v>0.76055959996301603</v>
      </c>
      <c r="L74" t="s">
        <v>51</v>
      </c>
      <c r="M74">
        <v>3</v>
      </c>
      <c r="N74">
        <v>11</v>
      </c>
      <c r="O74">
        <v>71</v>
      </c>
      <c r="P74">
        <v>6</v>
      </c>
      <c r="Q74">
        <v>92.367617000010796</v>
      </c>
      <c r="V74">
        <v>92.357906499993902</v>
      </c>
      <c r="W74">
        <v>92.367617000010796</v>
      </c>
      <c r="X74">
        <v>92.867798699997294</v>
      </c>
      <c r="Y74">
        <v>92.867798699997294</v>
      </c>
      <c r="Z74">
        <v>92.867798699997294</v>
      </c>
      <c r="AA74">
        <v>93.637884200026704</v>
      </c>
      <c r="AB74" t="s">
        <v>54</v>
      </c>
      <c r="AC74">
        <v>1</v>
      </c>
      <c r="AD74">
        <v>0.76055959996301603</v>
      </c>
      <c r="AE74" t="s">
        <v>51</v>
      </c>
      <c r="AI74">
        <v>5</v>
      </c>
      <c r="AJ74">
        <v>1</v>
      </c>
      <c r="AK74" t="s">
        <v>87</v>
      </c>
      <c r="AL74" t="s">
        <v>43</v>
      </c>
      <c r="AN74" t="s">
        <v>44</v>
      </c>
      <c r="AO74">
        <v>60.129904655169099</v>
      </c>
      <c r="AP74" t="s">
        <v>88</v>
      </c>
    </row>
    <row r="75" spans="1:42" x14ac:dyDescent="0.3">
      <c r="A75" t="s">
        <v>71</v>
      </c>
      <c r="B75" t="s">
        <v>47</v>
      </c>
      <c r="C75" t="s">
        <v>48</v>
      </c>
      <c r="D75" t="s">
        <v>49</v>
      </c>
      <c r="E75" t="s">
        <v>50</v>
      </c>
      <c r="F75">
        <v>72</v>
      </c>
      <c r="G75">
        <v>12</v>
      </c>
      <c r="H75">
        <v>3</v>
      </c>
      <c r="I75" t="s">
        <v>50</v>
      </c>
      <c r="J75">
        <v>1</v>
      </c>
      <c r="K75">
        <v>0.46494080004049398</v>
      </c>
      <c r="L75" t="s">
        <v>51</v>
      </c>
      <c r="M75">
        <v>3</v>
      </c>
      <c r="N75">
        <v>12</v>
      </c>
      <c r="O75">
        <v>72</v>
      </c>
      <c r="P75">
        <v>15</v>
      </c>
      <c r="Q75">
        <v>93.651387899997601</v>
      </c>
      <c r="V75">
        <v>93.6404670000192</v>
      </c>
      <c r="W75">
        <v>93.651387899997601</v>
      </c>
      <c r="X75">
        <v>94.150763800018396</v>
      </c>
      <c r="Y75">
        <v>94.150763800018396</v>
      </c>
      <c r="Z75">
        <v>94.150763800018396</v>
      </c>
      <c r="AA75">
        <v>94.622367100033401</v>
      </c>
      <c r="AB75" t="s">
        <v>50</v>
      </c>
      <c r="AC75">
        <v>1</v>
      </c>
      <c r="AD75">
        <v>0.46494080004049398</v>
      </c>
      <c r="AE75" t="s">
        <v>51</v>
      </c>
      <c r="AI75">
        <v>5</v>
      </c>
      <c r="AJ75">
        <v>1</v>
      </c>
      <c r="AK75" t="s">
        <v>87</v>
      </c>
      <c r="AL75" t="s">
        <v>43</v>
      </c>
      <c r="AN75" t="s">
        <v>44</v>
      </c>
      <c r="AO75">
        <v>60.129904655169099</v>
      </c>
      <c r="AP75" t="s">
        <v>88</v>
      </c>
    </row>
    <row r="76" spans="1:42" x14ac:dyDescent="0.3">
      <c r="A76" t="s">
        <v>66</v>
      </c>
      <c r="B76" t="s">
        <v>47</v>
      </c>
      <c r="C76" t="s">
        <v>61</v>
      </c>
      <c r="D76" t="s">
        <v>49</v>
      </c>
      <c r="E76" t="s">
        <v>63</v>
      </c>
      <c r="F76">
        <v>73</v>
      </c>
      <c r="G76">
        <v>13</v>
      </c>
      <c r="H76">
        <v>3</v>
      </c>
      <c r="I76" t="s">
        <v>63</v>
      </c>
      <c r="J76">
        <v>1</v>
      </c>
      <c r="K76">
        <v>0.57266810000874102</v>
      </c>
      <c r="L76" t="s">
        <v>51</v>
      </c>
      <c r="M76">
        <v>3</v>
      </c>
      <c r="N76">
        <v>13</v>
      </c>
      <c r="O76">
        <v>73</v>
      </c>
      <c r="P76">
        <v>12</v>
      </c>
      <c r="Q76">
        <v>94.634031400026203</v>
      </c>
      <c r="V76">
        <v>94.626482799998399</v>
      </c>
      <c r="W76">
        <v>94.634031400026203</v>
      </c>
      <c r="X76">
        <v>95.134408199985003</v>
      </c>
      <c r="Y76">
        <v>95.134408199985003</v>
      </c>
      <c r="Z76">
        <v>95.134408199985003</v>
      </c>
      <c r="AA76">
        <v>95.720649400027398</v>
      </c>
      <c r="AB76" t="s">
        <v>63</v>
      </c>
      <c r="AC76">
        <v>1</v>
      </c>
      <c r="AD76">
        <v>0.57266810000874102</v>
      </c>
      <c r="AE76" t="s">
        <v>51</v>
      </c>
      <c r="AI76">
        <v>5</v>
      </c>
      <c r="AJ76">
        <v>1</v>
      </c>
      <c r="AK76" t="s">
        <v>87</v>
      </c>
      <c r="AL76" t="s">
        <v>43</v>
      </c>
      <c r="AN76" t="s">
        <v>44</v>
      </c>
      <c r="AO76">
        <v>60.129904655169099</v>
      </c>
      <c r="AP76" t="s">
        <v>88</v>
      </c>
    </row>
    <row r="77" spans="1:42" x14ac:dyDescent="0.3">
      <c r="A77" t="s">
        <v>73</v>
      </c>
      <c r="B77" t="s">
        <v>59</v>
      </c>
      <c r="C77" t="s">
        <v>56</v>
      </c>
      <c r="D77" t="s">
        <v>49</v>
      </c>
      <c r="E77" t="s">
        <v>57</v>
      </c>
      <c r="F77">
        <v>74</v>
      </c>
      <c r="G77">
        <v>14</v>
      </c>
      <c r="H77">
        <v>3</v>
      </c>
      <c r="I77" t="s">
        <v>57</v>
      </c>
      <c r="J77">
        <v>1</v>
      </c>
      <c r="K77">
        <v>0.69999669998651304</v>
      </c>
      <c r="L77" t="s">
        <v>51</v>
      </c>
      <c r="M77">
        <v>3</v>
      </c>
      <c r="N77">
        <v>14</v>
      </c>
      <c r="O77">
        <v>74</v>
      </c>
      <c r="P77">
        <v>1</v>
      </c>
      <c r="Q77">
        <v>95.7341253000195</v>
      </c>
      <c r="V77">
        <v>95.724007399985496</v>
      </c>
      <c r="W77">
        <v>95.7341253000195</v>
      </c>
      <c r="X77">
        <v>96.234353300009303</v>
      </c>
      <c r="Y77">
        <v>96.234353300009303</v>
      </c>
      <c r="Z77">
        <v>96.234353300009303</v>
      </c>
      <c r="AA77">
        <v>96.938274000014601</v>
      </c>
      <c r="AB77" t="s">
        <v>57</v>
      </c>
      <c r="AC77">
        <v>1</v>
      </c>
      <c r="AD77">
        <v>0.69999669998651304</v>
      </c>
      <c r="AE77" t="s">
        <v>51</v>
      </c>
      <c r="AI77">
        <v>5</v>
      </c>
      <c r="AJ77">
        <v>1</v>
      </c>
      <c r="AK77" t="s">
        <v>87</v>
      </c>
      <c r="AL77" t="s">
        <v>43</v>
      </c>
      <c r="AN77" t="s">
        <v>44</v>
      </c>
      <c r="AO77">
        <v>60.129904655169099</v>
      </c>
      <c r="AP77" t="s">
        <v>88</v>
      </c>
    </row>
    <row r="78" spans="1:42" x14ac:dyDescent="0.3">
      <c r="A78" t="s">
        <v>67</v>
      </c>
      <c r="B78" t="s">
        <v>47</v>
      </c>
      <c r="C78" t="s">
        <v>53</v>
      </c>
      <c r="D78" t="s">
        <v>49</v>
      </c>
      <c r="E78" t="s">
        <v>54</v>
      </c>
      <c r="F78">
        <v>75</v>
      </c>
      <c r="G78">
        <v>15</v>
      </c>
      <c r="H78">
        <v>3</v>
      </c>
      <c r="I78" t="s">
        <v>54</v>
      </c>
      <c r="J78">
        <v>1</v>
      </c>
      <c r="K78">
        <v>0.81994920002762195</v>
      </c>
      <c r="L78" t="s">
        <v>51</v>
      </c>
      <c r="M78">
        <v>3</v>
      </c>
      <c r="N78">
        <v>15</v>
      </c>
      <c r="O78">
        <v>75</v>
      </c>
      <c r="P78">
        <v>10</v>
      </c>
      <c r="Q78">
        <v>96.9507122000213</v>
      </c>
      <c r="V78">
        <v>96.940870499995</v>
      </c>
      <c r="W78">
        <v>96.9507122000213</v>
      </c>
      <c r="X78">
        <v>97.450890300038694</v>
      </c>
      <c r="Y78">
        <v>97.450890300038694</v>
      </c>
      <c r="Z78">
        <v>97.450890300038694</v>
      </c>
      <c r="AA78">
        <v>98.271793299994897</v>
      </c>
      <c r="AB78" t="s">
        <v>54</v>
      </c>
      <c r="AC78">
        <v>1</v>
      </c>
      <c r="AD78">
        <v>0.81994920002762195</v>
      </c>
      <c r="AE78" t="s">
        <v>51</v>
      </c>
      <c r="AI78">
        <v>5</v>
      </c>
      <c r="AJ78">
        <v>1</v>
      </c>
      <c r="AK78" t="s">
        <v>87</v>
      </c>
      <c r="AL78" t="s">
        <v>43</v>
      </c>
      <c r="AN78" t="s">
        <v>44</v>
      </c>
      <c r="AO78">
        <v>60.129904655169099</v>
      </c>
      <c r="AP78" t="s">
        <v>88</v>
      </c>
    </row>
    <row r="79" spans="1:42" x14ac:dyDescent="0.3">
      <c r="A79" t="s">
        <v>60</v>
      </c>
      <c r="B79" t="s">
        <v>59</v>
      </c>
      <c r="C79" t="s">
        <v>61</v>
      </c>
      <c r="D79" t="s">
        <v>62</v>
      </c>
      <c r="E79" t="s">
        <v>63</v>
      </c>
      <c r="F79">
        <v>76</v>
      </c>
      <c r="G79">
        <v>16</v>
      </c>
      <c r="H79">
        <v>3</v>
      </c>
      <c r="I79" t="s">
        <v>63</v>
      </c>
      <c r="J79">
        <v>1</v>
      </c>
      <c r="K79">
        <v>0.63032179995207105</v>
      </c>
      <c r="L79" t="s">
        <v>51</v>
      </c>
      <c r="M79">
        <v>3</v>
      </c>
      <c r="N79">
        <v>16</v>
      </c>
      <c r="O79">
        <v>76</v>
      </c>
      <c r="P79">
        <v>0</v>
      </c>
      <c r="Q79">
        <v>98.284367099986397</v>
      </c>
      <c r="V79">
        <v>98.275022500019901</v>
      </c>
      <c r="W79">
        <v>98.284367099986397</v>
      </c>
      <c r="X79">
        <v>98.784415400004903</v>
      </c>
      <c r="Y79">
        <v>98.784415400004903</v>
      </c>
      <c r="Z79">
        <v>98.784415400004903</v>
      </c>
      <c r="AA79">
        <v>99.421240199997499</v>
      </c>
      <c r="AB79" t="s">
        <v>63</v>
      </c>
      <c r="AC79">
        <v>1</v>
      </c>
      <c r="AD79">
        <v>0.63032179995207105</v>
      </c>
      <c r="AE79" t="s">
        <v>51</v>
      </c>
      <c r="AI79">
        <v>5</v>
      </c>
      <c r="AJ79">
        <v>1</v>
      </c>
      <c r="AK79" t="s">
        <v>87</v>
      </c>
      <c r="AL79" t="s">
        <v>43</v>
      </c>
      <c r="AN79" t="s">
        <v>44</v>
      </c>
      <c r="AO79">
        <v>60.129904655169099</v>
      </c>
      <c r="AP79" t="s">
        <v>88</v>
      </c>
    </row>
    <row r="80" spans="1:42" x14ac:dyDescent="0.3">
      <c r="A80" t="s">
        <v>78</v>
      </c>
      <c r="B80" t="s">
        <v>47</v>
      </c>
      <c r="C80" t="s">
        <v>56</v>
      </c>
      <c r="D80" t="s">
        <v>49</v>
      </c>
      <c r="E80" t="s">
        <v>57</v>
      </c>
      <c r="F80">
        <v>77</v>
      </c>
      <c r="G80">
        <v>17</v>
      </c>
      <c r="H80">
        <v>3</v>
      </c>
      <c r="I80" t="s">
        <v>57</v>
      </c>
      <c r="J80">
        <v>1</v>
      </c>
      <c r="K80">
        <v>0.89729729999089602</v>
      </c>
      <c r="L80" t="s">
        <v>51</v>
      </c>
      <c r="M80">
        <v>3</v>
      </c>
      <c r="N80">
        <v>17</v>
      </c>
      <c r="O80">
        <v>77</v>
      </c>
      <c r="P80">
        <v>17</v>
      </c>
      <c r="Q80">
        <v>99.433797999983597</v>
      </c>
      <c r="V80">
        <v>99.423885900003299</v>
      </c>
      <c r="W80">
        <v>99.433797999983597</v>
      </c>
      <c r="X80">
        <v>99.934213300002696</v>
      </c>
      <c r="Y80">
        <v>99.934213300002696</v>
      </c>
      <c r="Z80">
        <v>99.934213300002696</v>
      </c>
      <c r="AA80">
        <v>100.837892399984</v>
      </c>
      <c r="AB80" t="s">
        <v>57</v>
      </c>
      <c r="AC80">
        <v>1</v>
      </c>
      <c r="AD80">
        <v>0.89729729999089602</v>
      </c>
      <c r="AE80" t="s">
        <v>51</v>
      </c>
      <c r="AI80">
        <v>5</v>
      </c>
      <c r="AJ80">
        <v>1</v>
      </c>
      <c r="AK80" t="s">
        <v>87</v>
      </c>
      <c r="AL80" t="s">
        <v>43</v>
      </c>
      <c r="AN80" t="s">
        <v>44</v>
      </c>
      <c r="AO80">
        <v>60.129904655169099</v>
      </c>
      <c r="AP80" t="s">
        <v>88</v>
      </c>
    </row>
    <row r="81" spans="1:42" x14ac:dyDescent="0.3">
      <c r="A81" t="s">
        <v>70</v>
      </c>
      <c r="B81" t="s">
        <v>59</v>
      </c>
      <c r="C81" t="s">
        <v>53</v>
      </c>
      <c r="D81" t="s">
        <v>49</v>
      </c>
      <c r="E81" t="s">
        <v>54</v>
      </c>
      <c r="F81">
        <v>78</v>
      </c>
      <c r="G81">
        <v>18</v>
      </c>
      <c r="H81">
        <v>3</v>
      </c>
      <c r="I81" t="s">
        <v>54</v>
      </c>
      <c r="J81">
        <v>1</v>
      </c>
      <c r="K81">
        <v>0.60208939999574795</v>
      </c>
      <c r="L81" t="s">
        <v>51</v>
      </c>
      <c r="M81">
        <v>3</v>
      </c>
      <c r="N81">
        <v>18</v>
      </c>
      <c r="O81">
        <v>78</v>
      </c>
      <c r="P81">
        <v>2</v>
      </c>
      <c r="Q81">
        <v>100.85053510003399</v>
      </c>
      <c r="V81">
        <v>100.840618200018</v>
      </c>
      <c r="W81">
        <v>100.85053510003399</v>
      </c>
      <c r="X81">
        <v>101.350843499996</v>
      </c>
      <c r="Y81">
        <v>101.350843499996</v>
      </c>
      <c r="Z81">
        <v>101.350843499996</v>
      </c>
      <c r="AA81">
        <v>101.954228300019</v>
      </c>
      <c r="AB81" t="s">
        <v>54</v>
      </c>
      <c r="AC81">
        <v>1</v>
      </c>
      <c r="AD81">
        <v>0.60208939999574795</v>
      </c>
      <c r="AE81" t="s">
        <v>51</v>
      </c>
      <c r="AI81">
        <v>5</v>
      </c>
      <c r="AJ81">
        <v>1</v>
      </c>
      <c r="AK81" t="s">
        <v>87</v>
      </c>
      <c r="AL81" t="s">
        <v>43</v>
      </c>
      <c r="AN81" t="s">
        <v>44</v>
      </c>
      <c r="AO81">
        <v>60.129904655169099</v>
      </c>
      <c r="AP81" t="s">
        <v>88</v>
      </c>
    </row>
    <row r="82" spans="1:42" x14ac:dyDescent="0.3">
      <c r="A82" t="s">
        <v>58</v>
      </c>
      <c r="B82" t="s">
        <v>59</v>
      </c>
      <c r="C82" t="s">
        <v>48</v>
      </c>
      <c r="D82" t="s">
        <v>49</v>
      </c>
      <c r="E82" t="s">
        <v>50</v>
      </c>
      <c r="F82">
        <v>79</v>
      </c>
      <c r="G82">
        <v>19</v>
      </c>
      <c r="H82">
        <v>3</v>
      </c>
      <c r="I82" t="s">
        <v>50</v>
      </c>
      <c r="J82">
        <v>1</v>
      </c>
      <c r="K82">
        <v>0.67967059998773005</v>
      </c>
      <c r="L82" t="s">
        <v>51</v>
      </c>
      <c r="M82">
        <v>3</v>
      </c>
      <c r="N82">
        <v>19</v>
      </c>
      <c r="O82">
        <v>79</v>
      </c>
      <c r="P82">
        <v>7</v>
      </c>
      <c r="Q82">
        <v>101.967462000029</v>
      </c>
      <c r="V82">
        <v>101.956785199989</v>
      </c>
      <c r="W82">
        <v>101.967462000029</v>
      </c>
      <c r="X82">
        <v>102.467457399994</v>
      </c>
      <c r="Y82">
        <v>102.467457399994</v>
      </c>
      <c r="Z82">
        <v>102.467457399994</v>
      </c>
      <c r="AA82">
        <v>103.154547300015</v>
      </c>
      <c r="AB82" t="s">
        <v>50</v>
      </c>
      <c r="AC82">
        <v>1</v>
      </c>
      <c r="AD82">
        <v>0.67967059998773005</v>
      </c>
      <c r="AE82" t="s">
        <v>51</v>
      </c>
      <c r="AI82">
        <v>5</v>
      </c>
      <c r="AJ82">
        <v>1</v>
      </c>
      <c r="AK82" t="s">
        <v>87</v>
      </c>
      <c r="AL82" t="s">
        <v>43</v>
      </c>
      <c r="AN82" t="s">
        <v>44</v>
      </c>
      <c r="AO82">
        <v>60.129904655169099</v>
      </c>
      <c r="AP82" t="s">
        <v>88</v>
      </c>
    </row>
    <row r="83" spans="1:42" x14ac:dyDescent="0.3">
      <c r="A83" t="s">
        <v>60</v>
      </c>
      <c r="B83" t="s">
        <v>59</v>
      </c>
      <c r="C83" t="s">
        <v>61</v>
      </c>
      <c r="D83" t="s">
        <v>62</v>
      </c>
      <c r="E83" t="s">
        <v>63</v>
      </c>
      <c r="F83">
        <v>80</v>
      </c>
      <c r="G83">
        <v>0</v>
      </c>
      <c r="H83">
        <v>4</v>
      </c>
      <c r="I83" t="s">
        <v>63</v>
      </c>
      <c r="J83">
        <v>1</v>
      </c>
      <c r="K83">
        <v>0.59773589996621002</v>
      </c>
      <c r="L83" t="s">
        <v>51</v>
      </c>
      <c r="M83">
        <v>4</v>
      </c>
      <c r="N83">
        <v>0</v>
      </c>
      <c r="O83">
        <v>80</v>
      </c>
      <c r="P83">
        <v>0</v>
      </c>
      <c r="Q83">
        <v>103.16686940001</v>
      </c>
      <c r="V83">
        <v>103.15702540002501</v>
      </c>
      <c r="W83">
        <v>103.16686940001</v>
      </c>
      <c r="X83">
        <v>103.667476200032</v>
      </c>
      <c r="Y83">
        <v>103.667476200032</v>
      </c>
      <c r="Z83">
        <v>103.667476200032</v>
      </c>
      <c r="AA83">
        <v>104.27090160001499</v>
      </c>
      <c r="AB83" t="s">
        <v>63</v>
      </c>
      <c r="AC83">
        <v>1</v>
      </c>
      <c r="AD83">
        <v>0.59773589996621002</v>
      </c>
      <c r="AE83" t="s">
        <v>51</v>
      </c>
      <c r="AI83">
        <v>5</v>
      </c>
      <c r="AJ83">
        <v>1</v>
      </c>
      <c r="AK83" t="s">
        <v>87</v>
      </c>
      <c r="AL83" t="s">
        <v>43</v>
      </c>
      <c r="AN83" t="s">
        <v>44</v>
      </c>
      <c r="AO83">
        <v>60.129904655169099</v>
      </c>
      <c r="AP83" t="s">
        <v>88</v>
      </c>
    </row>
    <row r="84" spans="1:42" x14ac:dyDescent="0.3">
      <c r="A84" t="s">
        <v>77</v>
      </c>
      <c r="B84" t="s">
        <v>59</v>
      </c>
      <c r="C84" t="s">
        <v>61</v>
      </c>
      <c r="D84" t="s">
        <v>62</v>
      </c>
      <c r="E84" t="s">
        <v>63</v>
      </c>
      <c r="F84">
        <v>81</v>
      </c>
      <c r="G84">
        <v>1</v>
      </c>
      <c r="H84">
        <v>4</v>
      </c>
      <c r="I84" t="s">
        <v>63</v>
      </c>
      <c r="J84">
        <v>1</v>
      </c>
      <c r="K84">
        <v>0.65886829997179996</v>
      </c>
      <c r="L84" t="s">
        <v>51</v>
      </c>
      <c r="M84">
        <v>4</v>
      </c>
      <c r="N84">
        <v>1</v>
      </c>
      <c r="O84">
        <v>81</v>
      </c>
      <c r="P84">
        <v>4</v>
      </c>
      <c r="Q84">
        <v>104.28350600000699</v>
      </c>
      <c r="V84">
        <v>104.273527499986</v>
      </c>
      <c r="W84">
        <v>104.28350600000699</v>
      </c>
      <c r="X84">
        <v>104.783448000031</v>
      </c>
      <c r="Y84">
        <v>104.783448000031</v>
      </c>
      <c r="Z84">
        <v>104.783448000031</v>
      </c>
      <c r="AA84">
        <v>105.45455750002201</v>
      </c>
      <c r="AB84" t="s">
        <v>63</v>
      </c>
      <c r="AC84">
        <v>1</v>
      </c>
      <c r="AD84">
        <v>0.65886829997179996</v>
      </c>
      <c r="AE84" t="s">
        <v>51</v>
      </c>
      <c r="AI84">
        <v>5</v>
      </c>
      <c r="AJ84">
        <v>1</v>
      </c>
      <c r="AK84" t="s">
        <v>87</v>
      </c>
      <c r="AL84" t="s">
        <v>43</v>
      </c>
      <c r="AN84" t="s">
        <v>44</v>
      </c>
      <c r="AO84">
        <v>60.129904655169099</v>
      </c>
      <c r="AP84" t="s">
        <v>88</v>
      </c>
    </row>
    <row r="85" spans="1:42" x14ac:dyDescent="0.3">
      <c r="A85" t="s">
        <v>64</v>
      </c>
      <c r="B85" t="s">
        <v>47</v>
      </c>
      <c r="C85" t="s">
        <v>53</v>
      </c>
      <c r="D85" t="s">
        <v>49</v>
      </c>
      <c r="E85" t="s">
        <v>54</v>
      </c>
      <c r="F85">
        <v>82</v>
      </c>
      <c r="G85">
        <v>2</v>
      </c>
      <c r="H85">
        <v>4</v>
      </c>
      <c r="I85" t="s">
        <v>54</v>
      </c>
      <c r="J85">
        <v>1</v>
      </c>
      <c r="K85">
        <v>0.79640559997642402</v>
      </c>
      <c r="L85" t="s">
        <v>51</v>
      </c>
      <c r="M85">
        <v>4</v>
      </c>
      <c r="N85">
        <v>2</v>
      </c>
      <c r="O85">
        <v>82</v>
      </c>
      <c r="P85">
        <v>18</v>
      </c>
      <c r="Q85">
        <v>105.467093800019</v>
      </c>
      <c r="V85">
        <v>105.456989200029</v>
      </c>
      <c r="W85">
        <v>105.467093800019</v>
      </c>
      <c r="X85">
        <v>105.96709719998699</v>
      </c>
      <c r="Y85">
        <v>105.96709719998699</v>
      </c>
      <c r="Z85">
        <v>105.96709719998699</v>
      </c>
      <c r="AA85">
        <v>106.770900100003</v>
      </c>
      <c r="AB85" t="s">
        <v>54</v>
      </c>
      <c r="AC85">
        <v>1</v>
      </c>
      <c r="AD85">
        <v>0.79640559997642402</v>
      </c>
      <c r="AE85" t="s">
        <v>51</v>
      </c>
      <c r="AI85">
        <v>5</v>
      </c>
      <c r="AJ85">
        <v>1</v>
      </c>
      <c r="AK85" t="s">
        <v>87</v>
      </c>
      <c r="AL85" t="s">
        <v>43</v>
      </c>
      <c r="AN85" t="s">
        <v>44</v>
      </c>
      <c r="AO85">
        <v>60.129904655169099</v>
      </c>
      <c r="AP85" t="s">
        <v>88</v>
      </c>
    </row>
    <row r="86" spans="1:42" x14ac:dyDescent="0.3">
      <c r="A86" t="s">
        <v>65</v>
      </c>
      <c r="B86" t="s">
        <v>59</v>
      </c>
      <c r="C86" t="s">
        <v>56</v>
      </c>
      <c r="D86" t="s">
        <v>49</v>
      </c>
      <c r="E86" t="s">
        <v>57</v>
      </c>
      <c r="F86">
        <v>83</v>
      </c>
      <c r="G86">
        <v>3</v>
      </c>
      <c r="H86">
        <v>4</v>
      </c>
      <c r="I86" t="s">
        <v>57</v>
      </c>
      <c r="J86">
        <v>1</v>
      </c>
      <c r="K86">
        <v>0.66672559996368297</v>
      </c>
      <c r="L86" t="s">
        <v>51</v>
      </c>
      <c r="M86">
        <v>4</v>
      </c>
      <c r="N86">
        <v>3</v>
      </c>
      <c r="O86">
        <v>83</v>
      </c>
      <c r="P86">
        <v>9</v>
      </c>
      <c r="Q86">
        <v>106.78360210004</v>
      </c>
      <c r="V86">
        <v>106.773604799993</v>
      </c>
      <c r="W86">
        <v>106.78360210004</v>
      </c>
      <c r="X86">
        <v>107.283758100005</v>
      </c>
      <c r="Y86">
        <v>107.283758100005</v>
      </c>
      <c r="Z86">
        <v>107.283758100005</v>
      </c>
      <c r="AA86">
        <v>107.954400499991</v>
      </c>
      <c r="AB86" t="s">
        <v>57</v>
      </c>
      <c r="AC86">
        <v>1</v>
      </c>
      <c r="AD86">
        <v>0.66672559996368297</v>
      </c>
      <c r="AE86" t="s">
        <v>51</v>
      </c>
      <c r="AI86">
        <v>5</v>
      </c>
      <c r="AJ86">
        <v>1</v>
      </c>
      <c r="AK86" t="s">
        <v>87</v>
      </c>
      <c r="AL86" t="s">
        <v>43</v>
      </c>
      <c r="AN86" t="s">
        <v>44</v>
      </c>
      <c r="AO86">
        <v>60.129904655169099</v>
      </c>
      <c r="AP86" t="s">
        <v>88</v>
      </c>
    </row>
    <row r="87" spans="1:42" x14ac:dyDescent="0.3">
      <c r="A87" t="s">
        <v>78</v>
      </c>
      <c r="B87" t="s">
        <v>47</v>
      </c>
      <c r="C87" t="s">
        <v>56</v>
      </c>
      <c r="D87" t="s">
        <v>49</v>
      </c>
      <c r="E87" t="s">
        <v>57</v>
      </c>
      <c r="F87">
        <v>84</v>
      </c>
      <c r="G87">
        <v>4</v>
      </c>
      <c r="H87">
        <v>4</v>
      </c>
      <c r="I87" t="s">
        <v>57</v>
      </c>
      <c r="J87">
        <v>1</v>
      </c>
      <c r="K87">
        <v>0.50277479999931496</v>
      </c>
      <c r="L87" t="s">
        <v>51</v>
      </c>
      <c r="M87">
        <v>4</v>
      </c>
      <c r="N87">
        <v>4</v>
      </c>
      <c r="O87">
        <v>84</v>
      </c>
      <c r="P87">
        <v>17</v>
      </c>
      <c r="Q87">
        <v>107.967039200011</v>
      </c>
      <c r="V87">
        <v>107.95684659999</v>
      </c>
      <c r="W87">
        <v>107.967039200011</v>
      </c>
      <c r="X87">
        <v>108.467278300027</v>
      </c>
      <c r="Y87">
        <v>108.467278300027</v>
      </c>
      <c r="Z87">
        <v>108.467278300027</v>
      </c>
      <c r="AA87">
        <v>108.97059360001001</v>
      </c>
      <c r="AB87" t="s">
        <v>57</v>
      </c>
      <c r="AC87">
        <v>1</v>
      </c>
      <c r="AD87">
        <v>0.50277479999931496</v>
      </c>
      <c r="AE87" t="s">
        <v>51</v>
      </c>
      <c r="AI87">
        <v>5</v>
      </c>
      <c r="AJ87">
        <v>1</v>
      </c>
      <c r="AK87" t="s">
        <v>87</v>
      </c>
      <c r="AL87" t="s">
        <v>43</v>
      </c>
      <c r="AN87" t="s">
        <v>44</v>
      </c>
      <c r="AO87">
        <v>60.129904655169099</v>
      </c>
      <c r="AP87" t="s">
        <v>88</v>
      </c>
    </row>
    <row r="88" spans="1:42" x14ac:dyDescent="0.3">
      <c r="A88" t="s">
        <v>55</v>
      </c>
      <c r="B88" t="s">
        <v>47</v>
      </c>
      <c r="C88" t="s">
        <v>56</v>
      </c>
      <c r="D88" t="s">
        <v>49</v>
      </c>
      <c r="E88" t="s">
        <v>57</v>
      </c>
      <c r="F88">
        <v>85</v>
      </c>
      <c r="G88">
        <v>5</v>
      </c>
      <c r="H88">
        <v>4</v>
      </c>
      <c r="I88" t="s">
        <v>57</v>
      </c>
      <c r="J88">
        <v>1</v>
      </c>
      <c r="K88">
        <v>0.398212699976284</v>
      </c>
      <c r="L88" t="s">
        <v>51</v>
      </c>
      <c r="M88">
        <v>4</v>
      </c>
      <c r="N88">
        <v>5</v>
      </c>
      <c r="O88">
        <v>85</v>
      </c>
      <c r="P88">
        <v>13</v>
      </c>
      <c r="Q88">
        <v>108.98362990003</v>
      </c>
      <c r="V88">
        <v>108.97334830003</v>
      </c>
      <c r="W88">
        <v>108.98362990003</v>
      </c>
      <c r="X88">
        <v>109.483794900006</v>
      </c>
      <c r="Y88">
        <v>109.483794900006</v>
      </c>
      <c r="Z88">
        <v>109.483794900006</v>
      </c>
      <c r="AA88">
        <v>109.888001599989</v>
      </c>
      <c r="AB88" t="s">
        <v>57</v>
      </c>
      <c r="AC88">
        <v>1</v>
      </c>
      <c r="AD88">
        <v>0.398212699976284</v>
      </c>
      <c r="AE88" t="s">
        <v>51</v>
      </c>
      <c r="AI88">
        <v>5</v>
      </c>
      <c r="AJ88">
        <v>1</v>
      </c>
      <c r="AK88" t="s">
        <v>87</v>
      </c>
      <c r="AL88" t="s">
        <v>43</v>
      </c>
      <c r="AN88" t="s">
        <v>44</v>
      </c>
      <c r="AO88">
        <v>60.129904655169099</v>
      </c>
      <c r="AP88" t="s">
        <v>88</v>
      </c>
    </row>
    <row r="89" spans="1:42" x14ac:dyDescent="0.3">
      <c r="A89" t="s">
        <v>52</v>
      </c>
      <c r="B89" t="s">
        <v>47</v>
      </c>
      <c r="C89" t="s">
        <v>53</v>
      </c>
      <c r="D89" t="s">
        <v>49</v>
      </c>
      <c r="E89" t="s">
        <v>54</v>
      </c>
      <c r="F89">
        <v>86</v>
      </c>
      <c r="G89">
        <v>6</v>
      </c>
      <c r="H89">
        <v>4</v>
      </c>
      <c r="I89" t="s">
        <v>54</v>
      </c>
      <c r="J89">
        <v>1</v>
      </c>
      <c r="K89">
        <v>0.77934469998581302</v>
      </c>
      <c r="L89" t="s">
        <v>51</v>
      </c>
      <c r="M89">
        <v>4</v>
      </c>
      <c r="N89">
        <v>6</v>
      </c>
      <c r="O89">
        <v>86</v>
      </c>
      <c r="P89">
        <v>14</v>
      </c>
      <c r="Q89">
        <v>109.899811599985</v>
      </c>
      <c r="V89">
        <v>109.89147999999101</v>
      </c>
      <c r="W89">
        <v>109.899811599985</v>
      </c>
      <c r="X89">
        <v>110.399935099994</v>
      </c>
      <c r="Y89">
        <v>110.399935099994</v>
      </c>
      <c r="Z89">
        <v>110.399935099994</v>
      </c>
      <c r="AA89">
        <v>111.186817899986</v>
      </c>
      <c r="AB89" t="s">
        <v>54</v>
      </c>
      <c r="AC89">
        <v>1</v>
      </c>
      <c r="AD89">
        <v>0.77934469998581302</v>
      </c>
      <c r="AE89" t="s">
        <v>51</v>
      </c>
      <c r="AI89">
        <v>5</v>
      </c>
      <c r="AJ89">
        <v>1</v>
      </c>
      <c r="AK89" t="s">
        <v>87</v>
      </c>
      <c r="AL89" t="s">
        <v>43</v>
      </c>
      <c r="AN89" t="s">
        <v>44</v>
      </c>
      <c r="AO89">
        <v>60.129904655169099</v>
      </c>
      <c r="AP89" t="s">
        <v>88</v>
      </c>
    </row>
    <row r="90" spans="1:42" x14ac:dyDescent="0.3">
      <c r="A90" t="s">
        <v>67</v>
      </c>
      <c r="B90" t="s">
        <v>47</v>
      </c>
      <c r="C90" t="s">
        <v>53</v>
      </c>
      <c r="D90" t="s">
        <v>49</v>
      </c>
      <c r="E90" t="s">
        <v>54</v>
      </c>
      <c r="F90">
        <v>87</v>
      </c>
      <c r="G90">
        <v>7</v>
      </c>
      <c r="H90">
        <v>4</v>
      </c>
      <c r="I90" t="s">
        <v>54</v>
      </c>
      <c r="J90">
        <v>1</v>
      </c>
      <c r="K90">
        <v>0.50781620002817296</v>
      </c>
      <c r="L90" t="s">
        <v>51</v>
      </c>
      <c r="M90">
        <v>4</v>
      </c>
      <c r="N90">
        <v>7</v>
      </c>
      <c r="O90">
        <v>87</v>
      </c>
      <c r="P90">
        <v>10</v>
      </c>
      <c r="Q90">
        <v>111.20010910002701</v>
      </c>
      <c r="V90">
        <v>111.190186600026</v>
      </c>
      <c r="W90">
        <v>111.20010910002701</v>
      </c>
      <c r="X90">
        <v>111.700366700009</v>
      </c>
      <c r="Y90">
        <v>111.700366700009</v>
      </c>
      <c r="Z90">
        <v>111.700366700009</v>
      </c>
      <c r="AA90">
        <v>112.22064529999599</v>
      </c>
      <c r="AB90" t="s">
        <v>54</v>
      </c>
      <c r="AC90">
        <v>1</v>
      </c>
      <c r="AD90">
        <v>0.50781620002817296</v>
      </c>
      <c r="AE90" t="s">
        <v>51</v>
      </c>
      <c r="AI90">
        <v>5</v>
      </c>
      <c r="AJ90">
        <v>1</v>
      </c>
      <c r="AK90" t="s">
        <v>87</v>
      </c>
      <c r="AL90" t="s">
        <v>43</v>
      </c>
      <c r="AN90" t="s">
        <v>44</v>
      </c>
      <c r="AO90">
        <v>60.129904655169099</v>
      </c>
      <c r="AP90" t="s">
        <v>88</v>
      </c>
    </row>
    <row r="91" spans="1:42" x14ac:dyDescent="0.3">
      <c r="A91" t="s">
        <v>73</v>
      </c>
      <c r="B91" t="s">
        <v>59</v>
      </c>
      <c r="C91" t="s">
        <v>56</v>
      </c>
      <c r="D91" t="s">
        <v>49</v>
      </c>
      <c r="E91" t="s">
        <v>57</v>
      </c>
      <c r="F91">
        <v>88</v>
      </c>
      <c r="G91">
        <v>8</v>
      </c>
      <c r="H91">
        <v>4</v>
      </c>
      <c r="I91" t="s">
        <v>57</v>
      </c>
      <c r="J91">
        <v>1</v>
      </c>
      <c r="K91">
        <v>0.88798769999993898</v>
      </c>
      <c r="L91" t="s">
        <v>51</v>
      </c>
      <c r="M91">
        <v>4</v>
      </c>
      <c r="N91">
        <v>8</v>
      </c>
      <c r="O91">
        <v>88</v>
      </c>
      <c r="P91">
        <v>1</v>
      </c>
      <c r="Q91">
        <v>112.233564900001</v>
      </c>
      <c r="V91">
        <v>112.223641299991</v>
      </c>
      <c r="W91">
        <v>112.233564900001</v>
      </c>
      <c r="X91">
        <v>112.733795200008</v>
      </c>
      <c r="Y91">
        <v>112.733795200008</v>
      </c>
      <c r="Z91">
        <v>112.733795200008</v>
      </c>
      <c r="AA91">
        <v>113.63759830000301</v>
      </c>
      <c r="AB91" t="s">
        <v>57</v>
      </c>
      <c r="AC91">
        <v>1</v>
      </c>
      <c r="AD91">
        <v>0.88798769999993898</v>
      </c>
      <c r="AE91" t="s">
        <v>51</v>
      </c>
      <c r="AI91">
        <v>5</v>
      </c>
      <c r="AJ91">
        <v>1</v>
      </c>
      <c r="AK91" t="s">
        <v>87</v>
      </c>
      <c r="AL91" t="s">
        <v>43</v>
      </c>
      <c r="AN91" t="s">
        <v>44</v>
      </c>
      <c r="AO91">
        <v>60.129904655169099</v>
      </c>
      <c r="AP91" t="s">
        <v>88</v>
      </c>
    </row>
    <row r="92" spans="1:42" x14ac:dyDescent="0.3">
      <c r="A92" t="s">
        <v>71</v>
      </c>
      <c r="B92" t="s">
        <v>47</v>
      </c>
      <c r="C92" t="s">
        <v>48</v>
      </c>
      <c r="D92" t="s">
        <v>49</v>
      </c>
      <c r="E92" t="s">
        <v>50</v>
      </c>
      <c r="F92">
        <v>89</v>
      </c>
      <c r="G92">
        <v>9</v>
      </c>
      <c r="H92">
        <v>4</v>
      </c>
      <c r="I92" t="s">
        <v>57</v>
      </c>
      <c r="J92">
        <v>0</v>
      </c>
      <c r="K92">
        <v>0.93941390002146297</v>
      </c>
      <c r="L92" t="s">
        <v>51</v>
      </c>
      <c r="M92">
        <v>4</v>
      </c>
      <c r="N92">
        <v>9</v>
      </c>
      <c r="O92">
        <v>89</v>
      </c>
      <c r="P92">
        <v>15</v>
      </c>
      <c r="Q92">
        <v>113.65000500000301</v>
      </c>
      <c r="V92">
        <v>113.64028739999</v>
      </c>
      <c r="W92">
        <v>113.65000500000301</v>
      </c>
      <c r="X92">
        <v>114.150436100026</v>
      </c>
      <c r="Y92">
        <v>114.150436100026</v>
      </c>
      <c r="Z92">
        <v>114.150436100026</v>
      </c>
      <c r="AA92">
        <v>115.103477300028</v>
      </c>
      <c r="AB92" t="s">
        <v>57</v>
      </c>
      <c r="AC92">
        <v>0</v>
      </c>
      <c r="AD92">
        <v>0.93941390002146297</v>
      </c>
      <c r="AE92" t="s">
        <v>51</v>
      </c>
      <c r="AI92">
        <v>5</v>
      </c>
      <c r="AJ92">
        <v>1</v>
      </c>
      <c r="AK92" t="s">
        <v>87</v>
      </c>
      <c r="AL92" t="s">
        <v>43</v>
      </c>
      <c r="AN92" t="s">
        <v>44</v>
      </c>
      <c r="AO92">
        <v>60.129904655169099</v>
      </c>
      <c r="AP92" t="s">
        <v>88</v>
      </c>
    </row>
    <row r="93" spans="1:42" x14ac:dyDescent="0.3">
      <c r="A93" t="s">
        <v>58</v>
      </c>
      <c r="B93" t="s">
        <v>59</v>
      </c>
      <c r="C93" t="s">
        <v>48</v>
      </c>
      <c r="D93" t="s">
        <v>49</v>
      </c>
      <c r="E93" t="s">
        <v>50</v>
      </c>
      <c r="F93">
        <v>90</v>
      </c>
      <c r="G93">
        <v>10</v>
      </c>
      <c r="H93">
        <v>4</v>
      </c>
      <c r="I93" t="s">
        <v>57</v>
      </c>
      <c r="J93">
        <v>0</v>
      </c>
      <c r="K93">
        <v>0.58343549998244204</v>
      </c>
      <c r="L93" t="s">
        <v>51</v>
      </c>
      <c r="M93">
        <v>4</v>
      </c>
      <c r="N93">
        <v>10</v>
      </c>
      <c r="O93">
        <v>90</v>
      </c>
      <c r="P93">
        <v>7</v>
      </c>
      <c r="Q93">
        <v>115.116779800038</v>
      </c>
      <c r="V93">
        <v>115.10614450002301</v>
      </c>
      <c r="W93">
        <v>115.116779800038</v>
      </c>
      <c r="X93">
        <v>115.61673750000701</v>
      </c>
      <c r="Y93">
        <v>115.61673750000701</v>
      </c>
      <c r="Z93">
        <v>115.61673750000701</v>
      </c>
      <c r="AA93">
        <v>116.203730800014</v>
      </c>
      <c r="AB93" t="s">
        <v>57</v>
      </c>
      <c r="AC93">
        <v>0</v>
      </c>
      <c r="AD93">
        <v>0.58343549998244204</v>
      </c>
      <c r="AE93" t="s">
        <v>51</v>
      </c>
      <c r="AI93">
        <v>5</v>
      </c>
      <c r="AJ93">
        <v>1</v>
      </c>
      <c r="AK93" t="s">
        <v>87</v>
      </c>
      <c r="AL93" t="s">
        <v>43</v>
      </c>
      <c r="AN93" t="s">
        <v>44</v>
      </c>
      <c r="AO93">
        <v>60.129904655169099</v>
      </c>
      <c r="AP93" t="s">
        <v>88</v>
      </c>
    </row>
    <row r="94" spans="1:42" x14ac:dyDescent="0.3">
      <c r="A94" t="s">
        <v>46</v>
      </c>
      <c r="B94" t="s">
        <v>47</v>
      </c>
      <c r="C94" t="s">
        <v>48</v>
      </c>
      <c r="D94" t="s">
        <v>49</v>
      </c>
      <c r="E94" t="s">
        <v>50</v>
      </c>
      <c r="F94">
        <v>91</v>
      </c>
      <c r="G94">
        <v>11</v>
      </c>
      <c r="H94">
        <v>4</v>
      </c>
      <c r="I94" t="s">
        <v>57</v>
      </c>
      <c r="J94">
        <v>0</v>
      </c>
      <c r="K94">
        <v>0.51867990003665898</v>
      </c>
      <c r="L94" t="s">
        <v>51</v>
      </c>
      <c r="M94">
        <v>4</v>
      </c>
      <c r="N94">
        <v>11</v>
      </c>
      <c r="O94">
        <v>91</v>
      </c>
      <c r="P94">
        <v>19</v>
      </c>
      <c r="Q94">
        <v>116.216938700003</v>
      </c>
      <c r="V94">
        <v>116.20638380001699</v>
      </c>
      <c r="W94">
        <v>116.216938700003</v>
      </c>
      <c r="X94">
        <v>116.716711300017</v>
      </c>
      <c r="Y94">
        <v>116.716711300017</v>
      </c>
      <c r="Z94">
        <v>116.716711300017</v>
      </c>
      <c r="AA94">
        <v>117.237226700002</v>
      </c>
      <c r="AB94" t="s">
        <v>57</v>
      </c>
      <c r="AC94">
        <v>0</v>
      </c>
      <c r="AD94">
        <v>0.51867990003665898</v>
      </c>
      <c r="AE94" t="s">
        <v>51</v>
      </c>
      <c r="AI94">
        <v>5</v>
      </c>
      <c r="AJ94">
        <v>1</v>
      </c>
      <c r="AK94" t="s">
        <v>87</v>
      </c>
      <c r="AL94" t="s">
        <v>43</v>
      </c>
      <c r="AN94" t="s">
        <v>44</v>
      </c>
      <c r="AO94">
        <v>60.129904655169099</v>
      </c>
      <c r="AP94" t="s">
        <v>88</v>
      </c>
    </row>
    <row r="95" spans="1:42" x14ac:dyDescent="0.3">
      <c r="A95" t="s">
        <v>66</v>
      </c>
      <c r="B95" t="s">
        <v>47</v>
      </c>
      <c r="C95" t="s">
        <v>61</v>
      </c>
      <c r="D95" t="s">
        <v>49</v>
      </c>
      <c r="E95" t="s">
        <v>63</v>
      </c>
      <c r="F95">
        <v>92</v>
      </c>
      <c r="G95">
        <v>12</v>
      </c>
      <c r="H95">
        <v>4</v>
      </c>
      <c r="I95" t="s">
        <v>63</v>
      </c>
      <c r="J95">
        <v>1</v>
      </c>
      <c r="K95">
        <v>0.66550549998646602</v>
      </c>
      <c r="L95" t="s">
        <v>51</v>
      </c>
      <c r="M95">
        <v>4</v>
      </c>
      <c r="N95">
        <v>12</v>
      </c>
      <c r="O95">
        <v>92</v>
      </c>
      <c r="P95">
        <v>12</v>
      </c>
      <c r="Q95">
        <v>117.24967210000599</v>
      </c>
      <c r="V95">
        <v>117.240826799999</v>
      </c>
      <c r="W95">
        <v>117.24967210000599</v>
      </c>
      <c r="X95">
        <v>117.749734700017</v>
      </c>
      <c r="Y95">
        <v>117.749734700017</v>
      </c>
      <c r="Z95">
        <v>117.749734700017</v>
      </c>
      <c r="AA95">
        <v>118.42052560002701</v>
      </c>
      <c r="AB95" t="s">
        <v>63</v>
      </c>
      <c r="AC95">
        <v>1</v>
      </c>
      <c r="AD95">
        <v>0.66550549998646602</v>
      </c>
      <c r="AE95" t="s">
        <v>51</v>
      </c>
      <c r="AI95">
        <v>5</v>
      </c>
      <c r="AJ95">
        <v>1</v>
      </c>
      <c r="AK95" t="s">
        <v>87</v>
      </c>
      <c r="AL95" t="s">
        <v>43</v>
      </c>
      <c r="AN95" t="s">
        <v>44</v>
      </c>
      <c r="AO95">
        <v>60.129904655169099</v>
      </c>
      <c r="AP95" t="s">
        <v>88</v>
      </c>
    </row>
    <row r="96" spans="1:42" x14ac:dyDescent="0.3">
      <c r="A96" t="s">
        <v>74</v>
      </c>
      <c r="B96" t="s">
        <v>47</v>
      </c>
      <c r="C96" t="s">
        <v>48</v>
      </c>
      <c r="D96" t="s">
        <v>49</v>
      </c>
      <c r="E96" t="s">
        <v>50</v>
      </c>
      <c r="F96">
        <v>93</v>
      </c>
      <c r="G96">
        <v>13</v>
      </c>
      <c r="H96">
        <v>4</v>
      </c>
      <c r="I96" t="s">
        <v>57</v>
      </c>
      <c r="J96">
        <v>0</v>
      </c>
      <c r="K96">
        <v>0.69345070002600495</v>
      </c>
      <c r="L96" t="s">
        <v>51</v>
      </c>
      <c r="M96">
        <v>4</v>
      </c>
      <c r="N96">
        <v>13</v>
      </c>
      <c r="O96">
        <v>93</v>
      </c>
      <c r="P96">
        <v>11</v>
      </c>
      <c r="Q96">
        <v>118.43336080003</v>
      </c>
      <c r="V96">
        <v>118.42316960002</v>
      </c>
      <c r="W96">
        <v>118.43336080003</v>
      </c>
      <c r="X96">
        <v>118.932958699995</v>
      </c>
      <c r="Y96">
        <v>118.932958699995</v>
      </c>
      <c r="Z96">
        <v>118.932958699995</v>
      </c>
      <c r="AA96">
        <v>119.636715400032</v>
      </c>
      <c r="AB96" t="s">
        <v>57</v>
      </c>
      <c r="AC96">
        <v>0</v>
      </c>
      <c r="AD96">
        <v>0.69345070002600495</v>
      </c>
      <c r="AE96" t="s">
        <v>51</v>
      </c>
      <c r="AI96">
        <v>5</v>
      </c>
      <c r="AJ96">
        <v>1</v>
      </c>
      <c r="AK96" t="s">
        <v>87</v>
      </c>
      <c r="AL96" t="s">
        <v>43</v>
      </c>
      <c r="AN96" t="s">
        <v>44</v>
      </c>
      <c r="AO96">
        <v>60.129904655169099</v>
      </c>
      <c r="AP96" t="s">
        <v>88</v>
      </c>
    </row>
    <row r="97" spans="1:42" x14ac:dyDescent="0.3">
      <c r="A97" t="s">
        <v>76</v>
      </c>
      <c r="B97" t="s">
        <v>59</v>
      </c>
      <c r="C97" t="s">
        <v>48</v>
      </c>
      <c r="D97" t="s">
        <v>49</v>
      </c>
      <c r="E97" t="s">
        <v>50</v>
      </c>
      <c r="F97">
        <v>94</v>
      </c>
      <c r="G97">
        <v>14</v>
      </c>
      <c r="H97">
        <v>4</v>
      </c>
      <c r="I97" t="s">
        <v>50</v>
      </c>
      <c r="J97">
        <v>1</v>
      </c>
      <c r="K97">
        <v>1.24780790001386</v>
      </c>
      <c r="L97" t="s">
        <v>51</v>
      </c>
      <c r="M97">
        <v>4</v>
      </c>
      <c r="N97">
        <v>14</v>
      </c>
      <c r="O97">
        <v>94</v>
      </c>
      <c r="P97">
        <v>3</v>
      </c>
      <c r="Q97">
        <v>119.64980080001899</v>
      </c>
      <c r="V97">
        <v>119.639324599993</v>
      </c>
      <c r="W97">
        <v>119.64980080001899</v>
      </c>
      <c r="X97">
        <v>120.149876600014</v>
      </c>
      <c r="Y97">
        <v>120.149876600014</v>
      </c>
      <c r="Z97">
        <v>120.149876600014</v>
      </c>
      <c r="AA97">
        <v>121.40374540002</v>
      </c>
      <c r="AB97" t="s">
        <v>50</v>
      </c>
      <c r="AC97">
        <v>1</v>
      </c>
      <c r="AD97">
        <v>1.24780790001386</v>
      </c>
      <c r="AE97" t="s">
        <v>51</v>
      </c>
      <c r="AI97">
        <v>5</v>
      </c>
      <c r="AJ97">
        <v>1</v>
      </c>
      <c r="AK97" t="s">
        <v>87</v>
      </c>
      <c r="AL97" t="s">
        <v>43</v>
      </c>
      <c r="AN97" t="s">
        <v>44</v>
      </c>
      <c r="AO97">
        <v>60.129904655169099</v>
      </c>
      <c r="AP97" t="s">
        <v>88</v>
      </c>
    </row>
    <row r="98" spans="1:42" x14ac:dyDescent="0.3">
      <c r="A98" t="s">
        <v>68</v>
      </c>
      <c r="B98" t="s">
        <v>59</v>
      </c>
      <c r="C98" t="s">
        <v>53</v>
      </c>
      <c r="D98" t="s">
        <v>49</v>
      </c>
      <c r="E98" t="s">
        <v>54</v>
      </c>
      <c r="F98">
        <v>95</v>
      </c>
      <c r="G98">
        <v>15</v>
      </c>
      <c r="H98">
        <v>4</v>
      </c>
      <c r="I98" t="s">
        <v>54</v>
      </c>
      <c r="J98">
        <v>1</v>
      </c>
      <c r="K98">
        <v>0.73748999997042097</v>
      </c>
      <c r="L98" t="s">
        <v>51</v>
      </c>
      <c r="M98">
        <v>4</v>
      </c>
      <c r="N98">
        <v>15</v>
      </c>
      <c r="O98">
        <v>95</v>
      </c>
      <c r="P98">
        <v>6</v>
      </c>
      <c r="Q98">
        <v>121.416865300037</v>
      </c>
      <c r="V98">
        <v>121.40626409999</v>
      </c>
      <c r="W98">
        <v>121.416865300037</v>
      </c>
      <c r="X98">
        <v>121.916167800023</v>
      </c>
      <c r="Y98">
        <v>121.916167800023</v>
      </c>
      <c r="Z98">
        <v>121.916167800023</v>
      </c>
      <c r="AA98">
        <v>122.67059029999599</v>
      </c>
      <c r="AB98" t="s">
        <v>54</v>
      </c>
      <c r="AC98">
        <v>1</v>
      </c>
      <c r="AD98">
        <v>0.73748999997042097</v>
      </c>
      <c r="AE98" t="s">
        <v>51</v>
      </c>
      <c r="AI98">
        <v>5</v>
      </c>
      <c r="AJ98">
        <v>1</v>
      </c>
      <c r="AK98" t="s">
        <v>87</v>
      </c>
      <c r="AL98" t="s">
        <v>43</v>
      </c>
      <c r="AN98" t="s">
        <v>44</v>
      </c>
      <c r="AO98">
        <v>60.129904655169099</v>
      </c>
      <c r="AP98" t="s">
        <v>88</v>
      </c>
    </row>
    <row r="99" spans="1:42" x14ac:dyDescent="0.3">
      <c r="A99" t="s">
        <v>75</v>
      </c>
      <c r="B99" t="s">
        <v>47</v>
      </c>
      <c r="C99" t="s">
        <v>61</v>
      </c>
      <c r="D99" t="s">
        <v>49</v>
      </c>
      <c r="E99" t="s">
        <v>63</v>
      </c>
      <c r="F99">
        <v>96</v>
      </c>
      <c r="G99">
        <v>16</v>
      </c>
      <c r="H99">
        <v>4</v>
      </c>
      <c r="I99" t="s">
        <v>63</v>
      </c>
      <c r="J99">
        <v>1</v>
      </c>
      <c r="K99">
        <v>0.63296979997539804</v>
      </c>
      <c r="L99" t="s">
        <v>51</v>
      </c>
      <c r="M99">
        <v>4</v>
      </c>
      <c r="N99">
        <v>16</v>
      </c>
      <c r="O99">
        <v>96</v>
      </c>
      <c r="P99">
        <v>16</v>
      </c>
      <c r="Q99">
        <v>122.683051800006</v>
      </c>
      <c r="V99">
        <v>122.673190100002</v>
      </c>
      <c r="W99">
        <v>122.683051800006</v>
      </c>
      <c r="X99">
        <v>123.182931800023</v>
      </c>
      <c r="Y99">
        <v>123.182931800023</v>
      </c>
      <c r="Z99">
        <v>123.182931800023</v>
      </c>
      <c r="AA99">
        <v>123.820016800018</v>
      </c>
      <c r="AB99" t="s">
        <v>63</v>
      </c>
      <c r="AC99">
        <v>1</v>
      </c>
      <c r="AD99">
        <v>0.63296979997539804</v>
      </c>
      <c r="AE99" t="s">
        <v>51</v>
      </c>
      <c r="AI99">
        <v>5</v>
      </c>
      <c r="AJ99">
        <v>1</v>
      </c>
      <c r="AK99" t="s">
        <v>87</v>
      </c>
      <c r="AL99" t="s">
        <v>43</v>
      </c>
      <c r="AN99" t="s">
        <v>44</v>
      </c>
      <c r="AO99">
        <v>60.129904655169099</v>
      </c>
      <c r="AP99" t="s">
        <v>88</v>
      </c>
    </row>
    <row r="100" spans="1:42" x14ac:dyDescent="0.3">
      <c r="A100" t="s">
        <v>69</v>
      </c>
      <c r="B100" t="s">
        <v>59</v>
      </c>
      <c r="C100" t="s">
        <v>56</v>
      </c>
      <c r="D100" t="s">
        <v>49</v>
      </c>
      <c r="E100" t="s">
        <v>57</v>
      </c>
      <c r="F100">
        <v>97</v>
      </c>
      <c r="G100">
        <v>17</v>
      </c>
      <c r="H100">
        <v>4</v>
      </c>
      <c r="I100" t="s">
        <v>57</v>
      </c>
      <c r="J100">
        <v>1</v>
      </c>
      <c r="K100">
        <v>0.728720699960831</v>
      </c>
      <c r="L100" t="s">
        <v>51</v>
      </c>
      <c r="M100">
        <v>4</v>
      </c>
      <c r="N100">
        <v>17</v>
      </c>
      <c r="O100">
        <v>97</v>
      </c>
      <c r="P100">
        <v>5</v>
      </c>
      <c r="Q100">
        <v>123.833051500027</v>
      </c>
      <c r="V100">
        <v>123.824478800001</v>
      </c>
      <c r="W100">
        <v>123.833051500027</v>
      </c>
      <c r="X100">
        <v>124.333346700004</v>
      </c>
      <c r="Y100">
        <v>124.333346700004</v>
      </c>
      <c r="Z100">
        <v>124.333346700004</v>
      </c>
      <c r="AA100">
        <v>125.069533600006</v>
      </c>
      <c r="AB100" t="s">
        <v>57</v>
      </c>
      <c r="AC100">
        <v>1</v>
      </c>
      <c r="AD100">
        <v>0.728720699960831</v>
      </c>
      <c r="AE100" t="s">
        <v>51</v>
      </c>
      <c r="AI100">
        <v>5</v>
      </c>
      <c r="AJ100">
        <v>1</v>
      </c>
      <c r="AK100" t="s">
        <v>87</v>
      </c>
      <c r="AL100" t="s">
        <v>43</v>
      </c>
      <c r="AN100" t="s">
        <v>44</v>
      </c>
      <c r="AO100">
        <v>60.129904655169099</v>
      </c>
      <c r="AP100" t="s">
        <v>88</v>
      </c>
    </row>
    <row r="101" spans="1:42" x14ac:dyDescent="0.3">
      <c r="A101" t="s">
        <v>70</v>
      </c>
      <c r="B101" t="s">
        <v>59</v>
      </c>
      <c r="C101" t="s">
        <v>53</v>
      </c>
      <c r="D101" t="s">
        <v>49</v>
      </c>
      <c r="E101" t="s">
        <v>54</v>
      </c>
      <c r="F101">
        <v>98</v>
      </c>
      <c r="G101">
        <v>18</v>
      </c>
      <c r="H101">
        <v>4</v>
      </c>
      <c r="I101" t="s">
        <v>54</v>
      </c>
      <c r="J101">
        <v>1</v>
      </c>
      <c r="K101">
        <v>1.2674509999924299</v>
      </c>
      <c r="L101" t="s">
        <v>51</v>
      </c>
      <c r="M101">
        <v>4</v>
      </c>
      <c r="N101">
        <v>18</v>
      </c>
      <c r="O101">
        <v>98</v>
      </c>
      <c r="P101">
        <v>2</v>
      </c>
      <c r="Q101">
        <v>125.08271119999699</v>
      </c>
      <c r="V101">
        <v>125.07266569999</v>
      </c>
      <c r="W101">
        <v>125.08271119999699</v>
      </c>
      <c r="X101">
        <v>125.58467300003301</v>
      </c>
      <c r="Y101">
        <v>125.58467300003301</v>
      </c>
      <c r="Z101">
        <v>125.58467300003301</v>
      </c>
      <c r="AA101">
        <v>126.853892699989</v>
      </c>
      <c r="AB101" t="s">
        <v>54</v>
      </c>
      <c r="AC101">
        <v>1</v>
      </c>
      <c r="AD101">
        <v>1.2674509999924299</v>
      </c>
      <c r="AE101" t="s">
        <v>51</v>
      </c>
      <c r="AI101">
        <v>5</v>
      </c>
      <c r="AJ101">
        <v>1</v>
      </c>
      <c r="AK101" t="s">
        <v>87</v>
      </c>
      <c r="AL101" t="s">
        <v>43</v>
      </c>
      <c r="AN101" t="s">
        <v>44</v>
      </c>
      <c r="AO101">
        <v>60.129904655169099</v>
      </c>
      <c r="AP101" t="s">
        <v>88</v>
      </c>
    </row>
    <row r="102" spans="1:42" x14ac:dyDescent="0.3">
      <c r="A102" t="s">
        <v>72</v>
      </c>
      <c r="B102" t="s">
        <v>59</v>
      </c>
      <c r="C102" t="s">
        <v>61</v>
      </c>
      <c r="D102" t="s">
        <v>62</v>
      </c>
      <c r="E102" t="s">
        <v>63</v>
      </c>
      <c r="F102">
        <v>99</v>
      </c>
      <c r="G102">
        <v>19</v>
      </c>
      <c r="H102">
        <v>4</v>
      </c>
      <c r="I102" t="s">
        <v>63</v>
      </c>
      <c r="J102">
        <v>1</v>
      </c>
      <c r="K102">
        <v>0.84580500004812997</v>
      </c>
      <c r="L102" t="s">
        <v>51</v>
      </c>
      <c r="M102">
        <v>4</v>
      </c>
      <c r="N102">
        <v>19</v>
      </c>
      <c r="O102">
        <v>99</v>
      </c>
      <c r="P102">
        <v>8</v>
      </c>
      <c r="Q102">
        <v>126.86676920001599</v>
      </c>
      <c r="V102">
        <v>126.857179399987</v>
      </c>
      <c r="W102">
        <v>126.86676920001599</v>
      </c>
      <c r="X102">
        <v>127.366299399989</v>
      </c>
      <c r="Y102">
        <v>127.366299399989</v>
      </c>
      <c r="Z102">
        <v>127.366299399989</v>
      </c>
      <c r="AA102">
        <v>128.21981169999299</v>
      </c>
      <c r="AB102" t="s">
        <v>63</v>
      </c>
      <c r="AC102">
        <v>1</v>
      </c>
      <c r="AD102">
        <v>0.84580500004812997</v>
      </c>
      <c r="AE102" t="s">
        <v>51</v>
      </c>
      <c r="AI102">
        <v>5</v>
      </c>
      <c r="AJ102">
        <v>1</v>
      </c>
      <c r="AK102" t="s">
        <v>87</v>
      </c>
      <c r="AL102" t="s">
        <v>43</v>
      </c>
      <c r="AN102" t="s">
        <v>44</v>
      </c>
      <c r="AO102">
        <v>60.129904655169099</v>
      </c>
      <c r="AP102" t="s">
        <v>88</v>
      </c>
    </row>
    <row r="103" spans="1:42" x14ac:dyDescent="0.3">
      <c r="A103" t="s">
        <v>65</v>
      </c>
      <c r="B103" t="s">
        <v>59</v>
      </c>
      <c r="C103" t="s">
        <v>56</v>
      </c>
      <c r="D103" t="s">
        <v>49</v>
      </c>
      <c r="E103" t="s">
        <v>57</v>
      </c>
      <c r="F103">
        <v>100</v>
      </c>
      <c r="G103">
        <v>0</v>
      </c>
      <c r="H103">
        <v>5</v>
      </c>
      <c r="I103" t="s">
        <v>57</v>
      </c>
      <c r="J103">
        <v>1</v>
      </c>
      <c r="K103">
        <v>0.855514499999117</v>
      </c>
      <c r="L103" t="s">
        <v>51</v>
      </c>
      <c r="M103">
        <v>5</v>
      </c>
      <c r="N103">
        <v>0</v>
      </c>
      <c r="O103">
        <v>100</v>
      </c>
      <c r="P103">
        <v>9</v>
      </c>
      <c r="Q103">
        <v>128.232428800023</v>
      </c>
      <c r="V103">
        <v>128.223416100023</v>
      </c>
      <c r="W103">
        <v>128.232428800023</v>
      </c>
      <c r="X103">
        <v>128.732510400004</v>
      </c>
      <c r="Y103">
        <v>128.732510400004</v>
      </c>
      <c r="Z103">
        <v>128.732510400004</v>
      </c>
      <c r="AA103">
        <v>129.60315400001099</v>
      </c>
      <c r="AB103" t="s">
        <v>57</v>
      </c>
      <c r="AC103">
        <v>1</v>
      </c>
      <c r="AD103">
        <v>0.855514499999117</v>
      </c>
      <c r="AE103" t="s">
        <v>51</v>
      </c>
      <c r="AI103">
        <v>5</v>
      </c>
      <c r="AJ103">
        <v>1</v>
      </c>
      <c r="AK103" t="s">
        <v>87</v>
      </c>
      <c r="AL103" t="s">
        <v>43</v>
      </c>
      <c r="AN103" t="s">
        <v>44</v>
      </c>
      <c r="AO103">
        <v>60.129904655169099</v>
      </c>
      <c r="AP103" t="s">
        <v>88</v>
      </c>
    </row>
    <row r="104" spans="1:42" x14ac:dyDescent="0.3">
      <c r="A104" t="s">
        <v>70</v>
      </c>
      <c r="B104" t="s">
        <v>59</v>
      </c>
      <c r="C104" t="s">
        <v>53</v>
      </c>
      <c r="D104" t="s">
        <v>49</v>
      </c>
      <c r="E104" t="s">
        <v>54</v>
      </c>
      <c r="F104">
        <v>101</v>
      </c>
      <c r="G104">
        <v>1</v>
      </c>
      <c r="H104">
        <v>5</v>
      </c>
      <c r="I104" t="s">
        <v>54</v>
      </c>
      <c r="J104">
        <v>1</v>
      </c>
      <c r="K104">
        <v>1.36005040002055</v>
      </c>
      <c r="L104" t="s">
        <v>51</v>
      </c>
      <c r="M104">
        <v>5</v>
      </c>
      <c r="N104">
        <v>1</v>
      </c>
      <c r="O104">
        <v>101</v>
      </c>
      <c r="P104">
        <v>2</v>
      </c>
      <c r="Q104">
        <v>129.616661700012</v>
      </c>
      <c r="V104">
        <v>129.60574520000901</v>
      </c>
      <c r="W104">
        <v>129.616661700012</v>
      </c>
      <c r="X104">
        <v>130.11627920001001</v>
      </c>
      <c r="Y104">
        <v>130.11627920001001</v>
      </c>
      <c r="Z104">
        <v>130.11627920001001</v>
      </c>
      <c r="AA104">
        <v>131.48557140002899</v>
      </c>
      <c r="AB104" t="s">
        <v>54</v>
      </c>
      <c r="AC104">
        <v>1</v>
      </c>
      <c r="AD104">
        <v>1.36005040002055</v>
      </c>
      <c r="AE104" t="s">
        <v>51</v>
      </c>
      <c r="AI104">
        <v>5</v>
      </c>
      <c r="AJ104">
        <v>1</v>
      </c>
      <c r="AK104" t="s">
        <v>87</v>
      </c>
      <c r="AL104" t="s">
        <v>43</v>
      </c>
      <c r="AN104" t="s">
        <v>44</v>
      </c>
      <c r="AO104">
        <v>60.129904655169099</v>
      </c>
      <c r="AP104" t="s">
        <v>88</v>
      </c>
    </row>
    <row r="105" spans="1:42" x14ac:dyDescent="0.3">
      <c r="A105" t="s">
        <v>73</v>
      </c>
      <c r="B105" t="s">
        <v>59</v>
      </c>
      <c r="C105" t="s">
        <v>56</v>
      </c>
      <c r="D105" t="s">
        <v>49</v>
      </c>
      <c r="E105" t="s">
        <v>57</v>
      </c>
      <c r="F105">
        <v>102</v>
      </c>
      <c r="G105">
        <v>2</v>
      </c>
      <c r="H105">
        <v>5</v>
      </c>
      <c r="I105" t="s">
        <v>57</v>
      </c>
      <c r="J105">
        <v>1</v>
      </c>
      <c r="K105">
        <v>0.63687659997958601</v>
      </c>
      <c r="L105" t="s">
        <v>51</v>
      </c>
      <c r="M105">
        <v>5</v>
      </c>
      <c r="N105">
        <v>2</v>
      </c>
      <c r="O105">
        <v>102</v>
      </c>
      <c r="P105">
        <v>1</v>
      </c>
      <c r="Q105">
        <v>131.499159300001</v>
      </c>
      <c r="V105">
        <v>131.48822200001399</v>
      </c>
      <c r="W105">
        <v>131.499159300001</v>
      </c>
      <c r="X105">
        <v>131.99958240002101</v>
      </c>
      <c r="Y105">
        <v>131.99958240002101</v>
      </c>
      <c r="Z105">
        <v>131.99958240002101</v>
      </c>
      <c r="AA105">
        <v>132.65322109998601</v>
      </c>
      <c r="AB105" t="s">
        <v>57</v>
      </c>
      <c r="AC105">
        <v>1</v>
      </c>
      <c r="AD105">
        <v>0.63687659997958601</v>
      </c>
      <c r="AE105" t="s">
        <v>51</v>
      </c>
      <c r="AI105">
        <v>5</v>
      </c>
      <c r="AJ105">
        <v>1</v>
      </c>
      <c r="AK105" t="s">
        <v>87</v>
      </c>
      <c r="AL105" t="s">
        <v>43</v>
      </c>
      <c r="AN105" t="s">
        <v>44</v>
      </c>
      <c r="AO105">
        <v>60.129904655169099</v>
      </c>
      <c r="AP105" t="s">
        <v>88</v>
      </c>
    </row>
    <row r="106" spans="1:42" x14ac:dyDescent="0.3">
      <c r="A106" t="s">
        <v>76</v>
      </c>
      <c r="B106" t="s">
        <v>59</v>
      </c>
      <c r="C106" t="s">
        <v>48</v>
      </c>
      <c r="D106" t="s">
        <v>49</v>
      </c>
      <c r="E106" t="s">
        <v>50</v>
      </c>
      <c r="F106">
        <v>103</v>
      </c>
      <c r="G106">
        <v>3</v>
      </c>
      <c r="H106">
        <v>5</v>
      </c>
      <c r="I106" t="s">
        <v>50</v>
      </c>
      <c r="J106">
        <v>1</v>
      </c>
      <c r="K106">
        <v>1.0854510000208299</v>
      </c>
      <c r="L106" t="s">
        <v>51</v>
      </c>
      <c r="M106">
        <v>5</v>
      </c>
      <c r="N106">
        <v>3</v>
      </c>
      <c r="O106">
        <v>103</v>
      </c>
      <c r="P106">
        <v>3</v>
      </c>
      <c r="Q106">
        <v>132.66580680000999</v>
      </c>
      <c r="V106">
        <v>132.65584170003399</v>
      </c>
      <c r="W106">
        <v>132.66580680000999</v>
      </c>
      <c r="X106">
        <v>133.16575949999901</v>
      </c>
      <c r="Y106">
        <v>133.16575949999901</v>
      </c>
      <c r="Z106">
        <v>133.16575949999901</v>
      </c>
      <c r="AA106">
        <v>134.25289950001701</v>
      </c>
      <c r="AB106" t="s">
        <v>50</v>
      </c>
      <c r="AC106">
        <v>1</v>
      </c>
      <c r="AD106">
        <v>1.0854510000208299</v>
      </c>
      <c r="AE106" t="s">
        <v>51</v>
      </c>
      <c r="AI106">
        <v>5</v>
      </c>
      <c r="AJ106">
        <v>1</v>
      </c>
      <c r="AK106" t="s">
        <v>87</v>
      </c>
      <c r="AL106" t="s">
        <v>43</v>
      </c>
      <c r="AN106" t="s">
        <v>44</v>
      </c>
      <c r="AO106">
        <v>60.129904655169099</v>
      </c>
      <c r="AP106" t="s">
        <v>88</v>
      </c>
    </row>
    <row r="107" spans="1:42" x14ac:dyDescent="0.3">
      <c r="A107" t="s">
        <v>77</v>
      </c>
      <c r="B107" t="s">
        <v>59</v>
      </c>
      <c r="C107" t="s">
        <v>61</v>
      </c>
      <c r="D107" t="s">
        <v>62</v>
      </c>
      <c r="E107" t="s">
        <v>63</v>
      </c>
      <c r="F107">
        <v>104</v>
      </c>
      <c r="G107">
        <v>4</v>
      </c>
      <c r="H107">
        <v>5</v>
      </c>
      <c r="I107" t="s">
        <v>63</v>
      </c>
      <c r="J107">
        <v>1</v>
      </c>
      <c r="K107">
        <v>0.69199169997591503</v>
      </c>
      <c r="L107" t="s">
        <v>51</v>
      </c>
      <c r="M107">
        <v>5</v>
      </c>
      <c r="N107">
        <v>4</v>
      </c>
      <c r="O107">
        <v>104</v>
      </c>
      <c r="P107">
        <v>4</v>
      </c>
      <c r="Q107">
        <v>134.26587569998799</v>
      </c>
      <c r="V107">
        <v>134.25552410003701</v>
      </c>
      <c r="W107">
        <v>134.26587569998799</v>
      </c>
      <c r="X107">
        <v>134.766203799983</v>
      </c>
      <c r="Y107">
        <v>134.766203799983</v>
      </c>
      <c r="Z107">
        <v>134.766203799983</v>
      </c>
      <c r="AA107">
        <v>135.47014310001299</v>
      </c>
      <c r="AB107" t="s">
        <v>63</v>
      </c>
      <c r="AC107">
        <v>1</v>
      </c>
      <c r="AD107">
        <v>0.69199169997591503</v>
      </c>
      <c r="AE107" t="s">
        <v>51</v>
      </c>
      <c r="AI107">
        <v>5</v>
      </c>
      <c r="AJ107">
        <v>1</v>
      </c>
      <c r="AK107" t="s">
        <v>87</v>
      </c>
      <c r="AL107" t="s">
        <v>43</v>
      </c>
      <c r="AN107" t="s">
        <v>44</v>
      </c>
      <c r="AO107">
        <v>60.129904655169099</v>
      </c>
      <c r="AP107" t="s">
        <v>88</v>
      </c>
    </row>
    <row r="108" spans="1:42" x14ac:dyDescent="0.3">
      <c r="A108" t="s">
        <v>64</v>
      </c>
      <c r="B108" t="s">
        <v>47</v>
      </c>
      <c r="C108" t="s">
        <v>53</v>
      </c>
      <c r="D108" t="s">
        <v>49</v>
      </c>
      <c r="E108" t="s">
        <v>54</v>
      </c>
      <c r="F108">
        <v>105</v>
      </c>
      <c r="G108">
        <v>5</v>
      </c>
      <c r="H108">
        <v>5</v>
      </c>
      <c r="I108" t="s">
        <v>54</v>
      </c>
      <c r="J108">
        <v>1</v>
      </c>
      <c r="K108">
        <v>1.0184154000016801</v>
      </c>
      <c r="L108" t="s">
        <v>51</v>
      </c>
      <c r="M108">
        <v>5</v>
      </c>
      <c r="N108">
        <v>5</v>
      </c>
      <c r="O108">
        <v>105</v>
      </c>
      <c r="P108">
        <v>18</v>
      </c>
      <c r="Q108">
        <v>135.48280030000001</v>
      </c>
      <c r="V108">
        <v>135.472412600007</v>
      </c>
      <c r="W108">
        <v>135.48280030000001</v>
      </c>
      <c r="X108">
        <v>135.98273779998999</v>
      </c>
      <c r="Y108">
        <v>135.98273779998999</v>
      </c>
      <c r="Z108">
        <v>135.98273779998999</v>
      </c>
      <c r="AA108">
        <v>137.003329900035</v>
      </c>
      <c r="AB108" t="s">
        <v>54</v>
      </c>
      <c r="AC108">
        <v>1</v>
      </c>
      <c r="AD108">
        <v>1.0184154000016801</v>
      </c>
      <c r="AE108" t="s">
        <v>51</v>
      </c>
      <c r="AI108">
        <v>5</v>
      </c>
      <c r="AJ108">
        <v>1</v>
      </c>
      <c r="AK108" t="s">
        <v>87</v>
      </c>
      <c r="AL108" t="s">
        <v>43</v>
      </c>
      <c r="AN108" t="s">
        <v>44</v>
      </c>
      <c r="AO108">
        <v>60.129904655169099</v>
      </c>
      <c r="AP108" t="s">
        <v>88</v>
      </c>
    </row>
    <row r="109" spans="1:42" x14ac:dyDescent="0.3">
      <c r="A109" t="s">
        <v>67</v>
      </c>
      <c r="B109" t="s">
        <v>47</v>
      </c>
      <c r="C109" t="s">
        <v>53</v>
      </c>
      <c r="D109" t="s">
        <v>49</v>
      </c>
      <c r="E109" t="s">
        <v>54</v>
      </c>
      <c r="F109">
        <v>106</v>
      </c>
      <c r="G109">
        <v>6</v>
      </c>
      <c r="H109">
        <v>5</v>
      </c>
      <c r="I109" t="s">
        <v>54</v>
      </c>
      <c r="J109">
        <v>1</v>
      </c>
      <c r="K109">
        <v>0.58544230001279995</v>
      </c>
      <c r="L109" t="s">
        <v>51</v>
      </c>
      <c r="M109">
        <v>5</v>
      </c>
      <c r="N109">
        <v>6</v>
      </c>
      <c r="O109">
        <v>106</v>
      </c>
      <c r="P109">
        <v>10</v>
      </c>
      <c r="Q109">
        <v>137.01558350003299</v>
      </c>
      <c r="V109">
        <v>137.006669600028</v>
      </c>
      <c r="W109">
        <v>137.01558350003299</v>
      </c>
      <c r="X109">
        <v>137.515290600014</v>
      </c>
      <c r="Y109">
        <v>137.515290600014</v>
      </c>
      <c r="Z109">
        <v>137.515290600014</v>
      </c>
      <c r="AA109">
        <v>138.10336040001101</v>
      </c>
      <c r="AB109" t="s">
        <v>54</v>
      </c>
      <c r="AC109">
        <v>1</v>
      </c>
      <c r="AD109">
        <v>0.58544230001279995</v>
      </c>
      <c r="AE109" t="s">
        <v>51</v>
      </c>
      <c r="AI109">
        <v>5</v>
      </c>
      <c r="AJ109">
        <v>1</v>
      </c>
      <c r="AK109" t="s">
        <v>87</v>
      </c>
      <c r="AL109" t="s">
        <v>43</v>
      </c>
      <c r="AN109" t="s">
        <v>44</v>
      </c>
      <c r="AO109">
        <v>60.129904655169099</v>
      </c>
      <c r="AP109" t="s">
        <v>88</v>
      </c>
    </row>
    <row r="110" spans="1:42" x14ac:dyDescent="0.3">
      <c r="A110" t="s">
        <v>74</v>
      </c>
      <c r="B110" t="s">
        <v>47</v>
      </c>
      <c r="C110" t="s">
        <v>48</v>
      </c>
      <c r="D110" t="s">
        <v>49</v>
      </c>
      <c r="E110" t="s">
        <v>50</v>
      </c>
      <c r="F110">
        <v>107</v>
      </c>
      <c r="G110">
        <v>7</v>
      </c>
      <c r="H110">
        <v>5</v>
      </c>
      <c r="I110" t="s">
        <v>50</v>
      </c>
      <c r="J110">
        <v>1</v>
      </c>
      <c r="K110">
        <v>0.62620040000183497</v>
      </c>
      <c r="L110" t="s">
        <v>51</v>
      </c>
      <c r="M110">
        <v>5</v>
      </c>
      <c r="N110">
        <v>7</v>
      </c>
      <c r="O110">
        <v>107</v>
      </c>
      <c r="P110">
        <v>11</v>
      </c>
      <c r="Q110">
        <v>138.11715390003499</v>
      </c>
      <c r="V110">
        <v>138.10651900002199</v>
      </c>
      <c r="W110">
        <v>138.11715390003499</v>
      </c>
      <c r="X110">
        <v>138.61559500003901</v>
      </c>
      <c r="Y110">
        <v>138.61559500003901</v>
      </c>
      <c r="Z110">
        <v>138.61559500003901</v>
      </c>
      <c r="AA110">
        <v>139.25289380003201</v>
      </c>
      <c r="AB110" t="s">
        <v>50</v>
      </c>
      <c r="AC110">
        <v>1</v>
      </c>
      <c r="AD110">
        <v>0.62620040000183497</v>
      </c>
      <c r="AE110" t="s">
        <v>51</v>
      </c>
      <c r="AI110">
        <v>5</v>
      </c>
      <c r="AJ110">
        <v>1</v>
      </c>
      <c r="AK110" t="s">
        <v>87</v>
      </c>
      <c r="AL110" t="s">
        <v>43</v>
      </c>
      <c r="AN110" t="s">
        <v>44</v>
      </c>
      <c r="AO110">
        <v>60.129904655169099</v>
      </c>
      <c r="AP110" t="s">
        <v>88</v>
      </c>
    </row>
    <row r="111" spans="1:42" x14ac:dyDescent="0.3">
      <c r="A111" t="s">
        <v>68</v>
      </c>
      <c r="B111" t="s">
        <v>59</v>
      </c>
      <c r="C111" t="s">
        <v>53</v>
      </c>
      <c r="D111" t="s">
        <v>49</v>
      </c>
      <c r="E111" t="s">
        <v>54</v>
      </c>
      <c r="F111">
        <v>108</v>
      </c>
      <c r="G111">
        <v>8</v>
      </c>
      <c r="H111">
        <v>5</v>
      </c>
      <c r="I111" t="s">
        <v>54</v>
      </c>
      <c r="J111">
        <v>1</v>
      </c>
      <c r="K111">
        <v>0.76781409996328798</v>
      </c>
      <c r="L111" t="s">
        <v>51</v>
      </c>
      <c r="M111">
        <v>5</v>
      </c>
      <c r="N111">
        <v>8</v>
      </c>
      <c r="O111">
        <v>108</v>
      </c>
      <c r="P111">
        <v>6</v>
      </c>
      <c r="Q111">
        <v>139.26554460002799</v>
      </c>
      <c r="V111">
        <v>139.25716050004101</v>
      </c>
      <c r="W111">
        <v>139.26554460002799</v>
      </c>
      <c r="X111">
        <v>139.76589000003801</v>
      </c>
      <c r="Y111">
        <v>139.76589000003801</v>
      </c>
      <c r="Z111">
        <v>139.76589000003801</v>
      </c>
      <c r="AA111">
        <v>140.53647360001901</v>
      </c>
      <c r="AB111" t="s">
        <v>54</v>
      </c>
      <c r="AC111">
        <v>1</v>
      </c>
      <c r="AD111">
        <v>0.76781409996328798</v>
      </c>
      <c r="AE111" t="s">
        <v>51</v>
      </c>
      <c r="AI111">
        <v>5</v>
      </c>
      <c r="AJ111">
        <v>1</v>
      </c>
      <c r="AK111" t="s">
        <v>87</v>
      </c>
      <c r="AL111" t="s">
        <v>43</v>
      </c>
      <c r="AN111" t="s">
        <v>44</v>
      </c>
      <c r="AO111">
        <v>60.129904655169099</v>
      </c>
      <c r="AP111" t="s">
        <v>88</v>
      </c>
    </row>
    <row r="112" spans="1:42" x14ac:dyDescent="0.3">
      <c r="A112" t="s">
        <v>52</v>
      </c>
      <c r="B112" t="s">
        <v>47</v>
      </c>
      <c r="C112" t="s">
        <v>53</v>
      </c>
      <c r="D112" t="s">
        <v>49</v>
      </c>
      <c r="E112" t="s">
        <v>54</v>
      </c>
      <c r="F112">
        <v>109</v>
      </c>
      <c r="G112">
        <v>9</v>
      </c>
      <c r="H112">
        <v>5</v>
      </c>
      <c r="I112" t="s">
        <v>54</v>
      </c>
      <c r="J112">
        <v>1</v>
      </c>
      <c r="K112">
        <v>0.67093969997949898</v>
      </c>
      <c r="L112" t="s">
        <v>51</v>
      </c>
      <c r="M112">
        <v>5</v>
      </c>
      <c r="N112">
        <v>9</v>
      </c>
      <c r="O112">
        <v>109</v>
      </c>
      <c r="P112">
        <v>14</v>
      </c>
      <c r="Q112">
        <v>140.54953399998999</v>
      </c>
      <c r="V112">
        <v>140.539105700037</v>
      </c>
      <c r="W112">
        <v>140.54953399998999</v>
      </c>
      <c r="X112">
        <v>141.04915530001699</v>
      </c>
      <c r="Y112">
        <v>141.04915530001699</v>
      </c>
      <c r="Z112">
        <v>141.04915530001699</v>
      </c>
      <c r="AA112">
        <v>141.735886999988</v>
      </c>
      <c r="AB112" t="s">
        <v>54</v>
      </c>
      <c r="AC112">
        <v>1</v>
      </c>
      <c r="AD112">
        <v>0.67093969997949898</v>
      </c>
      <c r="AE112" t="s">
        <v>51</v>
      </c>
      <c r="AI112">
        <v>5</v>
      </c>
      <c r="AJ112">
        <v>1</v>
      </c>
      <c r="AK112" t="s">
        <v>87</v>
      </c>
      <c r="AL112" t="s">
        <v>43</v>
      </c>
      <c r="AN112" t="s">
        <v>44</v>
      </c>
      <c r="AO112">
        <v>60.129904655169099</v>
      </c>
      <c r="AP112" t="s">
        <v>88</v>
      </c>
    </row>
    <row r="113" spans="1:42" x14ac:dyDescent="0.3">
      <c r="A113" t="s">
        <v>58</v>
      </c>
      <c r="B113" t="s">
        <v>59</v>
      </c>
      <c r="C113" t="s">
        <v>48</v>
      </c>
      <c r="D113" t="s">
        <v>49</v>
      </c>
      <c r="E113" t="s">
        <v>50</v>
      </c>
      <c r="F113">
        <v>110</v>
      </c>
      <c r="G113">
        <v>10</v>
      </c>
      <c r="H113">
        <v>5</v>
      </c>
      <c r="I113" t="s">
        <v>50</v>
      </c>
      <c r="J113">
        <v>1</v>
      </c>
      <c r="K113">
        <v>0.51151039998512704</v>
      </c>
      <c r="L113" t="s">
        <v>51</v>
      </c>
      <c r="M113">
        <v>5</v>
      </c>
      <c r="N113">
        <v>10</v>
      </c>
      <c r="O113">
        <v>110</v>
      </c>
      <c r="P113">
        <v>7</v>
      </c>
      <c r="Q113">
        <v>141.74882530001901</v>
      </c>
      <c r="V113">
        <v>141.73842160001999</v>
      </c>
      <c r="W113">
        <v>141.74882530001901</v>
      </c>
      <c r="X113">
        <v>142.24911390000401</v>
      </c>
      <c r="Y113">
        <v>142.24911390000401</v>
      </c>
      <c r="Z113">
        <v>142.24911390000401</v>
      </c>
      <c r="AA113">
        <v>142.76876370003399</v>
      </c>
      <c r="AB113" t="s">
        <v>50</v>
      </c>
      <c r="AC113">
        <v>1</v>
      </c>
      <c r="AD113">
        <v>0.51151039998512704</v>
      </c>
      <c r="AE113" t="s">
        <v>51</v>
      </c>
      <c r="AI113">
        <v>5</v>
      </c>
      <c r="AJ113">
        <v>1</v>
      </c>
      <c r="AK113" t="s">
        <v>87</v>
      </c>
      <c r="AL113" t="s">
        <v>43</v>
      </c>
      <c r="AN113" t="s">
        <v>44</v>
      </c>
      <c r="AO113">
        <v>60.129904655169099</v>
      </c>
      <c r="AP113" t="s">
        <v>88</v>
      </c>
    </row>
    <row r="114" spans="1:42" x14ac:dyDescent="0.3">
      <c r="A114" t="s">
        <v>72</v>
      </c>
      <c r="B114" t="s">
        <v>59</v>
      </c>
      <c r="C114" t="s">
        <v>61</v>
      </c>
      <c r="D114" t="s">
        <v>62</v>
      </c>
      <c r="E114" t="s">
        <v>63</v>
      </c>
      <c r="F114">
        <v>111</v>
      </c>
      <c r="G114">
        <v>11</v>
      </c>
      <c r="H114">
        <v>5</v>
      </c>
      <c r="I114" t="s">
        <v>63</v>
      </c>
      <c r="J114">
        <v>1</v>
      </c>
      <c r="K114">
        <v>0.67250310000963498</v>
      </c>
      <c r="L114" t="s">
        <v>51</v>
      </c>
      <c r="M114">
        <v>5</v>
      </c>
      <c r="N114">
        <v>11</v>
      </c>
      <c r="O114">
        <v>111</v>
      </c>
      <c r="P114">
        <v>8</v>
      </c>
      <c r="Q114">
        <v>142.782166399993</v>
      </c>
      <c r="V114">
        <v>142.772107800003</v>
      </c>
      <c r="W114">
        <v>142.782166399993</v>
      </c>
      <c r="X114">
        <v>143.282832900004</v>
      </c>
      <c r="Y114">
        <v>143.282832900004</v>
      </c>
      <c r="Z114">
        <v>143.282832900004</v>
      </c>
      <c r="AA114">
        <v>143.969791800016</v>
      </c>
      <c r="AB114" t="s">
        <v>63</v>
      </c>
      <c r="AC114">
        <v>1</v>
      </c>
      <c r="AD114">
        <v>0.67250310000963498</v>
      </c>
      <c r="AE114" t="s">
        <v>51</v>
      </c>
      <c r="AI114">
        <v>5</v>
      </c>
      <c r="AJ114">
        <v>1</v>
      </c>
      <c r="AK114" t="s">
        <v>87</v>
      </c>
      <c r="AL114" t="s">
        <v>43</v>
      </c>
      <c r="AN114" t="s">
        <v>44</v>
      </c>
      <c r="AO114">
        <v>60.129904655169099</v>
      </c>
      <c r="AP114" t="s">
        <v>88</v>
      </c>
    </row>
    <row r="115" spans="1:42" x14ac:dyDescent="0.3">
      <c r="A115" t="s">
        <v>66</v>
      </c>
      <c r="B115" t="s">
        <v>47</v>
      </c>
      <c r="C115" t="s">
        <v>61</v>
      </c>
      <c r="D115" t="s">
        <v>49</v>
      </c>
      <c r="E115" t="s">
        <v>63</v>
      </c>
      <c r="F115">
        <v>112</v>
      </c>
      <c r="G115">
        <v>12</v>
      </c>
      <c r="H115">
        <v>5</v>
      </c>
      <c r="I115" t="s">
        <v>63</v>
      </c>
      <c r="J115">
        <v>1</v>
      </c>
      <c r="K115">
        <v>0.44200949999503703</v>
      </c>
      <c r="L115" t="s">
        <v>51</v>
      </c>
      <c r="M115">
        <v>5</v>
      </c>
      <c r="N115">
        <v>12</v>
      </c>
      <c r="O115">
        <v>112</v>
      </c>
      <c r="P115">
        <v>12</v>
      </c>
      <c r="Q115">
        <v>143.98163940000799</v>
      </c>
      <c r="V115">
        <v>143.97346810001099</v>
      </c>
      <c r="W115">
        <v>143.98163940000799</v>
      </c>
      <c r="X115">
        <v>144.48202530003601</v>
      </c>
      <c r="Y115">
        <v>144.48202530003601</v>
      </c>
      <c r="Z115">
        <v>144.48202530003601</v>
      </c>
      <c r="AA115">
        <v>144.93588760000401</v>
      </c>
      <c r="AB115" t="s">
        <v>63</v>
      </c>
      <c r="AC115">
        <v>1</v>
      </c>
      <c r="AD115">
        <v>0.44200949999503703</v>
      </c>
      <c r="AE115" t="s">
        <v>51</v>
      </c>
      <c r="AI115">
        <v>5</v>
      </c>
      <c r="AJ115">
        <v>1</v>
      </c>
      <c r="AK115" t="s">
        <v>87</v>
      </c>
      <c r="AL115" t="s">
        <v>43</v>
      </c>
      <c r="AN115" t="s">
        <v>44</v>
      </c>
      <c r="AO115">
        <v>60.129904655169099</v>
      </c>
      <c r="AP115" t="s">
        <v>88</v>
      </c>
    </row>
    <row r="116" spans="1:42" x14ac:dyDescent="0.3">
      <c r="A116" t="s">
        <v>75</v>
      </c>
      <c r="B116" t="s">
        <v>47</v>
      </c>
      <c r="C116" t="s">
        <v>61</v>
      </c>
      <c r="D116" t="s">
        <v>49</v>
      </c>
      <c r="E116" t="s">
        <v>63</v>
      </c>
      <c r="F116">
        <v>113</v>
      </c>
      <c r="G116">
        <v>13</v>
      </c>
      <c r="H116">
        <v>5</v>
      </c>
      <c r="I116" t="s">
        <v>63</v>
      </c>
      <c r="J116">
        <v>1</v>
      </c>
      <c r="K116">
        <v>0.40042710001580401</v>
      </c>
      <c r="L116" t="s">
        <v>51</v>
      </c>
      <c r="M116">
        <v>5</v>
      </c>
      <c r="N116">
        <v>13</v>
      </c>
      <c r="O116">
        <v>113</v>
      </c>
      <c r="P116">
        <v>16</v>
      </c>
      <c r="Q116">
        <v>144.94875069998599</v>
      </c>
      <c r="V116">
        <v>144.93910580000301</v>
      </c>
      <c r="W116">
        <v>144.94875069998599</v>
      </c>
      <c r="X116">
        <v>145.44874309998701</v>
      </c>
      <c r="Y116">
        <v>145.44874309998701</v>
      </c>
      <c r="Z116">
        <v>145.44874309998701</v>
      </c>
      <c r="AA116">
        <v>145.85310690000099</v>
      </c>
      <c r="AB116" t="s">
        <v>63</v>
      </c>
      <c r="AC116">
        <v>1</v>
      </c>
      <c r="AD116">
        <v>0.40042710001580401</v>
      </c>
      <c r="AE116" t="s">
        <v>51</v>
      </c>
      <c r="AI116">
        <v>5</v>
      </c>
      <c r="AJ116">
        <v>1</v>
      </c>
      <c r="AK116" t="s">
        <v>87</v>
      </c>
      <c r="AL116" t="s">
        <v>43</v>
      </c>
      <c r="AN116" t="s">
        <v>44</v>
      </c>
      <c r="AO116">
        <v>60.129904655169099</v>
      </c>
      <c r="AP116" t="s">
        <v>88</v>
      </c>
    </row>
    <row r="117" spans="1:42" x14ac:dyDescent="0.3">
      <c r="A117" t="s">
        <v>69</v>
      </c>
      <c r="B117" t="s">
        <v>59</v>
      </c>
      <c r="C117" t="s">
        <v>56</v>
      </c>
      <c r="D117" t="s">
        <v>49</v>
      </c>
      <c r="E117" t="s">
        <v>57</v>
      </c>
      <c r="F117">
        <v>114</v>
      </c>
      <c r="G117">
        <v>14</v>
      </c>
      <c r="H117">
        <v>5</v>
      </c>
      <c r="I117" t="s">
        <v>57</v>
      </c>
      <c r="J117">
        <v>1</v>
      </c>
      <c r="K117">
        <v>0.69880890002241303</v>
      </c>
      <c r="L117" t="s">
        <v>51</v>
      </c>
      <c r="M117">
        <v>5</v>
      </c>
      <c r="N117">
        <v>14</v>
      </c>
      <c r="O117">
        <v>114</v>
      </c>
      <c r="P117">
        <v>5</v>
      </c>
      <c r="Q117">
        <v>145.86579370003801</v>
      </c>
      <c r="V117">
        <v>145.85571520001301</v>
      </c>
      <c r="W117">
        <v>145.86579370003801</v>
      </c>
      <c r="X117">
        <v>146.36576590000101</v>
      </c>
      <c r="Y117">
        <v>146.36576590000101</v>
      </c>
      <c r="Z117">
        <v>146.36576590000101</v>
      </c>
      <c r="AA117">
        <v>147.06944560003399</v>
      </c>
      <c r="AB117" t="s">
        <v>57</v>
      </c>
      <c r="AC117">
        <v>1</v>
      </c>
      <c r="AD117">
        <v>0.69880890002241303</v>
      </c>
      <c r="AE117" t="s">
        <v>51</v>
      </c>
      <c r="AI117">
        <v>5</v>
      </c>
      <c r="AJ117">
        <v>1</v>
      </c>
      <c r="AK117" t="s">
        <v>87</v>
      </c>
      <c r="AL117" t="s">
        <v>43</v>
      </c>
      <c r="AN117" t="s">
        <v>44</v>
      </c>
      <c r="AO117">
        <v>60.129904655169099</v>
      </c>
      <c r="AP117" t="s">
        <v>88</v>
      </c>
    </row>
    <row r="118" spans="1:42" x14ac:dyDescent="0.3">
      <c r="A118" t="s">
        <v>78</v>
      </c>
      <c r="B118" t="s">
        <v>47</v>
      </c>
      <c r="C118" t="s">
        <v>56</v>
      </c>
      <c r="D118" t="s">
        <v>49</v>
      </c>
      <c r="E118" t="s">
        <v>57</v>
      </c>
      <c r="F118">
        <v>115</v>
      </c>
      <c r="G118">
        <v>15</v>
      </c>
      <c r="H118">
        <v>5</v>
      </c>
      <c r="I118" t="s">
        <v>57</v>
      </c>
      <c r="J118">
        <v>1</v>
      </c>
      <c r="K118">
        <v>0.74952109996229399</v>
      </c>
      <c r="L118" t="s">
        <v>51</v>
      </c>
      <c r="M118">
        <v>5</v>
      </c>
      <c r="N118">
        <v>15</v>
      </c>
      <c r="O118">
        <v>115</v>
      </c>
      <c r="P118">
        <v>17</v>
      </c>
      <c r="Q118">
        <v>147.08240950002801</v>
      </c>
      <c r="V118">
        <v>147.07200580002899</v>
      </c>
      <c r="W118">
        <v>147.08240950002801</v>
      </c>
      <c r="X118">
        <v>147.581737200031</v>
      </c>
      <c r="Y118">
        <v>147.581737200031</v>
      </c>
      <c r="Z118">
        <v>147.581737200031</v>
      </c>
      <c r="AA118">
        <v>148.33634280000101</v>
      </c>
      <c r="AB118" t="s">
        <v>57</v>
      </c>
      <c r="AC118">
        <v>1</v>
      </c>
      <c r="AD118">
        <v>0.74952109996229399</v>
      </c>
      <c r="AE118" t="s">
        <v>51</v>
      </c>
      <c r="AI118">
        <v>5</v>
      </c>
      <c r="AJ118">
        <v>1</v>
      </c>
      <c r="AK118" t="s">
        <v>87</v>
      </c>
      <c r="AL118" t="s">
        <v>43</v>
      </c>
      <c r="AN118" t="s">
        <v>44</v>
      </c>
      <c r="AO118">
        <v>60.129904655169099</v>
      </c>
      <c r="AP118" t="s">
        <v>88</v>
      </c>
    </row>
    <row r="119" spans="1:42" x14ac:dyDescent="0.3">
      <c r="A119" t="s">
        <v>46</v>
      </c>
      <c r="B119" t="s">
        <v>47</v>
      </c>
      <c r="C119" t="s">
        <v>48</v>
      </c>
      <c r="D119" t="s">
        <v>49</v>
      </c>
      <c r="E119" t="s">
        <v>50</v>
      </c>
      <c r="F119">
        <v>116</v>
      </c>
      <c r="G119">
        <v>16</v>
      </c>
      <c r="H119">
        <v>5</v>
      </c>
      <c r="I119" t="s">
        <v>50</v>
      </c>
      <c r="J119">
        <v>1</v>
      </c>
      <c r="K119">
        <v>0.80227710003964603</v>
      </c>
      <c r="L119" t="s">
        <v>51</v>
      </c>
      <c r="M119">
        <v>5</v>
      </c>
      <c r="N119">
        <v>16</v>
      </c>
      <c r="O119">
        <v>116</v>
      </c>
      <c r="P119">
        <v>19</v>
      </c>
      <c r="Q119">
        <v>148.34829059999899</v>
      </c>
      <c r="V119">
        <v>148.338798200013</v>
      </c>
      <c r="W119">
        <v>148.34829059999899</v>
      </c>
      <c r="X119">
        <v>148.849429199995</v>
      </c>
      <c r="Y119">
        <v>148.849429199995</v>
      </c>
      <c r="Z119">
        <v>148.849429199995</v>
      </c>
      <c r="AA119">
        <v>149.65263840003101</v>
      </c>
      <c r="AB119" t="s">
        <v>50</v>
      </c>
      <c r="AC119">
        <v>1</v>
      </c>
      <c r="AD119">
        <v>0.80227710003964603</v>
      </c>
      <c r="AE119" t="s">
        <v>51</v>
      </c>
      <c r="AI119">
        <v>5</v>
      </c>
      <c r="AJ119">
        <v>1</v>
      </c>
      <c r="AK119" t="s">
        <v>87</v>
      </c>
      <c r="AL119" t="s">
        <v>43</v>
      </c>
      <c r="AN119" t="s">
        <v>44</v>
      </c>
      <c r="AO119">
        <v>60.129904655169099</v>
      </c>
      <c r="AP119" t="s">
        <v>88</v>
      </c>
    </row>
    <row r="120" spans="1:42" x14ac:dyDescent="0.3">
      <c r="A120" t="s">
        <v>55</v>
      </c>
      <c r="B120" t="s">
        <v>47</v>
      </c>
      <c r="C120" t="s">
        <v>56</v>
      </c>
      <c r="D120" t="s">
        <v>49</v>
      </c>
      <c r="E120" t="s">
        <v>57</v>
      </c>
      <c r="F120">
        <v>117</v>
      </c>
      <c r="G120">
        <v>17</v>
      </c>
      <c r="H120">
        <v>5</v>
      </c>
      <c r="I120" t="s">
        <v>57</v>
      </c>
      <c r="J120">
        <v>1</v>
      </c>
      <c r="K120">
        <v>1.0563735999749</v>
      </c>
      <c r="L120" t="s">
        <v>51</v>
      </c>
      <c r="M120">
        <v>5</v>
      </c>
      <c r="N120">
        <v>17</v>
      </c>
      <c r="O120">
        <v>117</v>
      </c>
      <c r="P120">
        <v>13</v>
      </c>
      <c r="Q120">
        <v>149.66573700000299</v>
      </c>
      <c r="V120">
        <v>149.655957300041</v>
      </c>
      <c r="W120">
        <v>149.66573700000299</v>
      </c>
      <c r="X120">
        <v>150.165177699993</v>
      </c>
      <c r="Y120">
        <v>150.165177699993</v>
      </c>
      <c r="Z120">
        <v>150.165177699993</v>
      </c>
      <c r="AA120">
        <v>151.235281300032</v>
      </c>
      <c r="AB120" t="s">
        <v>57</v>
      </c>
      <c r="AC120">
        <v>1</v>
      </c>
      <c r="AD120">
        <v>1.0563735999749</v>
      </c>
      <c r="AE120" t="s">
        <v>51</v>
      </c>
      <c r="AI120">
        <v>5</v>
      </c>
      <c r="AJ120">
        <v>1</v>
      </c>
      <c r="AK120" t="s">
        <v>87</v>
      </c>
      <c r="AL120" t="s">
        <v>43</v>
      </c>
      <c r="AN120" t="s">
        <v>44</v>
      </c>
      <c r="AO120">
        <v>60.129904655169099</v>
      </c>
      <c r="AP120" t="s">
        <v>88</v>
      </c>
    </row>
    <row r="121" spans="1:42" x14ac:dyDescent="0.3">
      <c r="A121" t="s">
        <v>60</v>
      </c>
      <c r="B121" t="s">
        <v>59</v>
      </c>
      <c r="C121" t="s">
        <v>61</v>
      </c>
      <c r="D121" t="s">
        <v>62</v>
      </c>
      <c r="E121" t="s">
        <v>63</v>
      </c>
      <c r="F121">
        <v>118</v>
      </c>
      <c r="G121">
        <v>18</v>
      </c>
      <c r="H121">
        <v>5</v>
      </c>
      <c r="I121" t="s">
        <v>63</v>
      </c>
      <c r="J121">
        <v>1</v>
      </c>
      <c r="K121">
        <v>0.82527620001928803</v>
      </c>
      <c r="L121" t="s">
        <v>51</v>
      </c>
      <c r="M121">
        <v>5</v>
      </c>
      <c r="N121">
        <v>18</v>
      </c>
      <c r="O121">
        <v>118</v>
      </c>
      <c r="P121">
        <v>0</v>
      </c>
      <c r="Q121">
        <v>151.248430300038</v>
      </c>
      <c r="V121">
        <v>151.237770600011</v>
      </c>
      <c r="W121">
        <v>151.248430300038</v>
      </c>
      <c r="X121">
        <v>151.74880430003299</v>
      </c>
      <c r="Y121">
        <v>151.74880430003299</v>
      </c>
      <c r="Z121">
        <v>151.74880430003299</v>
      </c>
      <c r="AA121">
        <v>152.58545070001799</v>
      </c>
      <c r="AB121" t="s">
        <v>63</v>
      </c>
      <c r="AC121">
        <v>1</v>
      </c>
      <c r="AD121">
        <v>0.82527620001928803</v>
      </c>
      <c r="AE121" t="s">
        <v>51</v>
      </c>
      <c r="AI121">
        <v>5</v>
      </c>
      <c r="AJ121">
        <v>1</v>
      </c>
      <c r="AK121" t="s">
        <v>87</v>
      </c>
      <c r="AL121" t="s">
        <v>43</v>
      </c>
      <c r="AN121" t="s">
        <v>44</v>
      </c>
      <c r="AO121">
        <v>60.129904655169099</v>
      </c>
      <c r="AP121" t="s">
        <v>88</v>
      </c>
    </row>
    <row r="122" spans="1:42" x14ac:dyDescent="0.3">
      <c r="A122" t="s">
        <v>71</v>
      </c>
      <c r="B122" t="s">
        <v>47</v>
      </c>
      <c r="C122" t="s">
        <v>48</v>
      </c>
      <c r="D122" t="s">
        <v>49</v>
      </c>
      <c r="E122" t="s">
        <v>50</v>
      </c>
      <c r="F122">
        <v>119</v>
      </c>
      <c r="G122">
        <v>19</v>
      </c>
      <c r="H122">
        <v>5</v>
      </c>
      <c r="I122" t="s">
        <v>50</v>
      </c>
      <c r="J122">
        <v>1</v>
      </c>
      <c r="K122">
        <v>0.66088719997787804</v>
      </c>
      <c r="L122" t="s">
        <v>51</v>
      </c>
      <c r="M122">
        <v>5</v>
      </c>
      <c r="N122">
        <v>19</v>
      </c>
      <c r="O122">
        <v>119</v>
      </c>
      <c r="P122">
        <v>15</v>
      </c>
      <c r="Q122">
        <v>152.59876900003201</v>
      </c>
      <c r="V122">
        <v>152.58817050000599</v>
      </c>
      <c r="W122">
        <v>152.59876900003201</v>
      </c>
      <c r="X122">
        <v>153.09869180002701</v>
      </c>
      <c r="Y122">
        <v>153.09869180002701</v>
      </c>
      <c r="Z122">
        <v>153.09869180002701</v>
      </c>
      <c r="AA122">
        <v>153.76879679999499</v>
      </c>
      <c r="AB122" t="s">
        <v>50</v>
      </c>
      <c r="AC122">
        <v>1</v>
      </c>
      <c r="AD122">
        <v>0.66088719997787804</v>
      </c>
      <c r="AE122" t="s">
        <v>51</v>
      </c>
      <c r="AI122">
        <v>5</v>
      </c>
      <c r="AJ122">
        <v>1</v>
      </c>
      <c r="AK122" t="s">
        <v>87</v>
      </c>
      <c r="AL122" t="s">
        <v>43</v>
      </c>
      <c r="AN122" t="s">
        <v>44</v>
      </c>
      <c r="AO122">
        <v>60.129904655169099</v>
      </c>
      <c r="AP122" t="s">
        <v>88</v>
      </c>
    </row>
    <row r="123" spans="1:42" x14ac:dyDescent="0.3">
      <c r="A123" t="s">
        <v>70</v>
      </c>
      <c r="B123" t="s">
        <v>59</v>
      </c>
      <c r="C123" t="s">
        <v>53</v>
      </c>
      <c r="D123" t="s">
        <v>49</v>
      </c>
      <c r="E123" t="s">
        <v>54</v>
      </c>
      <c r="F123">
        <v>120</v>
      </c>
      <c r="G123">
        <v>0</v>
      </c>
      <c r="H123">
        <v>6</v>
      </c>
      <c r="I123" t="s">
        <v>54</v>
      </c>
      <c r="J123">
        <v>1</v>
      </c>
      <c r="K123">
        <v>0.55217450001509805</v>
      </c>
      <c r="L123" t="s">
        <v>51</v>
      </c>
      <c r="M123">
        <v>6</v>
      </c>
      <c r="N123">
        <v>0</v>
      </c>
      <c r="O123">
        <v>120</v>
      </c>
      <c r="P123">
        <v>2</v>
      </c>
      <c r="Q123">
        <v>153.782126200036</v>
      </c>
      <c r="V123">
        <v>153.771606700029</v>
      </c>
      <c r="W123">
        <v>153.782126200036</v>
      </c>
      <c r="X123">
        <v>154.282697700022</v>
      </c>
      <c r="Y123">
        <v>154.282697700022</v>
      </c>
      <c r="Z123">
        <v>154.282697700022</v>
      </c>
      <c r="AA123">
        <v>154.852238300023</v>
      </c>
      <c r="AB123" t="s">
        <v>54</v>
      </c>
      <c r="AC123">
        <v>1</v>
      </c>
      <c r="AD123">
        <v>0.55217450001509805</v>
      </c>
      <c r="AE123" t="s">
        <v>51</v>
      </c>
      <c r="AI123">
        <v>5</v>
      </c>
      <c r="AJ123">
        <v>1</v>
      </c>
      <c r="AK123" t="s">
        <v>87</v>
      </c>
      <c r="AL123" t="s">
        <v>43</v>
      </c>
      <c r="AN123" t="s">
        <v>44</v>
      </c>
      <c r="AO123">
        <v>60.129904655169099</v>
      </c>
      <c r="AP123" t="s">
        <v>88</v>
      </c>
    </row>
    <row r="124" spans="1:42" x14ac:dyDescent="0.3">
      <c r="A124" t="s">
        <v>58</v>
      </c>
      <c r="B124" t="s">
        <v>59</v>
      </c>
      <c r="C124" t="s">
        <v>48</v>
      </c>
      <c r="D124" t="s">
        <v>49</v>
      </c>
      <c r="E124" t="s">
        <v>50</v>
      </c>
      <c r="F124">
        <v>121</v>
      </c>
      <c r="G124">
        <v>1</v>
      </c>
      <c r="H124">
        <v>6</v>
      </c>
      <c r="I124" t="s">
        <v>54</v>
      </c>
      <c r="J124">
        <v>0</v>
      </c>
      <c r="K124">
        <v>0.55959879996953499</v>
      </c>
      <c r="L124" t="s">
        <v>51</v>
      </c>
      <c r="M124">
        <v>6</v>
      </c>
      <c r="N124">
        <v>1</v>
      </c>
      <c r="O124">
        <v>121</v>
      </c>
      <c r="P124">
        <v>7</v>
      </c>
      <c r="Q124">
        <v>154.864989300025</v>
      </c>
      <c r="V124">
        <v>154.855629900004</v>
      </c>
      <c r="W124">
        <v>154.864989300025</v>
      </c>
      <c r="X124">
        <v>155.364826600009</v>
      </c>
      <c r="Y124">
        <v>155.364826600009</v>
      </c>
      <c r="Z124">
        <v>155.364826600009</v>
      </c>
      <c r="AA124">
        <v>155.93497649999301</v>
      </c>
      <c r="AB124" t="s">
        <v>54</v>
      </c>
      <c r="AC124">
        <v>0</v>
      </c>
      <c r="AD124">
        <v>0.55959879996953499</v>
      </c>
      <c r="AE124" t="s">
        <v>51</v>
      </c>
      <c r="AI124">
        <v>5</v>
      </c>
      <c r="AJ124">
        <v>1</v>
      </c>
      <c r="AK124" t="s">
        <v>87</v>
      </c>
      <c r="AL124" t="s">
        <v>43</v>
      </c>
      <c r="AN124" t="s">
        <v>44</v>
      </c>
      <c r="AO124">
        <v>60.129904655169099</v>
      </c>
      <c r="AP124" t="s">
        <v>88</v>
      </c>
    </row>
    <row r="125" spans="1:42" x14ac:dyDescent="0.3">
      <c r="A125" t="s">
        <v>67</v>
      </c>
      <c r="B125" t="s">
        <v>47</v>
      </c>
      <c r="C125" t="s">
        <v>53</v>
      </c>
      <c r="D125" t="s">
        <v>49</v>
      </c>
      <c r="E125" t="s">
        <v>54</v>
      </c>
      <c r="F125">
        <v>122</v>
      </c>
      <c r="G125">
        <v>2</v>
      </c>
      <c r="H125">
        <v>6</v>
      </c>
      <c r="I125" t="s">
        <v>57</v>
      </c>
      <c r="J125">
        <v>0</v>
      </c>
      <c r="K125">
        <v>0.52036520000547104</v>
      </c>
      <c r="L125" t="s">
        <v>51</v>
      </c>
      <c r="M125">
        <v>6</v>
      </c>
      <c r="N125">
        <v>2</v>
      </c>
      <c r="O125">
        <v>122</v>
      </c>
      <c r="P125">
        <v>10</v>
      </c>
      <c r="Q125">
        <v>155.94868870003799</v>
      </c>
      <c r="V125">
        <v>155.93754270003399</v>
      </c>
      <c r="W125">
        <v>155.94868870003799</v>
      </c>
      <c r="X125">
        <v>156.44859490002199</v>
      </c>
      <c r="Y125">
        <v>156.44859490002199</v>
      </c>
      <c r="Z125">
        <v>156.44859490002199</v>
      </c>
      <c r="AA125">
        <v>156.984892899985</v>
      </c>
      <c r="AB125" t="s">
        <v>57</v>
      </c>
      <c r="AC125">
        <v>0</v>
      </c>
      <c r="AD125">
        <v>0.52036520000547104</v>
      </c>
      <c r="AE125" t="s">
        <v>51</v>
      </c>
      <c r="AI125">
        <v>5</v>
      </c>
      <c r="AJ125">
        <v>1</v>
      </c>
      <c r="AK125" t="s">
        <v>87</v>
      </c>
      <c r="AL125" t="s">
        <v>43</v>
      </c>
      <c r="AN125" t="s">
        <v>44</v>
      </c>
      <c r="AO125">
        <v>60.129904655169099</v>
      </c>
      <c r="AP125" t="s">
        <v>88</v>
      </c>
    </row>
    <row r="126" spans="1:42" x14ac:dyDescent="0.3">
      <c r="A126" t="s">
        <v>60</v>
      </c>
      <c r="B126" t="s">
        <v>59</v>
      </c>
      <c r="C126" t="s">
        <v>61</v>
      </c>
      <c r="D126" t="s">
        <v>62</v>
      </c>
      <c r="E126" t="s">
        <v>63</v>
      </c>
      <c r="F126">
        <v>123</v>
      </c>
      <c r="G126">
        <v>3</v>
      </c>
      <c r="H126">
        <v>6</v>
      </c>
      <c r="I126" t="s">
        <v>63</v>
      </c>
      <c r="J126">
        <v>1</v>
      </c>
      <c r="K126">
        <v>0.67274049995467</v>
      </c>
      <c r="L126" t="s">
        <v>51</v>
      </c>
      <c r="M126">
        <v>6</v>
      </c>
      <c r="N126">
        <v>3</v>
      </c>
      <c r="O126">
        <v>123</v>
      </c>
      <c r="P126">
        <v>0</v>
      </c>
      <c r="Q126">
        <v>156.99859500001099</v>
      </c>
      <c r="V126">
        <v>156.98732569999899</v>
      </c>
      <c r="W126">
        <v>156.99859500001099</v>
      </c>
      <c r="X126">
        <v>157.49808960000499</v>
      </c>
      <c r="Y126">
        <v>157.49808960000499</v>
      </c>
      <c r="Z126">
        <v>157.49808960000499</v>
      </c>
      <c r="AA126">
        <v>158.18486199999401</v>
      </c>
      <c r="AB126" t="s">
        <v>63</v>
      </c>
      <c r="AC126">
        <v>1</v>
      </c>
      <c r="AD126">
        <v>0.67274049995467</v>
      </c>
      <c r="AE126" t="s">
        <v>51</v>
      </c>
      <c r="AI126">
        <v>5</v>
      </c>
      <c r="AJ126">
        <v>1</v>
      </c>
      <c r="AK126" t="s">
        <v>87</v>
      </c>
      <c r="AL126" t="s">
        <v>43</v>
      </c>
      <c r="AN126" t="s">
        <v>44</v>
      </c>
      <c r="AO126">
        <v>60.129904655169099</v>
      </c>
      <c r="AP126" t="s">
        <v>88</v>
      </c>
    </row>
    <row r="127" spans="1:42" x14ac:dyDescent="0.3">
      <c r="A127" t="s">
        <v>66</v>
      </c>
      <c r="B127" t="s">
        <v>47</v>
      </c>
      <c r="C127" t="s">
        <v>61</v>
      </c>
      <c r="D127" t="s">
        <v>49</v>
      </c>
      <c r="E127" t="s">
        <v>63</v>
      </c>
      <c r="F127">
        <v>124</v>
      </c>
      <c r="G127">
        <v>4</v>
      </c>
      <c r="H127">
        <v>6</v>
      </c>
      <c r="I127" t="s">
        <v>63</v>
      </c>
      <c r="J127">
        <v>1</v>
      </c>
      <c r="K127">
        <v>0.586190200003329</v>
      </c>
      <c r="L127" t="s">
        <v>51</v>
      </c>
      <c r="M127">
        <v>6</v>
      </c>
      <c r="N127">
        <v>4</v>
      </c>
      <c r="O127">
        <v>124</v>
      </c>
      <c r="P127">
        <v>12</v>
      </c>
      <c r="Q127">
        <v>158.198653700004</v>
      </c>
      <c r="V127">
        <v>158.18748040002501</v>
      </c>
      <c r="W127">
        <v>158.198653700004</v>
      </c>
      <c r="X127">
        <v>158.69791290001001</v>
      </c>
      <c r="Y127">
        <v>158.69791290001001</v>
      </c>
      <c r="Z127">
        <v>158.69791290001001</v>
      </c>
      <c r="AA127">
        <v>159.28561720001699</v>
      </c>
      <c r="AB127" t="s">
        <v>63</v>
      </c>
      <c r="AC127">
        <v>1</v>
      </c>
      <c r="AD127">
        <v>0.586190200003329</v>
      </c>
      <c r="AE127" t="s">
        <v>51</v>
      </c>
      <c r="AI127">
        <v>5</v>
      </c>
      <c r="AJ127">
        <v>1</v>
      </c>
      <c r="AK127" t="s">
        <v>87</v>
      </c>
      <c r="AL127" t="s">
        <v>43</v>
      </c>
      <c r="AN127" t="s">
        <v>44</v>
      </c>
      <c r="AO127">
        <v>60.129904655169099</v>
      </c>
      <c r="AP127" t="s">
        <v>88</v>
      </c>
    </row>
    <row r="128" spans="1:42" x14ac:dyDescent="0.3">
      <c r="A128" t="s">
        <v>68</v>
      </c>
      <c r="B128" t="s">
        <v>59</v>
      </c>
      <c r="C128" t="s">
        <v>53</v>
      </c>
      <c r="D128" t="s">
        <v>49</v>
      </c>
      <c r="E128" t="s">
        <v>54</v>
      </c>
      <c r="F128">
        <v>125</v>
      </c>
      <c r="G128">
        <v>5</v>
      </c>
      <c r="H128">
        <v>6</v>
      </c>
      <c r="I128" t="s">
        <v>54</v>
      </c>
      <c r="J128">
        <v>1</v>
      </c>
      <c r="K128">
        <v>0.80024609999964003</v>
      </c>
      <c r="L128" t="s">
        <v>51</v>
      </c>
      <c r="M128">
        <v>6</v>
      </c>
      <c r="N128">
        <v>5</v>
      </c>
      <c r="O128">
        <v>125</v>
      </c>
      <c r="P128">
        <v>6</v>
      </c>
      <c r="Q128">
        <v>159.29806400003099</v>
      </c>
      <c r="V128">
        <v>159.28825590002799</v>
      </c>
      <c r="W128">
        <v>159.29806400003099</v>
      </c>
      <c r="X128">
        <v>159.79814800003001</v>
      </c>
      <c r="Y128">
        <v>159.79814800003001</v>
      </c>
      <c r="Z128">
        <v>159.79814800003001</v>
      </c>
      <c r="AA128">
        <v>160.60261060000599</v>
      </c>
      <c r="AB128" t="s">
        <v>54</v>
      </c>
      <c r="AC128">
        <v>1</v>
      </c>
      <c r="AD128">
        <v>0.80024609999964003</v>
      </c>
      <c r="AE128" t="s">
        <v>51</v>
      </c>
      <c r="AI128">
        <v>5</v>
      </c>
      <c r="AJ128">
        <v>1</v>
      </c>
      <c r="AK128" t="s">
        <v>87</v>
      </c>
      <c r="AL128" t="s">
        <v>43</v>
      </c>
      <c r="AN128" t="s">
        <v>44</v>
      </c>
      <c r="AO128">
        <v>60.129904655169099</v>
      </c>
      <c r="AP128" t="s">
        <v>88</v>
      </c>
    </row>
    <row r="129" spans="1:42" x14ac:dyDescent="0.3">
      <c r="A129" t="s">
        <v>69</v>
      </c>
      <c r="B129" t="s">
        <v>59</v>
      </c>
      <c r="C129" t="s">
        <v>56</v>
      </c>
      <c r="D129" t="s">
        <v>49</v>
      </c>
      <c r="E129" t="s">
        <v>57</v>
      </c>
      <c r="F129">
        <v>126</v>
      </c>
      <c r="G129">
        <v>6</v>
      </c>
      <c r="H129">
        <v>6</v>
      </c>
      <c r="I129" t="s">
        <v>57</v>
      </c>
      <c r="J129">
        <v>1</v>
      </c>
      <c r="K129">
        <v>0.804273699992336</v>
      </c>
      <c r="L129" t="s">
        <v>51</v>
      </c>
      <c r="M129">
        <v>6</v>
      </c>
      <c r="N129">
        <v>6</v>
      </c>
      <c r="O129">
        <v>126</v>
      </c>
      <c r="P129">
        <v>5</v>
      </c>
      <c r="Q129">
        <v>160.61516729998399</v>
      </c>
      <c r="V129">
        <v>160.60623520001499</v>
      </c>
      <c r="W129">
        <v>160.61516729998399</v>
      </c>
      <c r="X129">
        <v>161.11552460002699</v>
      </c>
      <c r="Y129">
        <v>161.11552460002699</v>
      </c>
      <c r="Z129">
        <v>161.11552460002699</v>
      </c>
      <c r="AA129">
        <v>161.934481800009</v>
      </c>
      <c r="AB129" t="s">
        <v>57</v>
      </c>
      <c r="AC129">
        <v>1</v>
      </c>
      <c r="AD129">
        <v>0.804273699992336</v>
      </c>
      <c r="AE129" t="s">
        <v>51</v>
      </c>
      <c r="AI129">
        <v>5</v>
      </c>
      <c r="AJ129">
        <v>1</v>
      </c>
      <c r="AK129" t="s">
        <v>87</v>
      </c>
      <c r="AL129" t="s">
        <v>43</v>
      </c>
      <c r="AN129" t="s">
        <v>44</v>
      </c>
      <c r="AO129">
        <v>60.129904655169099</v>
      </c>
      <c r="AP129" t="s">
        <v>88</v>
      </c>
    </row>
    <row r="130" spans="1:42" x14ac:dyDescent="0.3">
      <c r="A130" t="s">
        <v>46</v>
      </c>
      <c r="B130" t="s">
        <v>47</v>
      </c>
      <c r="C130" t="s">
        <v>48</v>
      </c>
      <c r="D130" t="s">
        <v>49</v>
      </c>
      <c r="E130" t="s">
        <v>50</v>
      </c>
      <c r="F130">
        <v>127</v>
      </c>
      <c r="G130">
        <v>7</v>
      </c>
      <c r="H130">
        <v>6</v>
      </c>
      <c r="I130" t="s">
        <v>50</v>
      </c>
      <c r="J130">
        <v>1</v>
      </c>
      <c r="K130">
        <v>0.78870049997931302</v>
      </c>
      <c r="L130" t="s">
        <v>51</v>
      </c>
      <c r="M130">
        <v>6</v>
      </c>
      <c r="N130">
        <v>7</v>
      </c>
      <c r="O130">
        <v>127</v>
      </c>
      <c r="P130">
        <v>19</v>
      </c>
      <c r="Q130">
        <v>161.94852440000901</v>
      </c>
      <c r="V130">
        <v>161.93711500003701</v>
      </c>
      <c r="W130">
        <v>161.94852440000901</v>
      </c>
      <c r="X130">
        <v>162.447596099984</v>
      </c>
      <c r="Y130">
        <v>162.447596099984</v>
      </c>
      <c r="Z130">
        <v>162.447596099984</v>
      </c>
      <c r="AA130">
        <v>163.25206040003101</v>
      </c>
      <c r="AB130" t="s">
        <v>50</v>
      </c>
      <c r="AC130">
        <v>1</v>
      </c>
      <c r="AD130">
        <v>0.78870049997931302</v>
      </c>
      <c r="AE130" t="s">
        <v>51</v>
      </c>
      <c r="AI130">
        <v>5</v>
      </c>
      <c r="AJ130">
        <v>1</v>
      </c>
      <c r="AK130" t="s">
        <v>87</v>
      </c>
      <c r="AL130" t="s">
        <v>43</v>
      </c>
      <c r="AN130" t="s">
        <v>44</v>
      </c>
      <c r="AO130">
        <v>60.129904655169099</v>
      </c>
      <c r="AP130" t="s">
        <v>88</v>
      </c>
    </row>
    <row r="131" spans="1:42" x14ac:dyDescent="0.3">
      <c r="A131" t="s">
        <v>72</v>
      </c>
      <c r="B131" t="s">
        <v>59</v>
      </c>
      <c r="C131" t="s">
        <v>61</v>
      </c>
      <c r="D131" t="s">
        <v>62</v>
      </c>
      <c r="E131" t="s">
        <v>63</v>
      </c>
      <c r="F131">
        <v>128</v>
      </c>
      <c r="G131">
        <v>8</v>
      </c>
      <c r="H131">
        <v>6</v>
      </c>
      <c r="I131" t="s">
        <v>63</v>
      </c>
      <c r="J131">
        <v>1</v>
      </c>
      <c r="K131">
        <v>0.58355199999641605</v>
      </c>
      <c r="L131" t="s">
        <v>51</v>
      </c>
      <c r="M131">
        <v>6</v>
      </c>
      <c r="N131">
        <v>8</v>
      </c>
      <c r="O131">
        <v>128</v>
      </c>
      <c r="P131">
        <v>8</v>
      </c>
      <c r="Q131">
        <v>163.265177200024</v>
      </c>
      <c r="V131">
        <v>163.254703000013</v>
      </c>
      <c r="W131">
        <v>163.265177200024</v>
      </c>
      <c r="X131">
        <v>163.76471790001901</v>
      </c>
      <c r="Y131">
        <v>163.76471790001901</v>
      </c>
      <c r="Z131">
        <v>163.76471790001901</v>
      </c>
      <c r="AA131">
        <v>164.352460600028</v>
      </c>
      <c r="AB131" t="s">
        <v>63</v>
      </c>
      <c r="AC131">
        <v>1</v>
      </c>
      <c r="AD131">
        <v>0.58355199999641605</v>
      </c>
      <c r="AE131" t="s">
        <v>51</v>
      </c>
      <c r="AI131">
        <v>5</v>
      </c>
      <c r="AJ131">
        <v>1</v>
      </c>
      <c r="AK131" t="s">
        <v>87</v>
      </c>
      <c r="AL131" t="s">
        <v>43</v>
      </c>
      <c r="AN131" t="s">
        <v>44</v>
      </c>
      <c r="AO131">
        <v>60.129904655169099</v>
      </c>
      <c r="AP131" t="s">
        <v>88</v>
      </c>
    </row>
    <row r="132" spans="1:42" x14ac:dyDescent="0.3">
      <c r="A132" t="s">
        <v>55</v>
      </c>
      <c r="B132" t="s">
        <v>47</v>
      </c>
      <c r="C132" t="s">
        <v>56</v>
      </c>
      <c r="D132" t="s">
        <v>49</v>
      </c>
      <c r="E132" t="s">
        <v>57</v>
      </c>
      <c r="F132">
        <v>129</v>
      </c>
      <c r="G132">
        <v>9</v>
      </c>
      <c r="H132">
        <v>6</v>
      </c>
      <c r="I132" t="s">
        <v>57</v>
      </c>
      <c r="J132">
        <v>1</v>
      </c>
      <c r="K132">
        <v>0.71974829997634504</v>
      </c>
      <c r="L132" t="s">
        <v>51</v>
      </c>
      <c r="M132">
        <v>6</v>
      </c>
      <c r="N132">
        <v>9</v>
      </c>
      <c r="O132">
        <v>129</v>
      </c>
      <c r="P132">
        <v>13</v>
      </c>
      <c r="Q132">
        <v>164.36529610003299</v>
      </c>
      <c r="V132">
        <v>164.35692300001301</v>
      </c>
      <c r="W132">
        <v>164.36529610003299</v>
      </c>
      <c r="X132">
        <v>164.86461540003</v>
      </c>
      <c r="Y132">
        <v>164.86461540003</v>
      </c>
      <c r="Z132">
        <v>164.86461540003</v>
      </c>
      <c r="AA132">
        <v>165.58542180003101</v>
      </c>
      <c r="AB132" t="s">
        <v>57</v>
      </c>
      <c r="AC132">
        <v>1</v>
      </c>
      <c r="AD132">
        <v>0.71974829997634504</v>
      </c>
      <c r="AE132" t="s">
        <v>51</v>
      </c>
      <c r="AI132">
        <v>5</v>
      </c>
      <c r="AJ132">
        <v>1</v>
      </c>
      <c r="AK132" t="s">
        <v>87</v>
      </c>
      <c r="AL132" t="s">
        <v>43</v>
      </c>
      <c r="AN132" t="s">
        <v>44</v>
      </c>
      <c r="AO132">
        <v>60.129904655169099</v>
      </c>
      <c r="AP132" t="s">
        <v>88</v>
      </c>
    </row>
    <row r="133" spans="1:42" x14ac:dyDescent="0.3">
      <c r="A133" t="s">
        <v>73</v>
      </c>
      <c r="B133" t="s">
        <v>59</v>
      </c>
      <c r="C133" t="s">
        <v>56</v>
      </c>
      <c r="D133" t="s">
        <v>49</v>
      </c>
      <c r="E133" t="s">
        <v>57</v>
      </c>
      <c r="F133">
        <v>130</v>
      </c>
      <c r="G133">
        <v>10</v>
      </c>
      <c r="H133">
        <v>6</v>
      </c>
      <c r="I133" t="s">
        <v>57</v>
      </c>
      <c r="J133">
        <v>1</v>
      </c>
      <c r="K133">
        <v>0.51293460000306301</v>
      </c>
      <c r="L133" t="s">
        <v>51</v>
      </c>
      <c r="M133">
        <v>6</v>
      </c>
      <c r="N133">
        <v>10</v>
      </c>
      <c r="O133">
        <v>130</v>
      </c>
      <c r="P133">
        <v>1</v>
      </c>
      <c r="Q133">
        <v>165.59816880000199</v>
      </c>
      <c r="V133">
        <v>165.58782240003299</v>
      </c>
      <c r="W133">
        <v>165.59816880000199</v>
      </c>
      <c r="X133">
        <v>166.09824750001999</v>
      </c>
      <c r="Y133">
        <v>166.09824750001999</v>
      </c>
      <c r="Z133">
        <v>166.09824750001999</v>
      </c>
      <c r="AA133">
        <v>166.61865260003799</v>
      </c>
      <c r="AB133" t="s">
        <v>57</v>
      </c>
      <c r="AC133">
        <v>1</v>
      </c>
      <c r="AD133">
        <v>0.51293460000306301</v>
      </c>
      <c r="AE133" t="s">
        <v>51</v>
      </c>
      <c r="AI133">
        <v>5</v>
      </c>
      <c r="AJ133">
        <v>1</v>
      </c>
      <c r="AK133" t="s">
        <v>87</v>
      </c>
      <c r="AL133" t="s">
        <v>43</v>
      </c>
      <c r="AN133" t="s">
        <v>44</v>
      </c>
      <c r="AO133">
        <v>60.129904655169099</v>
      </c>
      <c r="AP133" t="s">
        <v>88</v>
      </c>
    </row>
    <row r="134" spans="1:42" x14ac:dyDescent="0.3">
      <c r="A134" t="s">
        <v>78</v>
      </c>
      <c r="B134" t="s">
        <v>47</v>
      </c>
      <c r="C134" t="s">
        <v>56</v>
      </c>
      <c r="D134" t="s">
        <v>49</v>
      </c>
      <c r="E134" t="s">
        <v>57</v>
      </c>
      <c r="F134">
        <v>131</v>
      </c>
      <c r="G134">
        <v>11</v>
      </c>
      <c r="H134">
        <v>6</v>
      </c>
      <c r="I134" t="s">
        <v>57</v>
      </c>
      <c r="J134">
        <v>1</v>
      </c>
      <c r="K134">
        <v>0.38160680001601499</v>
      </c>
      <c r="L134" t="s">
        <v>51</v>
      </c>
      <c r="M134">
        <v>6</v>
      </c>
      <c r="N134">
        <v>11</v>
      </c>
      <c r="O134">
        <v>131</v>
      </c>
      <c r="P134">
        <v>17</v>
      </c>
      <c r="Q134">
        <v>166.63113880000299</v>
      </c>
      <c r="V134">
        <v>166.62119780003499</v>
      </c>
      <c r="W134">
        <v>166.63113880000299</v>
      </c>
      <c r="X134">
        <v>167.131463600031</v>
      </c>
      <c r="Y134">
        <v>167.131463600031</v>
      </c>
      <c r="Z134">
        <v>167.131463600031</v>
      </c>
      <c r="AA134">
        <v>167.51910590002001</v>
      </c>
      <c r="AB134" t="s">
        <v>57</v>
      </c>
      <c r="AC134">
        <v>1</v>
      </c>
      <c r="AD134">
        <v>0.38160680001601499</v>
      </c>
      <c r="AE134" t="s">
        <v>51</v>
      </c>
      <c r="AI134">
        <v>5</v>
      </c>
      <c r="AJ134">
        <v>1</v>
      </c>
      <c r="AK134" t="s">
        <v>87</v>
      </c>
      <c r="AL134" t="s">
        <v>43</v>
      </c>
      <c r="AN134" t="s">
        <v>44</v>
      </c>
      <c r="AO134">
        <v>60.129904655169099</v>
      </c>
      <c r="AP134" t="s">
        <v>88</v>
      </c>
    </row>
    <row r="135" spans="1:42" x14ac:dyDescent="0.3">
      <c r="A135" t="s">
        <v>52</v>
      </c>
      <c r="B135" t="s">
        <v>47</v>
      </c>
      <c r="C135" t="s">
        <v>53</v>
      </c>
      <c r="D135" t="s">
        <v>49</v>
      </c>
      <c r="E135" t="s">
        <v>54</v>
      </c>
      <c r="F135">
        <v>132</v>
      </c>
      <c r="G135">
        <v>12</v>
      </c>
      <c r="H135">
        <v>6</v>
      </c>
      <c r="I135" t="s">
        <v>50</v>
      </c>
      <c r="J135">
        <v>0</v>
      </c>
      <c r="K135">
        <v>0.723970400053076</v>
      </c>
      <c r="L135" t="s">
        <v>51</v>
      </c>
      <c r="M135">
        <v>6</v>
      </c>
      <c r="N135">
        <v>12</v>
      </c>
      <c r="O135">
        <v>132</v>
      </c>
      <c r="P135">
        <v>14</v>
      </c>
      <c r="Q135">
        <v>167.53078540001201</v>
      </c>
      <c r="V135">
        <v>167.52239570004099</v>
      </c>
      <c r="W135">
        <v>167.53078540001201</v>
      </c>
      <c r="X135">
        <v>168.03116509999299</v>
      </c>
      <c r="Y135">
        <v>168.03116509999299</v>
      </c>
      <c r="Z135">
        <v>168.03116509999299</v>
      </c>
      <c r="AA135">
        <v>168.76925519999301</v>
      </c>
      <c r="AB135" t="s">
        <v>50</v>
      </c>
      <c r="AC135">
        <v>0</v>
      </c>
      <c r="AD135">
        <v>0.723970400053076</v>
      </c>
      <c r="AE135" t="s">
        <v>51</v>
      </c>
      <c r="AI135">
        <v>5</v>
      </c>
      <c r="AJ135">
        <v>1</v>
      </c>
      <c r="AK135" t="s">
        <v>87</v>
      </c>
      <c r="AL135" t="s">
        <v>43</v>
      </c>
      <c r="AN135" t="s">
        <v>44</v>
      </c>
      <c r="AO135">
        <v>60.129904655169099</v>
      </c>
      <c r="AP135" t="s">
        <v>88</v>
      </c>
    </row>
    <row r="136" spans="1:42" x14ac:dyDescent="0.3">
      <c r="A136" t="s">
        <v>64</v>
      </c>
      <c r="B136" t="s">
        <v>47</v>
      </c>
      <c r="C136" t="s">
        <v>53</v>
      </c>
      <c r="D136" t="s">
        <v>49</v>
      </c>
      <c r="E136" t="s">
        <v>54</v>
      </c>
      <c r="F136">
        <v>133</v>
      </c>
      <c r="G136">
        <v>13</v>
      </c>
      <c r="H136">
        <v>6</v>
      </c>
      <c r="I136" t="s">
        <v>54</v>
      </c>
      <c r="J136">
        <v>1</v>
      </c>
      <c r="K136">
        <v>0.65877440001349896</v>
      </c>
      <c r="L136" t="s">
        <v>51</v>
      </c>
      <c r="M136">
        <v>6</v>
      </c>
      <c r="N136">
        <v>13</v>
      </c>
      <c r="O136">
        <v>133</v>
      </c>
      <c r="P136">
        <v>18</v>
      </c>
      <c r="Q136">
        <v>168.780806399998</v>
      </c>
      <c r="V136">
        <v>168.77260259998701</v>
      </c>
      <c r="W136">
        <v>168.780806399998</v>
      </c>
      <c r="X136">
        <v>169.28089049999801</v>
      </c>
      <c r="Y136">
        <v>169.28089049999801</v>
      </c>
      <c r="Z136">
        <v>169.28089049999801</v>
      </c>
      <c r="AA136">
        <v>169.95120050001401</v>
      </c>
      <c r="AB136" t="s">
        <v>54</v>
      </c>
      <c r="AC136">
        <v>1</v>
      </c>
      <c r="AD136">
        <v>0.65877440001349896</v>
      </c>
      <c r="AE136" t="s">
        <v>51</v>
      </c>
      <c r="AI136">
        <v>5</v>
      </c>
      <c r="AJ136">
        <v>1</v>
      </c>
      <c r="AK136" t="s">
        <v>87</v>
      </c>
      <c r="AL136" t="s">
        <v>43</v>
      </c>
      <c r="AN136" t="s">
        <v>44</v>
      </c>
      <c r="AO136">
        <v>60.129904655169099</v>
      </c>
      <c r="AP136" t="s">
        <v>88</v>
      </c>
    </row>
    <row r="137" spans="1:42" x14ac:dyDescent="0.3">
      <c r="A137" t="s">
        <v>74</v>
      </c>
      <c r="B137" t="s">
        <v>47</v>
      </c>
      <c r="C137" t="s">
        <v>48</v>
      </c>
      <c r="D137" t="s">
        <v>49</v>
      </c>
      <c r="E137" t="s">
        <v>50</v>
      </c>
      <c r="F137">
        <v>134</v>
      </c>
      <c r="G137">
        <v>14</v>
      </c>
      <c r="H137">
        <v>6</v>
      </c>
      <c r="I137" t="s">
        <v>50</v>
      </c>
      <c r="J137">
        <v>1</v>
      </c>
      <c r="K137">
        <v>0.45988309994572701</v>
      </c>
      <c r="L137" t="s">
        <v>51</v>
      </c>
      <c r="M137">
        <v>6</v>
      </c>
      <c r="N137">
        <v>14</v>
      </c>
      <c r="O137">
        <v>134</v>
      </c>
      <c r="P137">
        <v>11</v>
      </c>
      <c r="Q137">
        <v>169.964684900012</v>
      </c>
      <c r="V137">
        <v>169.95396850001899</v>
      </c>
      <c r="W137">
        <v>169.964684900012</v>
      </c>
      <c r="X137">
        <v>170.46468620002199</v>
      </c>
      <c r="Y137">
        <v>170.46468620002199</v>
      </c>
      <c r="Z137">
        <v>170.46468620002199</v>
      </c>
      <c r="AA137">
        <v>170.93436419998699</v>
      </c>
      <c r="AB137" t="s">
        <v>50</v>
      </c>
      <c r="AC137">
        <v>1</v>
      </c>
      <c r="AD137">
        <v>0.45988309994572701</v>
      </c>
      <c r="AE137" t="s">
        <v>51</v>
      </c>
      <c r="AI137">
        <v>5</v>
      </c>
      <c r="AJ137">
        <v>1</v>
      </c>
      <c r="AK137" t="s">
        <v>87</v>
      </c>
      <c r="AL137" t="s">
        <v>43</v>
      </c>
      <c r="AN137" t="s">
        <v>44</v>
      </c>
      <c r="AO137">
        <v>60.129904655169099</v>
      </c>
      <c r="AP137" t="s">
        <v>88</v>
      </c>
    </row>
    <row r="138" spans="1:42" x14ac:dyDescent="0.3">
      <c r="A138" t="s">
        <v>76</v>
      </c>
      <c r="B138" t="s">
        <v>59</v>
      </c>
      <c r="C138" t="s">
        <v>48</v>
      </c>
      <c r="D138" t="s">
        <v>49</v>
      </c>
      <c r="E138" t="s">
        <v>50</v>
      </c>
      <c r="F138">
        <v>135</v>
      </c>
      <c r="G138">
        <v>15</v>
      </c>
      <c r="H138">
        <v>6</v>
      </c>
      <c r="I138" t="s">
        <v>50</v>
      </c>
      <c r="J138">
        <v>1</v>
      </c>
      <c r="K138">
        <v>0.46128879999741901</v>
      </c>
      <c r="L138" t="s">
        <v>51</v>
      </c>
      <c r="M138">
        <v>6</v>
      </c>
      <c r="N138">
        <v>15</v>
      </c>
      <c r="O138">
        <v>135</v>
      </c>
      <c r="P138">
        <v>3</v>
      </c>
      <c r="Q138">
        <v>170.94754160003501</v>
      </c>
      <c r="V138">
        <v>170.93807169998701</v>
      </c>
      <c r="W138">
        <v>170.94754160003501</v>
      </c>
      <c r="X138">
        <v>171.447434600035</v>
      </c>
      <c r="Y138">
        <v>171.447434600035</v>
      </c>
      <c r="Z138">
        <v>171.447434600035</v>
      </c>
      <c r="AA138">
        <v>171.91829370002901</v>
      </c>
      <c r="AB138" t="s">
        <v>50</v>
      </c>
      <c r="AC138">
        <v>1</v>
      </c>
      <c r="AD138">
        <v>0.46128879999741901</v>
      </c>
      <c r="AE138" t="s">
        <v>51</v>
      </c>
      <c r="AI138">
        <v>5</v>
      </c>
      <c r="AJ138">
        <v>1</v>
      </c>
      <c r="AK138" t="s">
        <v>87</v>
      </c>
      <c r="AL138" t="s">
        <v>43</v>
      </c>
      <c r="AN138" t="s">
        <v>44</v>
      </c>
      <c r="AO138">
        <v>60.129904655169099</v>
      </c>
      <c r="AP138" t="s">
        <v>88</v>
      </c>
    </row>
    <row r="139" spans="1:42" x14ac:dyDescent="0.3">
      <c r="A139" t="s">
        <v>65</v>
      </c>
      <c r="B139" t="s">
        <v>59</v>
      </c>
      <c r="C139" t="s">
        <v>56</v>
      </c>
      <c r="D139" t="s">
        <v>49</v>
      </c>
      <c r="E139" t="s">
        <v>57</v>
      </c>
      <c r="F139">
        <v>136</v>
      </c>
      <c r="G139">
        <v>16</v>
      </c>
      <c r="H139">
        <v>6</v>
      </c>
      <c r="I139" t="s">
        <v>57</v>
      </c>
      <c r="J139">
        <v>1</v>
      </c>
      <c r="K139">
        <v>0.64176899997983095</v>
      </c>
      <c r="L139" t="s">
        <v>51</v>
      </c>
      <c r="M139">
        <v>6</v>
      </c>
      <c r="N139">
        <v>16</v>
      </c>
      <c r="O139">
        <v>136</v>
      </c>
      <c r="P139">
        <v>9</v>
      </c>
      <c r="Q139">
        <v>171.931080800015</v>
      </c>
      <c r="V139">
        <v>171.92137190001</v>
      </c>
      <c r="W139">
        <v>171.931080800015</v>
      </c>
      <c r="X139">
        <v>172.43147240002801</v>
      </c>
      <c r="Y139">
        <v>172.43147240002801</v>
      </c>
      <c r="Z139">
        <v>172.43147240002801</v>
      </c>
      <c r="AA139">
        <v>173.08441750000901</v>
      </c>
      <c r="AB139" t="s">
        <v>57</v>
      </c>
      <c r="AC139">
        <v>1</v>
      </c>
      <c r="AD139">
        <v>0.64176899997983095</v>
      </c>
      <c r="AE139" t="s">
        <v>51</v>
      </c>
      <c r="AI139">
        <v>5</v>
      </c>
      <c r="AJ139">
        <v>1</v>
      </c>
      <c r="AK139" t="s">
        <v>87</v>
      </c>
      <c r="AL139" t="s">
        <v>43</v>
      </c>
      <c r="AN139" t="s">
        <v>44</v>
      </c>
      <c r="AO139">
        <v>60.129904655169099</v>
      </c>
      <c r="AP139" t="s">
        <v>88</v>
      </c>
    </row>
    <row r="140" spans="1:42" x14ac:dyDescent="0.3">
      <c r="A140" t="s">
        <v>71</v>
      </c>
      <c r="B140" t="s">
        <v>47</v>
      </c>
      <c r="C140" t="s">
        <v>48</v>
      </c>
      <c r="D140" t="s">
        <v>49</v>
      </c>
      <c r="E140" t="s">
        <v>50</v>
      </c>
      <c r="F140">
        <v>137</v>
      </c>
      <c r="G140">
        <v>17</v>
      </c>
      <c r="H140">
        <v>6</v>
      </c>
      <c r="I140" t="s">
        <v>50</v>
      </c>
      <c r="J140">
        <v>1</v>
      </c>
      <c r="K140">
        <v>0.70573389995843105</v>
      </c>
      <c r="L140" t="s">
        <v>51</v>
      </c>
      <c r="M140">
        <v>6</v>
      </c>
      <c r="N140">
        <v>17</v>
      </c>
      <c r="O140">
        <v>137</v>
      </c>
      <c r="P140">
        <v>15</v>
      </c>
      <c r="Q140">
        <v>173.097666100016</v>
      </c>
      <c r="V140">
        <v>173.087823400041</v>
      </c>
      <c r="W140">
        <v>173.097666100016</v>
      </c>
      <c r="X140">
        <v>173.59799030004001</v>
      </c>
      <c r="Y140">
        <v>173.59799030004001</v>
      </c>
      <c r="Z140">
        <v>173.59799030004001</v>
      </c>
      <c r="AA140">
        <v>174.317781199992</v>
      </c>
      <c r="AB140" t="s">
        <v>50</v>
      </c>
      <c r="AC140">
        <v>1</v>
      </c>
      <c r="AD140">
        <v>0.70573389995843105</v>
      </c>
      <c r="AE140" t="s">
        <v>51</v>
      </c>
      <c r="AI140">
        <v>5</v>
      </c>
      <c r="AJ140">
        <v>1</v>
      </c>
      <c r="AK140" t="s">
        <v>87</v>
      </c>
      <c r="AL140" t="s">
        <v>43</v>
      </c>
      <c r="AN140" t="s">
        <v>44</v>
      </c>
      <c r="AO140">
        <v>60.129904655169099</v>
      </c>
      <c r="AP140" t="s">
        <v>88</v>
      </c>
    </row>
    <row r="141" spans="1:42" x14ac:dyDescent="0.3">
      <c r="A141" t="s">
        <v>75</v>
      </c>
      <c r="B141" t="s">
        <v>47</v>
      </c>
      <c r="C141" t="s">
        <v>61</v>
      </c>
      <c r="D141" t="s">
        <v>49</v>
      </c>
      <c r="E141" t="s">
        <v>63</v>
      </c>
      <c r="F141">
        <v>138</v>
      </c>
      <c r="G141">
        <v>18</v>
      </c>
      <c r="H141">
        <v>6</v>
      </c>
      <c r="I141" t="s">
        <v>63</v>
      </c>
      <c r="J141">
        <v>1</v>
      </c>
      <c r="K141">
        <v>0.53758740000193905</v>
      </c>
      <c r="L141" t="s">
        <v>51</v>
      </c>
      <c r="M141">
        <v>6</v>
      </c>
      <c r="N141">
        <v>18</v>
      </c>
      <c r="O141">
        <v>138</v>
      </c>
      <c r="P141">
        <v>16</v>
      </c>
      <c r="Q141">
        <v>174.330745299987</v>
      </c>
      <c r="V141">
        <v>174.320805200026</v>
      </c>
      <c r="W141">
        <v>174.330745299987</v>
      </c>
      <c r="X141">
        <v>174.83060520002601</v>
      </c>
      <c r="Y141">
        <v>174.83060520002601</v>
      </c>
      <c r="Z141">
        <v>174.83060520002601</v>
      </c>
      <c r="AA141">
        <v>175.38428870000601</v>
      </c>
      <c r="AB141" t="s">
        <v>63</v>
      </c>
      <c r="AC141">
        <v>1</v>
      </c>
      <c r="AD141">
        <v>0.53758740000193905</v>
      </c>
      <c r="AE141" t="s">
        <v>51</v>
      </c>
      <c r="AI141">
        <v>5</v>
      </c>
      <c r="AJ141">
        <v>1</v>
      </c>
      <c r="AK141" t="s">
        <v>87</v>
      </c>
      <c r="AL141" t="s">
        <v>43</v>
      </c>
      <c r="AN141" t="s">
        <v>44</v>
      </c>
      <c r="AO141">
        <v>60.129904655169099</v>
      </c>
      <c r="AP141" t="s">
        <v>88</v>
      </c>
    </row>
    <row r="142" spans="1:42" x14ac:dyDescent="0.3">
      <c r="A142" t="s">
        <v>77</v>
      </c>
      <c r="B142" t="s">
        <v>59</v>
      </c>
      <c r="C142" t="s">
        <v>61</v>
      </c>
      <c r="D142" t="s">
        <v>62</v>
      </c>
      <c r="E142" t="s">
        <v>63</v>
      </c>
      <c r="F142">
        <v>139</v>
      </c>
      <c r="G142">
        <v>19</v>
      </c>
      <c r="H142">
        <v>6</v>
      </c>
      <c r="I142" t="s">
        <v>63</v>
      </c>
      <c r="J142">
        <v>1</v>
      </c>
      <c r="K142">
        <v>0.59659790003206503</v>
      </c>
      <c r="L142" t="s">
        <v>51</v>
      </c>
      <c r="M142">
        <v>6</v>
      </c>
      <c r="N142">
        <v>19</v>
      </c>
      <c r="O142">
        <v>139</v>
      </c>
      <c r="P142">
        <v>4</v>
      </c>
      <c r="Q142">
        <v>175.39717850001699</v>
      </c>
      <c r="V142">
        <v>175.38726149999999</v>
      </c>
      <c r="W142">
        <v>175.39717850001699</v>
      </c>
      <c r="X142">
        <v>175.897283500002</v>
      </c>
      <c r="Y142">
        <v>175.897283500002</v>
      </c>
      <c r="Z142">
        <v>175.897283500002</v>
      </c>
      <c r="AA142">
        <v>176.50137150002399</v>
      </c>
      <c r="AB142" t="s">
        <v>63</v>
      </c>
      <c r="AC142">
        <v>1</v>
      </c>
      <c r="AD142">
        <v>0.59659790003206503</v>
      </c>
      <c r="AE142" t="s">
        <v>51</v>
      </c>
      <c r="AI142">
        <v>5</v>
      </c>
      <c r="AJ142">
        <v>1</v>
      </c>
      <c r="AK142" t="s">
        <v>87</v>
      </c>
      <c r="AL142" t="s">
        <v>43</v>
      </c>
      <c r="AN142" t="s">
        <v>44</v>
      </c>
      <c r="AO142">
        <v>60.129904655169099</v>
      </c>
      <c r="AP142" t="s">
        <v>88</v>
      </c>
    </row>
    <row r="143" spans="1:42" x14ac:dyDescent="0.3">
      <c r="A143" t="s">
        <v>78</v>
      </c>
      <c r="B143" t="s">
        <v>47</v>
      </c>
      <c r="C143" t="s">
        <v>56</v>
      </c>
      <c r="D143" t="s">
        <v>49</v>
      </c>
      <c r="E143" t="s">
        <v>57</v>
      </c>
      <c r="F143">
        <v>140</v>
      </c>
      <c r="G143">
        <v>0</v>
      </c>
      <c r="H143">
        <v>7</v>
      </c>
      <c r="I143" t="s">
        <v>57</v>
      </c>
      <c r="J143">
        <v>1</v>
      </c>
      <c r="K143">
        <v>0.89773000002605796</v>
      </c>
      <c r="L143" t="s">
        <v>51</v>
      </c>
      <c r="M143">
        <v>7</v>
      </c>
      <c r="N143">
        <v>0</v>
      </c>
      <c r="O143">
        <v>140</v>
      </c>
      <c r="P143">
        <v>17</v>
      </c>
      <c r="Q143">
        <v>176.513964000041</v>
      </c>
      <c r="V143">
        <v>176.50425769999799</v>
      </c>
      <c r="W143">
        <v>176.513964000041</v>
      </c>
      <c r="X143">
        <v>177.01404350000601</v>
      </c>
      <c r="Y143">
        <v>177.01404350000601</v>
      </c>
      <c r="Z143">
        <v>177.01404350000601</v>
      </c>
      <c r="AA143">
        <v>177.918071600026</v>
      </c>
      <c r="AB143" t="s">
        <v>57</v>
      </c>
      <c r="AC143">
        <v>1</v>
      </c>
      <c r="AD143">
        <v>0.89773000002605796</v>
      </c>
      <c r="AE143" t="s">
        <v>51</v>
      </c>
      <c r="AI143">
        <v>5</v>
      </c>
      <c r="AJ143">
        <v>1</v>
      </c>
      <c r="AK143" t="s">
        <v>87</v>
      </c>
      <c r="AL143" t="s">
        <v>43</v>
      </c>
      <c r="AN143" t="s">
        <v>44</v>
      </c>
      <c r="AO143">
        <v>60.129904655169099</v>
      </c>
      <c r="AP143" t="s">
        <v>88</v>
      </c>
    </row>
    <row r="144" spans="1:42" x14ac:dyDescent="0.3">
      <c r="A144" t="s">
        <v>74</v>
      </c>
      <c r="B144" t="s">
        <v>47</v>
      </c>
      <c r="C144" t="s">
        <v>48</v>
      </c>
      <c r="D144" t="s">
        <v>49</v>
      </c>
      <c r="E144" t="s">
        <v>50</v>
      </c>
      <c r="F144">
        <v>141</v>
      </c>
      <c r="G144">
        <v>1</v>
      </c>
      <c r="H144">
        <v>7</v>
      </c>
      <c r="I144" t="s">
        <v>50</v>
      </c>
      <c r="J144">
        <v>1</v>
      </c>
      <c r="K144">
        <v>0.75272459996631302</v>
      </c>
      <c r="L144" t="s">
        <v>51</v>
      </c>
      <c r="M144">
        <v>7</v>
      </c>
      <c r="N144">
        <v>1</v>
      </c>
      <c r="O144">
        <v>141</v>
      </c>
      <c r="P144">
        <v>11</v>
      </c>
      <c r="Q144">
        <v>177.930306299997</v>
      </c>
      <c r="V144">
        <v>177.92134490003801</v>
      </c>
      <c r="W144">
        <v>177.930306299997</v>
      </c>
      <c r="X144">
        <v>178.43074410001199</v>
      </c>
      <c r="Y144">
        <v>178.43074410001199</v>
      </c>
      <c r="Z144">
        <v>178.43074410001199</v>
      </c>
      <c r="AA144">
        <v>179.18449260003399</v>
      </c>
      <c r="AB144" t="s">
        <v>50</v>
      </c>
      <c r="AC144">
        <v>1</v>
      </c>
      <c r="AD144">
        <v>0.75272459996631302</v>
      </c>
      <c r="AE144" t="s">
        <v>51</v>
      </c>
      <c r="AI144">
        <v>5</v>
      </c>
      <c r="AJ144">
        <v>1</v>
      </c>
      <c r="AK144" t="s">
        <v>87</v>
      </c>
      <c r="AL144" t="s">
        <v>43</v>
      </c>
      <c r="AN144" t="s">
        <v>44</v>
      </c>
      <c r="AO144">
        <v>60.129904655169099</v>
      </c>
      <c r="AP144" t="s">
        <v>88</v>
      </c>
    </row>
    <row r="145" spans="1:42" x14ac:dyDescent="0.3">
      <c r="A145" t="s">
        <v>69</v>
      </c>
      <c r="B145" t="s">
        <v>59</v>
      </c>
      <c r="C145" t="s">
        <v>56</v>
      </c>
      <c r="D145" t="s">
        <v>49</v>
      </c>
      <c r="E145" t="s">
        <v>57</v>
      </c>
      <c r="F145">
        <v>142</v>
      </c>
      <c r="G145">
        <v>2</v>
      </c>
      <c r="H145">
        <v>7</v>
      </c>
      <c r="I145" t="s">
        <v>57</v>
      </c>
      <c r="J145">
        <v>1</v>
      </c>
      <c r="K145">
        <v>0.76843359996564597</v>
      </c>
      <c r="L145" t="s">
        <v>51</v>
      </c>
      <c r="M145">
        <v>7</v>
      </c>
      <c r="N145">
        <v>2</v>
      </c>
      <c r="O145">
        <v>142</v>
      </c>
      <c r="P145">
        <v>5</v>
      </c>
      <c r="Q145">
        <v>179.19744379998801</v>
      </c>
      <c r="V145">
        <v>179.18742450000701</v>
      </c>
      <c r="W145">
        <v>179.19744379998801</v>
      </c>
      <c r="X145">
        <v>179.69664069998501</v>
      </c>
      <c r="Y145">
        <v>179.69664069998501</v>
      </c>
      <c r="Z145">
        <v>179.69664069998501</v>
      </c>
      <c r="AA145">
        <v>180.46621520002299</v>
      </c>
      <c r="AB145" t="s">
        <v>57</v>
      </c>
      <c r="AC145">
        <v>1</v>
      </c>
      <c r="AD145">
        <v>0.76843359996564597</v>
      </c>
      <c r="AE145" t="s">
        <v>51</v>
      </c>
      <c r="AI145">
        <v>5</v>
      </c>
      <c r="AJ145">
        <v>1</v>
      </c>
      <c r="AK145" t="s">
        <v>87</v>
      </c>
      <c r="AL145" t="s">
        <v>43</v>
      </c>
      <c r="AN145" t="s">
        <v>44</v>
      </c>
      <c r="AO145">
        <v>60.129904655169099</v>
      </c>
      <c r="AP145" t="s">
        <v>88</v>
      </c>
    </row>
    <row r="146" spans="1:42" x14ac:dyDescent="0.3">
      <c r="A146" t="s">
        <v>55</v>
      </c>
      <c r="B146" t="s">
        <v>47</v>
      </c>
      <c r="C146" t="s">
        <v>56</v>
      </c>
      <c r="D146" t="s">
        <v>49</v>
      </c>
      <c r="E146" t="s">
        <v>57</v>
      </c>
      <c r="F146">
        <v>143</v>
      </c>
      <c r="G146">
        <v>3</v>
      </c>
      <c r="H146">
        <v>7</v>
      </c>
      <c r="I146" t="s">
        <v>57</v>
      </c>
      <c r="J146">
        <v>1</v>
      </c>
      <c r="K146">
        <v>0.65741549996891901</v>
      </c>
      <c r="L146" t="s">
        <v>51</v>
      </c>
      <c r="M146">
        <v>7</v>
      </c>
      <c r="N146">
        <v>3</v>
      </c>
      <c r="O146">
        <v>143</v>
      </c>
      <c r="P146">
        <v>13</v>
      </c>
      <c r="Q146">
        <v>180.479598100006</v>
      </c>
      <c r="V146">
        <v>180.46857319999199</v>
      </c>
      <c r="W146">
        <v>180.479598100006</v>
      </c>
      <c r="X146">
        <v>180.979981100012</v>
      </c>
      <c r="Y146">
        <v>180.979981100012</v>
      </c>
      <c r="Z146">
        <v>180.979981100012</v>
      </c>
      <c r="AA146">
        <v>181.65114949998599</v>
      </c>
      <c r="AB146" t="s">
        <v>57</v>
      </c>
      <c r="AC146">
        <v>1</v>
      </c>
      <c r="AD146">
        <v>0.65741549996891901</v>
      </c>
      <c r="AE146" t="s">
        <v>51</v>
      </c>
      <c r="AI146">
        <v>5</v>
      </c>
      <c r="AJ146">
        <v>1</v>
      </c>
      <c r="AK146" t="s">
        <v>87</v>
      </c>
      <c r="AL146" t="s">
        <v>43</v>
      </c>
      <c r="AN146" t="s">
        <v>44</v>
      </c>
      <c r="AO146">
        <v>60.129904655169099</v>
      </c>
      <c r="AP146" t="s">
        <v>88</v>
      </c>
    </row>
    <row r="147" spans="1:42" x14ac:dyDescent="0.3">
      <c r="A147" t="s">
        <v>64</v>
      </c>
      <c r="B147" t="s">
        <v>47</v>
      </c>
      <c r="C147" t="s">
        <v>53</v>
      </c>
      <c r="D147" t="s">
        <v>49</v>
      </c>
      <c r="E147" t="s">
        <v>54</v>
      </c>
      <c r="F147">
        <v>144</v>
      </c>
      <c r="G147">
        <v>4</v>
      </c>
      <c r="H147">
        <v>7</v>
      </c>
      <c r="I147" t="s">
        <v>54</v>
      </c>
      <c r="J147">
        <v>1</v>
      </c>
      <c r="K147">
        <v>0.98097249999409497</v>
      </c>
      <c r="L147" t="s">
        <v>51</v>
      </c>
      <c r="M147">
        <v>7</v>
      </c>
      <c r="N147">
        <v>4</v>
      </c>
      <c r="O147">
        <v>144</v>
      </c>
      <c r="P147">
        <v>18</v>
      </c>
      <c r="Q147">
        <v>181.66397709999001</v>
      </c>
      <c r="V147">
        <v>181.65389369998499</v>
      </c>
      <c r="W147">
        <v>181.66397709999001</v>
      </c>
      <c r="X147">
        <v>182.16405190003499</v>
      </c>
      <c r="Y147">
        <v>182.16405190003499</v>
      </c>
      <c r="Z147">
        <v>182.16405190003499</v>
      </c>
      <c r="AA147">
        <v>183.15138340002099</v>
      </c>
      <c r="AB147" t="s">
        <v>54</v>
      </c>
      <c r="AC147">
        <v>1</v>
      </c>
      <c r="AD147">
        <v>0.98097249999409497</v>
      </c>
      <c r="AE147" t="s">
        <v>51</v>
      </c>
      <c r="AI147">
        <v>5</v>
      </c>
      <c r="AJ147">
        <v>1</v>
      </c>
      <c r="AK147" t="s">
        <v>87</v>
      </c>
      <c r="AL147" t="s">
        <v>43</v>
      </c>
      <c r="AN147" t="s">
        <v>44</v>
      </c>
      <c r="AO147">
        <v>60.129904655169099</v>
      </c>
      <c r="AP147" t="s">
        <v>88</v>
      </c>
    </row>
    <row r="148" spans="1:42" x14ac:dyDescent="0.3">
      <c r="A148" t="s">
        <v>58</v>
      </c>
      <c r="B148" t="s">
        <v>59</v>
      </c>
      <c r="C148" t="s">
        <v>48</v>
      </c>
      <c r="D148" t="s">
        <v>49</v>
      </c>
      <c r="E148" t="s">
        <v>50</v>
      </c>
      <c r="F148">
        <v>145</v>
      </c>
      <c r="G148">
        <v>5</v>
      </c>
      <c r="H148">
        <v>7</v>
      </c>
      <c r="I148" t="s">
        <v>50</v>
      </c>
      <c r="J148">
        <v>1</v>
      </c>
      <c r="K148">
        <v>0.91624869999941405</v>
      </c>
      <c r="L148" t="s">
        <v>51</v>
      </c>
      <c r="M148">
        <v>7</v>
      </c>
      <c r="N148">
        <v>5</v>
      </c>
      <c r="O148">
        <v>145</v>
      </c>
      <c r="P148">
        <v>7</v>
      </c>
      <c r="Q148">
        <v>183.164171900018</v>
      </c>
      <c r="V148">
        <v>183.154081300017</v>
      </c>
      <c r="W148">
        <v>183.164171900018</v>
      </c>
      <c r="X148">
        <v>183.664112500031</v>
      </c>
      <c r="Y148">
        <v>183.664112500031</v>
      </c>
      <c r="Z148">
        <v>183.664112500031</v>
      </c>
      <c r="AA148">
        <v>184.58468949998399</v>
      </c>
      <c r="AB148" t="s">
        <v>50</v>
      </c>
      <c r="AC148">
        <v>1</v>
      </c>
      <c r="AD148">
        <v>0.91624869999941405</v>
      </c>
      <c r="AE148" t="s">
        <v>51</v>
      </c>
      <c r="AI148">
        <v>5</v>
      </c>
      <c r="AJ148">
        <v>1</v>
      </c>
      <c r="AK148" t="s">
        <v>87</v>
      </c>
      <c r="AL148" t="s">
        <v>43</v>
      </c>
      <c r="AN148" t="s">
        <v>44</v>
      </c>
      <c r="AO148">
        <v>60.129904655169099</v>
      </c>
      <c r="AP148" t="s">
        <v>88</v>
      </c>
    </row>
    <row r="149" spans="1:42" x14ac:dyDescent="0.3">
      <c r="A149" t="s">
        <v>71</v>
      </c>
      <c r="B149" t="s">
        <v>47</v>
      </c>
      <c r="C149" t="s">
        <v>48</v>
      </c>
      <c r="D149" t="s">
        <v>49</v>
      </c>
      <c r="E149" t="s">
        <v>50</v>
      </c>
      <c r="F149">
        <v>146</v>
      </c>
      <c r="G149">
        <v>6</v>
      </c>
      <c r="H149">
        <v>7</v>
      </c>
      <c r="I149" t="s">
        <v>50</v>
      </c>
      <c r="J149">
        <v>1</v>
      </c>
      <c r="K149">
        <v>0.47649689996615002</v>
      </c>
      <c r="L149" t="s">
        <v>51</v>
      </c>
      <c r="M149">
        <v>7</v>
      </c>
      <c r="N149">
        <v>6</v>
      </c>
      <c r="O149">
        <v>146</v>
      </c>
      <c r="P149">
        <v>15</v>
      </c>
      <c r="Q149">
        <v>184.59717230004</v>
      </c>
      <c r="V149">
        <v>184.58744620002099</v>
      </c>
      <c r="W149">
        <v>184.59717230004</v>
      </c>
      <c r="X149">
        <v>185.09804630000099</v>
      </c>
      <c r="Y149">
        <v>185.09804630000099</v>
      </c>
      <c r="Z149">
        <v>185.09804630000099</v>
      </c>
      <c r="AA149">
        <v>185.583891200018</v>
      </c>
      <c r="AB149" t="s">
        <v>50</v>
      </c>
      <c r="AC149">
        <v>1</v>
      </c>
      <c r="AD149">
        <v>0.47649689996615002</v>
      </c>
      <c r="AE149" t="s">
        <v>51</v>
      </c>
      <c r="AI149">
        <v>5</v>
      </c>
      <c r="AJ149">
        <v>1</v>
      </c>
      <c r="AK149" t="s">
        <v>87</v>
      </c>
      <c r="AL149" t="s">
        <v>43</v>
      </c>
      <c r="AN149" t="s">
        <v>44</v>
      </c>
      <c r="AO149">
        <v>60.129904655169099</v>
      </c>
      <c r="AP149" t="s">
        <v>88</v>
      </c>
    </row>
    <row r="150" spans="1:42" x14ac:dyDescent="0.3">
      <c r="A150" t="s">
        <v>77</v>
      </c>
      <c r="B150" t="s">
        <v>59</v>
      </c>
      <c r="C150" t="s">
        <v>61</v>
      </c>
      <c r="D150" t="s">
        <v>62</v>
      </c>
      <c r="E150" t="s">
        <v>63</v>
      </c>
      <c r="F150">
        <v>147</v>
      </c>
      <c r="G150">
        <v>7</v>
      </c>
      <c r="H150">
        <v>7</v>
      </c>
      <c r="I150" t="s">
        <v>63</v>
      </c>
      <c r="J150">
        <v>1</v>
      </c>
      <c r="K150">
        <v>0.68824670003959898</v>
      </c>
      <c r="L150" t="s">
        <v>51</v>
      </c>
      <c r="M150">
        <v>7</v>
      </c>
      <c r="N150">
        <v>7</v>
      </c>
      <c r="O150">
        <v>147</v>
      </c>
      <c r="P150">
        <v>4</v>
      </c>
      <c r="Q150">
        <v>185.597294500039</v>
      </c>
      <c r="V150">
        <v>185.587254200014</v>
      </c>
      <c r="W150">
        <v>185.597294500039</v>
      </c>
      <c r="X150">
        <v>186.096799799997</v>
      </c>
      <c r="Y150">
        <v>186.096799799997</v>
      </c>
      <c r="Z150">
        <v>186.096799799997</v>
      </c>
      <c r="AA150">
        <v>186.80171650002001</v>
      </c>
      <c r="AB150" t="s">
        <v>63</v>
      </c>
      <c r="AC150">
        <v>1</v>
      </c>
      <c r="AD150">
        <v>0.68824670003959898</v>
      </c>
      <c r="AE150" t="s">
        <v>51</v>
      </c>
      <c r="AI150">
        <v>5</v>
      </c>
      <c r="AJ150">
        <v>1</v>
      </c>
      <c r="AK150" t="s">
        <v>87</v>
      </c>
      <c r="AL150" t="s">
        <v>43</v>
      </c>
      <c r="AN150" t="s">
        <v>44</v>
      </c>
      <c r="AO150">
        <v>60.129904655169099</v>
      </c>
      <c r="AP150" t="s">
        <v>88</v>
      </c>
    </row>
    <row r="151" spans="1:42" x14ac:dyDescent="0.3">
      <c r="A151" t="s">
        <v>65</v>
      </c>
      <c r="B151" t="s">
        <v>59</v>
      </c>
      <c r="C151" t="s">
        <v>56</v>
      </c>
      <c r="D151" t="s">
        <v>49</v>
      </c>
      <c r="E151" t="s">
        <v>57</v>
      </c>
      <c r="F151">
        <v>148</v>
      </c>
      <c r="G151">
        <v>8</v>
      </c>
      <c r="H151">
        <v>7</v>
      </c>
      <c r="I151" t="s">
        <v>57</v>
      </c>
      <c r="J151">
        <v>1</v>
      </c>
      <c r="K151">
        <v>0.69573149998905104</v>
      </c>
      <c r="L151" t="s">
        <v>51</v>
      </c>
      <c r="M151">
        <v>7</v>
      </c>
      <c r="N151">
        <v>8</v>
      </c>
      <c r="O151">
        <v>148</v>
      </c>
      <c r="P151">
        <v>9</v>
      </c>
      <c r="Q151">
        <v>186.81339359999399</v>
      </c>
      <c r="V151">
        <v>186.80517420003801</v>
      </c>
      <c r="W151">
        <v>186.81339359999399</v>
      </c>
      <c r="X151">
        <v>187.31415220000699</v>
      </c>
      <c r="Y151">
        <v>187.31415220000699</v>
      </c>
      <c r="Z151">
        <v>187.31415220000699</v>
      </c>
      <c r="AA151">
        <v>188.01774119999001</v>
      </c>
      <c r="AB151" t="s">
        <v>57</v>
      </c>
      <c r="AC151">
        <v>1</v>
      </c>
      <c r="AD151">
        <v>0.69573149998905104</v>
      </c>
      <c r="AE151" t="s">
        <v>51</v>
      </c>
      <c r="AI151">
        <v>5</v>
      </c>
      <c r="AJ151">
        <v>1</v>
      </c>
      <c r="AK151" t="s">
        <v>87</v>
      </c>
      <c r="AL151" t="s">
        <v>43</v>
      </c>
      <c r="AN151" t="s">
        <v>44</v>
      </c>
      <c r="AO151">
        <v>60.129904655169099</v>
      </c>
      <c r="AP151" t="s">
        <v>88</v>
      </c>
    </row>
    <row r="152" spans="1:42" x14ac:dyDescent="0.3">
      <c r="A152" t="s">
        <v>52</v>
      </c>
      <c r="B152" t="s">
        <v>47</v>
      </c>
      <c r="C152" t="s">
        <v>53</v>
      </c>
      <c r="D152" t="s">
        <v>49</v>
      </c>
      <c r="E152" t="s">
        <v>54</v>
      </c>
      <c r="F152">
        <v>149</v>
      </c>
      <c r="G152">
        <v>9</v>
      </c>
      <c r="H152">
        <v>7</v>
      </c>
      <c r="I152" t="s">
        <v>54</v>
      </c>
      <c r="J152">
        <v>1</v>
      </c>
      <c r="K152">
        <v>0.92942639999091603</v>
      </c>
      <c r="L152" t="s">
        <v>51</v>
      </c>
      <c r="M152">
        <v>7</v>
      </c>
      <c r="N152">
        <v>9</v>
      </c>
      <c r="O152">
        <v>149</v>
      </c>
      <c r="P152">
        <v>14</v>
      </c>
      <c r="Q152">
        <v>188.02983070001901</v>
      </c>
      <c r="V152">
        <v>188.02074040001</v>
      </c>
      <c r="W152">
        <v>188.02983070001901</v>
      </c>
      <c r="X152">
        <v>188.52996900002401</v>
      </c>
      <c r="Y152">
        <v>188.52996900002401</v>
      </c>
      <c r="Z152">
        <v>188.52996900002401</v>
      </c>
      <c r="AA152">
        <v>189.46707900002301</v>
      </c>
      <c r="AB152" t="s">
        <v>54</v>
      </c>
      <c r="AC152">
        <v>1</v>
      </c>
      <c r="AD152">
        <v>0.92942639999091603</v>
      </c>
      <c r="AE152" t="s">
        <v>51</v>
      </c>
      <c r="AI152">
        <v>5</v>
      </c>
      <c r="AJ152">
        <v>1</v>
      </c>
      <c r="AK152" t="s">
        <v>87</v>
      </c>
      <c r="AL152" t="s">
        <v>43</v>
      </c>
      <c r="AN152" t="s">
        <v>44</v>
      </c>
      <c r="AO152">
        <v>60.129904655169099</v>
      </c>
      <c r="AP152" t="s">
        <v>88</v>
      </c>
    </row>
    <row r="153" spans="1:42" x14ac:dyDescent="0.3">
      <c r="A153" t="s">
        <v>46</v>
      </c>
      <c r="B153" t="s">
        <v>47</v>
      </c>
      <c r="C153" t="s">
        <v>48</v>
      </c>
      <c r="D153" t="s">
        <v>49</v>
      </c>
      <c r="E153" t="s">
        <v>50</v>
      </c>
      <c r="F153">
        <v>150</v>
      </c>
      <c r="G153">
        <v>10</v>
      </c>
      <c r="H153">
        <v>7</v>
      </c>
      <c r="I153" t="s">
        <v>50</v>
      </c>
      <c r="J153">
        <v>1</v>
      </c>
      <c r="K153">
        <v>0.72572489996673495</v>
      </c>
      <c r="L153" t="s">
        <v>51</v>
      </c>
      <c r="M153">
        <v>7</v>
      </c>
      <c r="N153">
        <v>10</v>
      </c>
      <c r="O153">
        <v>150</v>
      </c>
      <c r="P153">
        <v>19</v>
      </c>
      <c r="Q153">
        <v>189.48017260001501</v>
      </c>
      <c r="V153">
        <v>189.46971700002899</v>
      </c>
      <c r="W153">
        <v>189.48017260001501</v>
      </c>
      <c r="X153">
        <v>189.980293200002</v>
      </c>
      <c r="Y153">
        <v>189.980293200002</v>
      </c>
      <c r="Z153">
        <v>189.980293200002</v>
      </c>
      <c r="AA153">
        <v>190.7174047</v>
      </c>
      <c r="AB153" t="s">
        <v>50</v>
      </c>
      <c r="AC153">
        <v>1</v>
      </c>
      <c r="AD153">
        <v>0.72572489996673495</v>
      </c>
      <c r="AE153" t="s">
        <v>51</v>
      </c>
      <c r="AI153">
        <v>5</v>
      </c>
      <c r="AJ153">
        <v>1</v>
      </c>
      <c r="AK153" t="s">
        <v>87</v>
      </c>
      <c r="AL153" t="s">
        <v>43</v>
      </c>
      <c r="AN153" t="s">
        <v>44</v>
      </c>
      <c r="AO153">
        <v>60.129904655169099</v>
      </c>
      <c r="AP153" t="s">
        <v>88</v>
      </c>
    </row>
    <row r="154" spans="1:42" x14ac:dyDescent="0.3">
      <c r="A154" t="s">
        <v>72</v>
      </c>
      <c r="B154" t="s">
        <v>59</v>
      </c>
      <c r="C154" t="s">
        <v>61</v>
      </c>
      <c r="D154" t="s">
        <v>62</v>
      </c>
      <c r="E154" t="s">
        <v>63</v>
      </c>
      <c r="F154">
        <v>151</v>
      </c>
      <c r="G154">
        <v>11</v>
      </c>
      <c r="H154">
        <v>7</v>
      </c>
      <c r="I154" t="s">
        <v>63</v>
      </c>
      <c r="J154">
        <v>1</v>
      </c>
      <c r="K154">
        <v>0.59551389998523496</v>
      </c>
      <c r="L154" t="s">
        <v>51</v>
      </c>
      <c r="M154">
        <v>7</v>
      </c>
      <c r="N154">
        <v>11</v>
      </c>
      <c r="O154">
        <v>151</v>
      </c>
      <c r="P154">
        <v>8</v>
      </c>
      <c r="Q154">
        <v>190.73074540001099</v>
      </c>
      <c r="V154">
        <v>190.72000900003999</v>
      </c>
      <c r="W154">
        <v>190.73074540001099</v>
      </c>
      <c r="X154">
        <v>191.23102440004001</v>
      </c>
      <c r="Y154">
        <v>191.23102440004001</v>
      </c>
      <c r="Z154">
        <v>191.23102440004001</v>
      </c>
      <c r="AA154">
        <v>191.83522800001001</v>
      </c>
      <c r="AB154" t="s">
        <v>63</v>
      </c>
      <c r="AC154">
        <v>1</v>
      </c>
      <c r="AD154">
        <v>0.59551389998523496</v>
      </c>
      <c r="AE154" t="s">
        <v>51</v>
      </c>
      <c r="AI154">
        <v>5</v>
      </c>
      <c r="AJ154">
        <v>1</v>
      </c>
      <c r="AK154" t="s">
        <v>87</v>
      </c>
      <c r="AL154" t="s">
        <v>43</v>
      </c>
      <c r="AN154" t="s">
        <v>44</v>
      </c>
      <c r="AO154">
        <v>60.129904655169099</v>
      </c>
      <c r="AP154" t="s">
        <v>88</v>
      </c>
    </row>
    <row r="155" spans="1:42" x14ac:dyDescent="0.3">
      <c r="A155" t="s">
        <v>76</v>
      </c>
      <c r="B155" t="s">
        <v>59</v>
      </c>
      <c r="C155" t="s">
        <v>48</v>
      </c>
      <c r="D155" t="s">
        <v>49</v>
      </c>
      <c r="E155" t="s">
        <v>50</v>
      </c>
      <c r="F155">
        <v>152</v>
      </c>
      <c r="G155">
        <v>12</v>
      </c>
      <c r="H155">
        <v>7</v>
      </c>
      <c r="I155" t="s">
        <v>50</v>
      </c>
      <c r="J155">
        <v>1</v>
      </c>
      <c r="K155">
        <v>1.11836159997619</v>
      </c>
      <c r="L155" t="s">
        <v>51</v>
      </c>
      <c r="M155">
        <v>7</v>
      </c>
      <c r="N155">
        <v>12</v>
      </c>
      <c r="O155">
        <v>152</v>
      </c>
      <c r="P155">
        <v>3</v>
      </c>
      <c r="Q155">
        <v>191.84703390003401</v>
      </c>
      <c r="V155">
        <v>191.837918400007</v>
      </c>
      <c r="W155">
        <v>191.84703390003401</v>
      </c>
      <c r="X155">
        <v>192.34721810003899</v>
      </c>
      <c r="Y155">
        <v>192.34721810003899</v>
      </c>
      <c r="Z155">
        <v>192.34721810003899</v>
      </c>
      <c r="AA155">
        <v>193.4681003</v>
      </c>
      <c r="AB155" t="s">
        <v>50</v>
      </c>
      <c r="AC155">
        <v>1</v>
      </c>
      <c r="AD155">
        <v>1.11836159997619</v>
      </c>
      <c r="AE155" t="s">
        <v>51</v>
      </c>
      <c r="AI155">
        <v>5</v>
      </c>
      <c r="AJ155">
        <v>1</v>
      </c>
      <c r="AK155" t="s">
        <v>87</v>
      </c>
      <c r="AL155" t="s">
        <v>43</v>
      </c>
      <c r="AN155" t="s">
        <v>44</v>
      </c>
      <c r="AO155">
        <v>60.129904655169099</v>
      </c>
      <c r="AP155" t="s">
        <v>88</v>
      </c>
    </row>
    <row r="156" spans="1:42" x14ac:dyDescent="0.3">
      <c r="A156" t="s">
        <v>70</v>
      </c>
      <c r="B156" t="s">
        <v>59</v>
      </c>
      <c r="C156" t="s">
        <v>53</v>
      </c>
      <c r="D156" t="s">
        <v>49</v>
      </c>
      <c r="E156" t="s">
        <v>54</v>
      </c>
      <c r="F156">
        <v>153</v>
      </c>
      <c r="G156">
        <v>13</v>
      </c>
      <c r="H156">
        <v>7</v>
      </c>
      <c r="I156" t="s">
        <v>54</v>
      </c>
      <c r="J156">
        <v>1</v>
      </c>
      <c r="K156">
        <v>0.71744400000898101</v>
      </c>
      <c r="L156" t="s">
        <v>51</v>
      </c>
      <c r="M156">
        <v>7</v>
      </c>
      <c r="N156">
        <v>13</v>
      </c>
      <c r="O156">
        <v>153</v>
      </c>
      <c r="P156">
        <v>2</v>
      </c>
      <c r="Q156">
        <v>193.47993840003599</v>
      </c>
      <c r="V156">
        <v>193.47082430002001</v>
      </c>
      <c r="W156">
        <v>193.47993840003599</v>
      </c>
      <c r="X156">
        <v>193.979689400002</v>
      </c>
      <c r="Y156">
        <v>193.979689400002</v>
      </c>
      <c r="Z156">
        <v>193.979689400002</v>
      </c>
      <c r="AA156">
        <v>194.69986280001399</v>
      </c>
      <c r="AB156" t="s">
        <v>54</v>
      </c>
      <c r="AC156">
        <v>1</v>
      </c>
      <c r="AD156">
        <v>0.71744400000898101</v>
      </c>
      <c r="AE156" t="s">
        <v>51</v>
      </c>
      <c r="AI156">
        <v>5</v>
      </c>
      <c r="AJ156">
        <v>1</v>
      </c>
      <c r="AK156" t="s">
        <v>87</v>
      </c>
      <c r="AL156" t="s">
        <v>43</v>
      </c>
      <c r="AN156" t="s">
        <v>44</v>
      </c>
      <c r="AO156">
        <v>60.129904655169099</v>
      </c>
      <c r="AP156" t="s">
        <v>88</v>
      </c>
    </row>
    <row r="157" spans="1:42" x14ac:dyDescent="0.3">
      <c r="A157" t="s">
        <v>60</v>
      </c>
      <c r="B157" t="s">
        <v>59</v>
      </c>
      <c r="C157" t="s">
        <v>61</v>
      </c>
      <c r="D157" t="s">
        <v>62</v>
      </c>
      <c r="E157" t="s">
        <v>63</v>
      </c>
      <c r="F157">
        <v>154</v>
      </c>
      <c r="G157">
        <v>14</v>
      </c>
      <c r="H157">
        <v>7</v>
      </c>
      <c r="I157" t="s">
        <v>63</v>
      </c>
      <c r="J157">
        <v>1</v>
      </c>
      <c r="K157">
        <v>1.0134905999875601</v>
      </c>
      <c r="L157" t="s">
        <v>51</v>
      </c>
      <c r="M157">
        <v>7</v>
      </c>
      <c r="N157">
        <v>14</v>
      </c>
      <c r="O157">
        <v>154</v>
      </c>
      <c r="P157">
        <v>0</v>
      </c>
      <c r="Q157">
        <v>194.71310340001901</v>
      </c>
      <c r="V157">
        <v>194.70228690002099</v>
      </c>
      <c r="W157">
        <v>194.71310340001901</v>
      </c>
      <c r="X157">
        <v>195.21297809999601</v>
      </c>
      <c r="Y157">
        <v>195.21297809999601</v>
      </c>
      <c r="Z157">
        <v>195.21297809999601</v>
      </c>
      <c r="AA157">
        <v>196.23541409999501</v>
      </c>
      <c r="AB157" t="s">
        <v>63</v>
      </c>
      <c r="AC157">
        <v>1</v>
      </c>
      <c r="AD157">
        <v>1.0134905999875601</v>
      </c>
      <c r="AE157" t="s">
        <v>51</v>
      </c>
      <c r="AI157">
        <v>5</v>
      </c>
      <c r="AJ157">
        <v>1</v>
      </c>
      <c r="AK157" t="s">
        <v>87</v>
      </c>
      <c r="AL157" t="s">
        <v>43</v>
      </c>
      <c r="AN157" t="s">
        <v>44</v>
      </c>
      <c r="AO157">
        <v>60.129904655169099</v>
      </c>
      <c r="AP157" t="s">
        <v>88</v>
      </c>
    </row>
    <row r="158" spans="1:42" x14ac:dyDescent="0.3">
      <c r="A158" t="s">
        <v>73</v>
      </c>
      <c r="B158" t="s">
        <v>59</v>
      </c>
      <c r="C158" t="s">
        <v>56</v>
      </c>
      <c r="D158" t="s">
        <v>49</v>
      </c>
      <c r="E158" t="s">
        <v>57</v>
      </c>
      <c r="F158">
        <v>155</v>
      </c>
      <c r="G158">
        <v>15</v>
      </c>
      <c r="H158">
        <v>7</v>
      </c>
      <c r="I158" t="s">
        <v>57</v>
      </c>
      <c r="J158">
        <v>1</v>
      </c>
      <c r="K158">
        <v>0.68439879996003505</v>
      </c>
      <c r="L158" t="s">
        <v>51</v>
      </c>
      <c r="M158">
        <v>7</v>
      </c>
      <c r="N158">
        <v>15</v>
      </c>
      <c r="O158">
        <v>155</v>
      </c>
      <c r="P158">
        <v>1</v>
      </c>
      <c r="Q158">
        <v>196.24736109998699</v>
      </c>
      <c r="V158">
        <v>196.23951039998701</v>
      </c>
      <c r="W158">
        <v>196.24736109998699</v>
      </c>
      <c r="X158">
        <v>196.74700259999301</v>
      </c>
      <c r="Y158">
        <v>196.74700259999301</v>
      </c>
      <c r="Z158">
        <v>196.74700259999301</v>
      </c>
      <c r="AA158">
        <v>197.433931800012</v>
      </c>
      <c r="AB158" t="s">
        <v>57</v>
      </c>
      <c r="AC158">
        <v>1</v>
      </c>
      <c r="AD158">
        <v>0.68439879996003505</v>
      </c>
      <c r="AE158" t="s">
        <v>51</v>
      </c>
      <c r="AI158">
        <v>5</v>
      </c>
      <c r="AJ158">
        <v>1</v>
      </c>
      <c r="AK158" t="s">
        <v>87</v>
      </c>
      <c r="AL158" t="s">
        <v>43</v>
      </c>
      <c r="AN158" t="s">
        <v>44</v>
      </c>
      <c r="AO158">
        <v>60.129904655169099</v>
      </c>
      <c r="AP158" t="s">
        <v>88</v>
      </c>
    </row>
    <row r="159" spans="1:42" x14ac:dyDescent="0.3">
      <c r="A159" t="s">
        <v>75</v>
      </c>
      <c r="B159" t="s">
        <v>47</v>
      </c>
      <c r="C159" t="s">
        <v>61</v>
      </c>
      <c r="D159" t="s">
        <v>49</v>
      </c>
      <c r="E159" t="s">
        <v>63</v>
      </c>
      <c r="F159">
        <v>156</v>
      </c>
      <c r="G159">
        <v>16</v>
      </c>
      <c r="H159">
        <v>7</v>
      </c>
      <c r="I159" t="s">
        <v>63</v>
      </c>
      <c r="J159">
        <v>1</v>
      </c>
      <c r="K159">
        <v>1.0607820000150201</v>
      </c>
      <c r="L159" t="s">
        <v>51</v>
      </c>
      <c r="M159">
        <v>7</v>
      </c>
      <c r="N159">
        <v>16</v>
      </c>
      <c r="O159">
        <v>156</v>
      </c>
      <c r="P159">
        <v>16</v>
      </c>
      <c r="Q159">
        <v>197.44637510000001</v>
      </c>
      <c r="V159">
        <v>197.43769890000101</v>
      </c>
      <c r="W159">
        <v>197.44637510000001</v>
      </c>
      <c r="X159">
        <v>197.946863599994</v>
      </c>
      <c r="Y159">
        <v>197.946863599994</v>
      </c>
      <c r="Z159">
        <v>197.946863599994</v>
      </c>
      <c r="AA159">
        <v>199.016550800006</v>
      </c>
      <c r="AB159" t="s">
        <v>63</v>
      </c>
      <c r="AC159">
        <v>1</v>
      </c>
      <c r="AD159">
        <v>1.0607820000150201</v>
      </c>
      <c r="AE159" t="s">
        <v>51</v>
      </c>
      <c r="AI159">
        <v>5</v>
      </c>
      <c r="AJ159">
        <v>1</v>
      </c>
      <c r="AK159" t="s">
        <v>87</v>
      </c>
      <c r="AL159" t="s">
        <v>43</v>
      </c>
      <c r="AN159" t="s">
        <v>44</v>
      </c>
      <c r="AO159">
        <v>60.129904655169099</v>
      </c>
      <c r="AP159" t="s">
        <v>88</v>
      </c>
    </row>
    <row r="160" spans="1:42" x14ac:dyDescent="0.3">
      <c r="A160" t="s">
        <v>67</v>
      </c>
      <c r="B160" t="s">
        <v>47</v>
      </c>
      <c r="C160" t="s">
        <v>53</v>
      </c>
      <c r="D160" t="s">
        <v>49</v>
      </c>
      <c r="E160" t="s">
        <v>54</v>
      </c>
      <c r="F160">
        <v>157</v>
      </c>
      <c r="G160">
        <v>17</v>
      </c>
      <c r="H160">
        <v>7</v>
      </c>
      <c r="I160" t="s">
        <v>54</v>
      </c>
      <c r="J160">
        <v>1</v>
      </c>
      <c r="K160">
        <v>0.80317610001657103</v>
      </c>
      <c r="L160" t="s">
        <v>51</v>
      </c>
      <c r="M160">
        <v>7</v>
      </c>
      <c r="N160">
        <v>17</v>
      </c>
      <c r="O160">
        <v>157</v>
      </c>
      <c r="P160">
        <v>10</v>
      </c>
      <c r="Q160">
        <v>199.02943090000099</v>
      </c>
      <c r="V160">
        <v>199.01999440003399</v>
      </c>
      <c r="W160">
        <v>199.02943090000099</v>
      </c>
      <c r="X160">
        <v>199.530469099991</v>
      </c>
      <c r="Y160">
        <v>199.530469099991</v>
      </c>
      <c r="Z160">
        <v>199.530469099991</v>
      </c>
      <c r="AA160">
        <v>200.35012830002199</v>
      </c>
      <c r="AB160" t="s">
        <v>54</v>
      </c>
      <c r="AC160">
        <v>1</v>
      </c>
      <c r="AD160">
        <v>0.80317610001657103</v>
      </c>
      <c r="AE160" t="s">
        <v>51</v>
      </c>
      <c r="AI160">
        <v>5</v>
      </c>
      <c r="AJ160">
        <v>1</v>
      </c>
      <c r="AK160" t="s">
        <v>87</v>
      </c>
      <c r="AL160" t="s">
        <v>43</v>
      </c>
      <c r="AN160" t="s">
        <v>44</v>
      </c>
      <c r="AO160">
        <v>60.129904655169099</v>
      </c>
      <c r="AP160" t="s">
        <v>88</v>
      </c>
    </row>
    <row r="161" spans="1:42" x14ac:dyDescent="0.3">
      <c r="A161" t="s">
        <v>68</v>
      </c>
      <c r="B161" t="s">
        <v>59</v>
      </c>
      <c r="C161" t="s">
        <v>53</v>
      </c>
      <c r="D161" t="s">
        <v>49</v>
      </c>
      <c r="E161" t="s">
        <v>54</v>
      </c>
      <c r="F161">
        <v>158</v>
      </c>
      <c r="G161">
        <v>18</v>
      </c>
      <c r="H161">
        <v>7</v>
      </c>
      <c r="I161" t="s">
        <v>54</v>
      </c>
      <c r="J161">
        <v>1</v>
      </c>
      <c r="K161">
        <v>0.55587809998542004</v>
      </c>
      <c r="L161" t="s">
        <v>51</v>
      </c>
      <c r="M161">
        <v>7</v>
      </c>
      <c r="N161">
        <v>18</v>
      </c>
      <c r="O161">
        <v>158</v>
      </c>
      <c r="P161">
        <v>6</v>
      </c>
      <c r="Q161">
        <v>200.36325530003501</v>
      </c>
      <c r="V161">
        <v>200.35264490003399</v>
      </c>
      <c r="W161">
        <v>200.36325530003501</v>
      </c>
      <c r="X161">
        <v>200.86331929999801</v>
      </c>
      <c r="Y161">
        <v>200.86331929999801</v>
      </c>
      <c r="Z161">
        <v>200.86331929999801</v>
      </c>
      <c r="AA161">
        <v>201.434026000031</v>
      </c>
      <c r="AB161" t="s">
        <v>54</v>
      </c>
      <c r="AC161">
        <v>1</v>
      </c>
      <c r="AD161">
        <v>0.55587809998542004</v>
      </c>
      <c r="AE161" t="s">
        <v>51</v>
      </c>
      <c r="AI161">
        <v>5</v>
      </c>
      <c r="AJ161">
        <v>1</v>
      </c>
      <c r="AK161" t="s">
        <v>87</v>
      </c>
      <c r="AL161" t="s">
        <v>43</v>
      </c>
      <c r="AN161" t="s">
        <v>44</v>
      </c>
      <c r="AO161">
        <v>60.129904655169099</v>
      </c>
      <c r="AP161" t="s">
        <v>88</v>
      </c>
    </row>
    <row r="162" spans="1:42" x14ac:dyDescent="0.3">
      <c r="A162" t="s">
        <v>66</v>
      </c>
      <c r="B162" t="s">
        <v>47</v>
      </c>
      <c r="C162" t="s">
        <v>61</v>
      </c>
      <c r="D162" t="s">
        <v>49</v>
      </c>
      <c r="E162" t="s">
        <v>63</v>
      </c>
      <c r="F162">
        <v>159</v>
      </c>
      <c r="G162">
        <v>19</v>
      </c>
      <c r="H162">
        <v>7</v>
      </c>
      <c r="I162" t="s">
        <v>63</v>
      </c>
      <c r="J162">
        <v>1</v>
      </c>
      <c r="K162">
        <v>0.69315910001751002</v>
      </c>
      <c r="L162" t="s">
        <v>51</v>
      </c>
      <c r="M162">
        <v>7</v>
      </c>
      <c r="N162">
        <v>19</v>
      </c>
      <c r="O162">
        <v>159</v>
      </c>
      <c r="P162">
        <v>12</v>
      </c>
      <c r="Q162">
        <v>201.44606580003099</v>
      </c>
      <c r="V162">
        <v>201.437772500037</v>
      </c>
      <c r="W162">
        <v>201.44606580003099</v>
      </c>
      <c r="X162">
        <v>201.946536800009</v>
      </c>
      <c r="Y162">
        <v>201.946536800009</v>
      </c>
      <c r="Z162">
        <v>201.946536800009</v>
      </c>
      <c r="AA162">
        <v>202.65088080003599</v>
      </c>
      <c r="AB162" t="s">
        <v>63</v>
      </c>
      <c r="AC162">
        <v>1</v>
      </c>
      <c r="AD162">
        <v>0.69315910001751002</v>
      </c>
      <c r="AE162" t="s">
        <v>51</v>
      </c>
      <c r="AI162">
        <v>5</v>
      </c>
      <c r="AJ162">
        <v>1</v>
      </c>
      <c r="AK162" t="s">
        <v>87</v>
      </c>
      <c r="AL162" t="s">
        <v>43</v>
      </c>
      <c r="AN162" t="s">
        <v>44</v>
      </c>
      <c r="AO162">
        <v>60.129904655169099</v>
      </c>
      <c r="AP162" t="s">
        <v>88</v>
      </c>
    </row>
    <row r="163" spans="1:42" x14ac:dyDescent="0.3">
      <c r="A163" t="s">
        <v>68</v>
      </c>
      <c r="B163" t="s">
        <v>59</v>
      </c>
      <c r="C163" t="s">
        <v>53</v>
      </c>
      <c r="D163" t="s">
        <v>49</v>
      </c>
      <c r="E163" t="s">
        <v>54</v>
      </c>
      <c r="F163">
        <v>160</v>
      </c>
      <c r="G163">
        <v>0</v>
      </c>
      <c r="H163">
        <v>8</v>
      </c>
      <c r="I163" t="s">
        <v>54</v>
      </c>
      <c r="J163">
        <v>1</v>
      </c>
      <c r="K163">
        <v>0.835168100020382</v>
      </c>
      <c r="L163" t="s">
        <v>51</v>
      </c>
      <c r="M163">
        <v>8</v>
      </c>
      <c r="N163">
        <v>0</v>
      </c>
      <c r="O163">
        <v>160</v>
      </c>
      <c r="P163">
        <v>6</v>
      </c>
      <c r="Q163">
        <v>202.66404490004001</v>
      </c>
      <c r="V163">
        <v>202.654826499987</v>
      </c>
      <c r="W163">
        <v>202.66404490004001</v>
      </c>
      <c r="X163">
        <v>203.162946800002</v>
      </c>
      <c r="Y163">
        <v>203.162946800002</v>
      </c>
      <c r="Z163">
        <v>203.162946800002</v>
      </c>
      <c r="AA163">
        <v>203.99992370000101</v>
      </c>
      <c r="AB163" t="s">
        <v>54</v>
      </c>
      <c r="AC163">
        <v>1</v>
      </c>
      <c r="AD163">
        <v>0.835168100020382</v>
      </c>
      <c r="AE163" t="s">
        <v>51</v>
      </c>
      <c r="AI163">
        <v>5</v>
      </c>
      <c r="AJ163">
        <v>1</v>
      </c>
      <c r="AK163" t="s">
        <v>87</v>
      </c>
      <c r="AL163" t="s">
        <v>43</v>
      </c>
      <c r="AN163" t="s">
        <v>44</v>
      </c>
      <c r="AO163">
        <v>60.129904655169099</v>
      </c>
      <c r="AP163" t="s">
        <v>88</v>
      </c>
    </row>
    <row r="164" spans="1:42" x14ac:dyDescent="0.3">
      <c r="A164" t="s">
        <v>65</v>
      </c>
      <c r="B164" t="s">
        <v>59</v>
      </c>
      <c r="C164" t="s">
        <v>56</v>
      </c>
      <c r="D164" t="s">
        <v>49</v>
      </c>
      <c r="E164" t="s">
        <v>57</v>
      </c>
      <c r="F164">
        <v>161</v>
      </c>
      <c r="G164">
        <v>1</v>
      </c>
      <c r="H164">
        <v>8</v>
      </c>
      <c r="I164" t="s">
        <v>57</v>
      </c>
      <c r="J164">
        <v>1</v>
      </c>
      <c r="K164">
        <v>0.73700090002967</v>
      </c>
      <c r="L164" t="s">
        <v>51</v>
      </c>
      <c r="M164">
        <v>8</v>
      </c>
      <c r="N164">
        <v>1</v>
      </c>
      <c r="O164">
        <v>161</v>
      </c>
      <c r="P164">
        <v>9</v>
      </c>
      <c r="Q164">
        <v>204.012530500011</v>
      </c>
      <c r="V164">
        <v>204.002765699988</v>
      </c>
      <c r="W164">
        <v>204.012530500011</v>
      </c>
      <c r="X164">
        <v>204.51286429999101</v>
      </c>
      <c r="Y164">
        <v>204.51286429999101</v>
      </c>
      <c r="Z164">
        <v>204.51286429999101</v>
      </c>
      <c r="AA164">
        <v>205.25036850001101</v>
      </c>
      <c r="AB164" t="s">
        <v>57</v>
      </c>
      <c r="AC164">
        <v>1</v>
      </c>
      <c r="AD164">
        <v>0.73700090002967</v>
      </c>
      <c r="AE164" t="s">
        <v>51</v>
      </c>
      <c r="AI164">
        <v>5</v>
      </c>
      <c r="AJ164">
        <v>1</v>
      </c>
      <c r="AK164" t="s">
        <v>87</v>
      </c>
      <c r="AL164" t="s">
        <v>43</v>
      </c>
      <c r="AN164" t="s">
        <v>44</v>
      </c>
      <c r="AO164">
        <v>60.129904655169099</v>
      </c>
      <c r="AP164" t="s">
        <v>88</v>
      </c>
    </row>
    <row r="165" spans="1:42" x14ac:dyDescent="0.3">
      <c r="A165" t="s">
        <v>76</v>
      </c>
      <c r="B165" t="s">
        <v>59</v>
      </c>
      <c r="C165" t="s">
        <v>48</v>
      </c>
      <c r="D165" t="s">
        <v>49</v>
      </c>
      <c r="E165" t="s">
        <v>50</v>
      </c>
      <c r="F165">
        <v>162</v>
      </c>
      <c r="G165">
        <v>2</v>
      </c>
      <c r="H165">
        <v>8</v>
      </c>
      <c r="I165" t="s">
        <v>50</v>
      </c>
      <c r="J165">
        <v>1</v>
      </c>
      <c r="K165">
        <v>0.81879529997240696</v>
      </c>
      <c r="L165" t="s">
        <v>51</v>
      </c>
      <c r="M165">
        <v>8</v>
      </c>
      <c r="N165">
        <v>2</v>
      </c>
      <c r="O165">
        <v>162</v>
      </c>
      <c r="P165">
        <v>3</v>
      </c>
      <c r="Q165">
        <v>205.26260270003601</v>
      </c>
      <c r="V165">
        <v>205.25385949999301</v>
      </c>
      <c r="W165">
        <v>205.26260270003601</v>
      </c>
      <c r="X165">
        <v>205.76326420000899</v>
      </c>
      <c r="Y165">
        <v>205.76326420000899</v>
      </c>
      <c r="Z165">
        <v>205.76326420000899</v>
      </c>
      <c r="AA165">
        <v>206.58423239999601</v>
      </c>
      <c r="AB165" t="s">
        <v>50</v>
      </c>
      <c r="AC165">
        <v>1</v>
      </c>
      <c r="AD165">
        <v>0.81879529997240696</v>
      </c>
      <c r="AE165" t="s">
        <v>51</v>
      </c>
      <c r="AI165">
        <v>5</v>
      </c>
      <c r="AJ165">
        <v>1</v>
      </c>
      <c r="AK165" t="s">
        <v>87</v>
      </c>
      <c r="AL165" t="s">
        <v>43</v>
      </c>
      <c r="AN165" t="s">
        <v>44</v>
      </c>
      <c r="AO165">
        <v>60.129904655169099</v>
      </c>
      <c r="AP165" t="s">
        <v>88</v>
      </c>
    </row>
    <row r="166" spans="1:42" x14ac:dyDescent="0.3">
      <c r="A166" t="s">
        <v>58</v>
      </c>
      <c r="B166" t="s">
        <v>59</v>
      </c>
      <c r="C166" t="s">
        <v>48</v>
      </c>
      <c r="D166" t="s">
        <v>49</v>
      </c>
      <c r="E166" t="s">
        <v>50</v>
      </c>
      <c r="F166">
        <v>163</v>
      </c>
      <c r="G166">
        <v>3</v>
      </c>
      <c r="H166">
        <v>8</v>
      </c>
      <c r="I166" t="s">
        <v>50</v>
      </c>
      <c r="J166">
        <v>1</v>
      </c>
      <c r="K166">
        <v>0.50565700000151903</v>
      </c>
      <c r="L166" t="s">
        <v>51</v>
      </c>
      <c r="M166">
        <v>8</v>
      </c>
      <c r="N166">
        <v>3</v>
      </c>
      <c r="O166">
        <v>163</v>
      </c>
      <c r="P166">
        <v>7</v>
      </c>
      <c r="Q166">
        <v>206.596014900016</v>
      </c>
      <c r="V166">
        <v>206.58783169998699</v>
      </c>
      <c r="W166">
        <v>206.596014900016</v>
      </c>
      <c r="X166">
        <v>207.096453500038</v>
      </c>
      <c r="Y166">
        <v>207.096453500038</v>
      </c>
      <c r="Z166">
        <v>207.096453500038</v>
      </c>
      <c r="AA166">
        <v>207.61635800002799</v>
      </c>
      <c r="AB166" t="s">
        <v>50</v>
      </c>
      <c r="AC166">
        <v>1</v>
      </c>
      <c r="AD166">
        <v>0.50565700000151903</v>
      </c>
      <c r="AE166" t="s">
        <v>51</v>
      </c>
      <c r="AI166">
        <v>5</v>
      </c>
      <c r="AJ166">
        <v>1</v>
      </c>
      <c r="AK166" t="s">
        <v>87</v>
      </c>
      <c r="AL166" t="s">
        <v>43</v>
      </c>
      <c r="AN166" t="s">
        <v>44</v>
      </c>
      <c r="AO166">
        <v>60.129904655169099</v>
      </c>
      <c r="AP166" t="s">
        <v>88</v>
      </c>
    </row>
    <row r="167" spans="1:42" x14ac:dyDescent="0.3">
      <c r="A167" t="s">
        <v>70</v>
      </c>
      <c r="B167" t="s">
        <v>59</v>
      </c>
      <c r="C167" t="s">
        <v>53</v>
      </c>
      <c r="D167" t="s">
        <v>49</v>
      </c>
      <c r="E167" t="s">
        <v>54</v>
      </c>
      <c r="F167">
        <v>164</v>
      </c>
      <c r="G167">
        <v>4</v>
      </c>
      <c r="H167">
        <v>8</v>
      </c>
      <c r="I167" t="s">
        <v>54</v>
      </c>
      <c r="J167">
        <v>1</v>
      </c>
      <c r="K167">
        <v>0.653243899985682</v>
      </c>
      <c r="L167" t="s">
        <v>51</v>
      </c>
      <c r="M167">
        <v>8</v>
      </c>
      <c r="N167">
        <v>4</v>
      </c>
      <c r="O167">
        <v>164</v>
      </c>
      <c r="P167">
        <v>2</v>
      </c>
      <c r="Q167">
        <v>207.63032280001701</v>
      </c>
      <c r="V167">
        <v>207.61878730001601</v>
      </c>
      <c r="W167">
        <v>207.63032280001701</v>
      </c>
      <c r="X167">
        <v>208.130263400031</v>
      </c>
      <c r="Y167">
        <v>208.130263400031</v>
      </c>
      <c r="Z167">
        <v>208.130263400031</v>
      </c>
      <c r="AA167">
        <v>208.800105100031</v>
      </c>
      <c r="AB167" t="s">
        <v>54</v>
      </c>
      <c r="AC167">
        <v>1</v>
      </c>
      <c r="AD167">
        <v>0.653243899985682</v>
      </c>
      <c r="AE167" t="s">
        <v>51</v>
      </c>
      <c r="AI167">
        <v>5</v>
      </c>
      <c r="AJ167">
        <v>1</v>
      </c>
      <c r="AK167" t="s">
        <v>87</v>
      </c>
      <c r="AL167" t="s">
        <v>43</v>
      </c>
      <c r="AN167" t="s">
        <v>44</v>
      </c>
      <c r="AO167">
        <v>60.129904655169099</v>
      </c>
      <c r="AP167" t="s">
        <v>88</v>
      </c>
    </row>
    <row r="168" spans="1:42" x14ac:dyDescent="0.3">
      <c r="A168" t="s">
        <v>74</v>
      </c>
      <c r="B168" t="s">
        <v>47</v>
      </c>
      <c r="C168" t="s">
        <v>48</v>
      </c>
      <c r="D168" t="s">
        <v>49</v>
      </c>
      <c r="E168" t="s">
        <v>50</v>
      </c>
      <c r="F168">
        <v>165</v>
      </c>
      <c r="G168">
        <v>5</v>
      </c>
      <c r="H168">
        <v>8</v>
      </c>
      <c r="I168" t="s">
        <v>50</v>
      </c>
      <c r="J168">
        <v>1</v>
      </c>
      <c r="K168">
        <v>1.2843872000230401</v>
      </c>
      <c r="L168" t="s">
        <v>51</v>
      </c>
      <c r="M168">
        <v>8</v>
      </c>
      <c r="N168">
        <v>5</v>
      </c>
      <c r="O168">
        <v>165</v>
      </c>
      <c r="P168">
        <v>11</v>
      </c>
      <c r="Q168">
        <v>208.81260639999499</v>
      </c>
      <c r="V168">
        <v>208.80303539999201</v>
      </c>
      <c r="W168">
        <v>208.81260639999499</v>
      </c>
      <c r="X168">
        <v>209.31310590001499</v>
      </c>
      <c r="Y168">
        <v>209.31310590001499</v>
      </c>
      <c r="Z168">
        <v>209.31310590001499</v>
      </c>
      <c r="AA168">
        <v>210.600846800021</v>
      </c>
      <c r="AB168" t="s">
        <v>50</v>
      </c>
      <c r="AC168">
        <v>1</v>
      </c>
      <c r="AD168">
        <v>1.2843872000230401</v>
      </c>
      <c r="AE168" t="s">
        <v>51</v>
      </c>
      <c r="AI168">
        <v>5</v>
      </c>
      <c r="AJ168">
        <v>1</v>
      </c>
      <c r="AK168" t="s">
        <v>87</v>
      </c>
      <c r="AL168" t="s">
        <v>43</v>
      </c>
      <c r="AN168" t="s">
        <v>44</v>
      </c>
      <c r="AO168">
        <v>60.129904655169099</v>
      </c>
      <c r="AP168" t="s">
        <v>88</v>
      </c>
    </row>
    <row r="169" spans="1:42" x14ac:dyDescent="0.3">
      <c r="A169" t="s">
        <v>77</v>
      </c>
      <c r="B169" t="s">
        <v>59</v>
      </c>
      <c r="C169" t="s">
        <v>61</v>
      </c>
      <c r="D169" t="s">
        <v>62</v>
      </c>
      <c r="E169" t="s">
        <v>63</v>
      </c>
      <c r="F169">
        <v>166</v>
      </c>
      <c r="G169">
        <v>6</v>
      </c>
      <c r="H169">
        <v>8</v>
      </c>
      <c r="I169" t="s">
        <v>63</v>
      </c>
      <c r="J169">
        <v>1</v>
      </c>
      <c r="K169">
        <v>0.94023040001047697</v>
      </c>
      <c r="L169" t="s">
        <v>51</v>
      </c>
      <c r="M169">
        <v>8</v>
      </c>
      <c r="N169">
        <v>6</v>
      </c>
      <c r="O169">
        <v>166</v>
      </c>
      <c r="P169">
        <v>4</v>
      </c>
      <c r="Q169">
        <v>210.613564900006</v>
      </c>
      <c r="V169">
        <v>210.60383570002099</v>
      </c>
      <c r="W169">
        <v>210.613564900006</v>
      </c>
      <c r="X169">
        <v>211.114141800033</v>
      </c>
      <c r="Y169">
        <v>211.114141800033</v>
      </c>
      <c r="Z169">
        <v>211.114141800033</v>
      </c>
      <c r="AA169">
        <v>212.06676620000499</v>
      </c>
      <c r="AB169" t="s">
        <v>63</v>
      </c>
      <c r="AC169">
        <v>1</v>
      </c>
      <c r="AD169">
        <v>0.94023040001047697</v>
      </c>
      <c r="AE169" t="s">
        <v>51</v>
      </c>
      <c r="AI169">
        <v>5</v>
      </c>
      <c r="AJ169">
        <v>1</v>
      </c>
      <c r="AK169" t="s">
        <v>87</v>
      </c>
      <c r="AL169" t="s">
        <v>43</v>
      </c>
      <c r="AN169" t="s">
        <v>44</v>
      </c>
      <c r="AO169">
        <v>60.129904655169099</v>
      </c>
      <c r="AP169" t="s">
        <v>88</v>
      </c>
    </row>
    <row r="170" spans="1:42" x14ac:dyDescent="0.3">
      <c r="A170" t="s">
        <v>75</v>
      </c>
      <c r="B170" t="s">
        <v>47</v>
      </c>
      <c r="C170" t="s">
        <v>61</v>
      </c>
      <c r="D170" t="s">
        <v>49</v>
      </c>
      <c r="E170" t="s">
        <v>63</v>
      </c>
      <c r="F170">
        <v>167</v>
      </c>
      <c r="G170">
        <v>7</v>
      </c>
      <c r="H170">
        <v>8</v>
      </c>
      <c r="I170" t="s">
        <v>63</v>
      </c>
      <c r="J170">
        <v>1</v>
      </c>
      <c r="K170">
        <v>0.46775650000199598</v>
      </c>
      <c r="L170" t="s">
        <v>51</v>
      </c>
      <c r="M170">
        <v>8</v>
      </c>
      <c r="N170">
        <v>7</v>
      </c>
      <c r="O170">
        <v>167</v>
      </c>
      <c r="P170">
        <v>16</v>
      </c>
      <c r="Q170">
        <v>212.079330899985</v>
      </c>
      <c r="V170">
        <v>212.069646999996</v>
      </c>
      <c r="W170">
        <v>212.079330899985</v>
      </c>
      <c r="X170">
        <v>212.580151500005</v>
      </c>
      <c r="Y170">
        <v>212.580151500005</v>
      </c>
      <c r="Z170">
        <v>212.580151500005</v>
      </c>
      <c r="AA170">
        <v>213.05000640003701</v>
      </c>
      <c r="AB170" t="s">
        <v>63</v>
      </c>
      <c r="AC170">
        <v>1</v>
      </c>
      <c r="AD170">
        <v>0.46775650000199598</v>
      </c>
      <c r="AE170" t="s">
        <v>51</v>
      </c>
      <c r="AI170">
        <v>5</v>
      </c>
      <c r="AJ170">
        <v>1</v>
      </c>
      <c r="AK170" t="s">
        <v>87</v>
      </c>
      <c r="AL170" t="s">
        <v>43</v>
      </c>
      <c r="AN170" t="s">
        <v>44</v>
      </c>
      <c r="AO170">
        <v>60.129904655169099</v>
      </c>
      <c r="AP170" t="s">
        <v>88</v>
      </c>
    </row>
    <row r="171" spans="1:42" x14ac:dyDescent="0.3">
      <c r="A171" t="s">
        <v>66</v>
      </c>
      <c r="B171" t="s">
        <v>47</v>
      </c>
      <c r="C171" t="s">
        <v>61</v>
      </c>
      <c r="D171" t="s">
        <v>49</v>
      </c>
      <c r="E171" t="s">
        <v>63</v>
      </c>
      <c r="F171">
        <v>168</v>
      </c>
      <c r="G171">
        <v>8</v>
      </c>
      <c r="H171">
        <v>8</v>
      </c>
      <c r="I171" t="s">
        <v>63</v>
      </c>
      <c r="J171">
        <v>1</v>
      </c>
      <c r="K171">
        <v>0.38455979997524897</v>
      </c>
      <c r="L171" t="s">
        <v>51</v>
      </c>
      <c r="M171">
        <v>8</v>
      </c>
      <c r="N171">
        <v>8</v>
      </c>
      <c r="O171">
        <v>168</v>
      </c>
      <c r="P171">
        <v>12</v>
      </c>
      <c r="Q171">
        <v>213.06242189998699</v>
      </c>
      <c r="V171">
        <v>213.05265329999301</v>
      </c>
      <c r="W171">
        <v>213.06242189998699</v>
      </c>
      <c r="X171">
        <v>213.562658000038</v>
      </c>
      <c r="Y171">
        <v>213.562658000038</v>
      </c>
      <c r="Z171">
        <v>213.562658000038</v>
      </c>
      <c r="AA171">
        <v>213.950121200003</v>
      </c>
      <c r="AB171" t="s">
        <v>63</v>
      </c>
      <c r="AC171">
        <v>1</v>
      </c>
      <c r="AD171">
        <v>0.38455979997524897</v>
      </c>
      <c r="AE171" t="s">
        <v>51</v>
      </c>
      <c r="AI171">
        <v>5</v>
      </c>
      <c r="AJ171">
        <v>1</v>
      </c>
      <c r="AK171" t="s">
        <v>87</v>
      </c>
      <c r="AL171" t="s">
        <v>43</v>
      </c>
      <c r="AN171" t="s">
        <v>44</v>
      </c>
      <c r="AO171">
        <v>60.129904655169099</v>
      </c>
      <c r="AP171" t="s">
        <v>88</v>
      </c>
    </row>
    <row r="172" spans="1:42" x14ac:dyDescent="0.3">
      <c r="A172" t="s">
        <v>52</v>
      </c>
      <c r="B172" t="s">
        <v>47</v>
      </c>
      <c r="C172" t="s">
        <v>53</v>
      </c>
      <c r="D172" t="s">
        <v>49</v>
      </c>
      <c r="E172" t="s">
        <v>54</v>
      </c>
      <c r="F172">
        <v>169</v>
      </c>
      <c r="G172">
        <v>9</v>
      </c>
      <c r="H172">
        <v>8</v>
      </c>
      <c r="I172" t="s">
        <v>54</v>
      </c>
      <c r="J172">
        <v>1</v>
      </c>
      <c r="K172">
        <v>0.99489399994490602</v>
      </c>
      <c r="L172" t="s">
        <v>51</v>
      </c>
      <c r="M172">
        <v>8</v>
      </c>
      <c r="N172">
        <v>9</v>
      </c>
      <c r="O172">
        <v>169</v>
      </c>
      <c r="P172">
        <v>14</v>
      </c>
      <c r="Q172">
        <v>213.96254320000199</v>
      </c>
      <c r="V172">
        <v>213.95354080002201</v>
      </c>
      <c r="W172">
        <v>213.96254320000199</v>
      </c>
      <c r="X172">
        <v>214.46222710004</v>
      </c>
      <c r="Y172">
        <v>214.46222710004</v>
      </c>
      <c r="Z172">
        <v>214.46222710004</v>
      </c>
      <c r="AA172">
        <v>215.465498999983</v>
      </c>
      <c r="AB172" t="s">
        <v>54</v>
      </c>
      <c r="AC172">
        <v>1</v>
      </c>
      <c r="AD172">
        <v>0.99489399994490602</v>
      </c>
      <c r="AE172" t="s">
        <v>51</v>
      </c>
      <c r="AI172">
        <v>5</v>
      </c>
      <c r="AJ172">
        <v>1</v>
      </c>
      <c r="AK172" t="s">
        <v>87</v>
      </c>
      <c r="AL172" t="s">
        <v>43</v>
      </c>
      <c r="AN172" t="s">
        <v>44</v>
      </c>
      <c r="AO172">
        <v>60.129904655169099</v>
      </c>
      <c r="AP172" t="s">
        <v>88</v>
      </c>
    </row>
    <row r="173" spans="1:42" x14ac:dyDescent="0.3">
      <c r="A173" t="s">
        <v>67</v>
      </c>
      <c r="B173" t="s">
        <v>47</v>
      </c>
      <c r="C173" t="s">
        <v>53</v>
      </c>
      <c r="D173" t="s">
        <v>49</v>
      </c>
      <c r="E173" t="s">
        <v>54</v>
      </c>
      <c r="F173">
        <v>170</v>
      </c>
      <c r="G173">
        <v>10</v>
      </c>
      <c r="H173">
        <v>8</v>
      </c>
      <c r="I173" t="s">
        <v>54</v>
      </c>
      <c r="J173">
        <v>1</v>
      </c>
      <c r="K173">
        <v>0.551972299988847</v>
      </c>
      <c r="L173" t="s">
        <v>51</v>
      </c>
      <c r="M173">
        <v>8</v>
      </c>
      <c r="N173">
        <v>10</v>
      </c>
      <c r="O173">
        <v>170</v>
      </c>
      <c r="P173">
        <v>10</v>
      </c>
      <c r="Q173">
        <v>215.479381000041</v>
      </c>
      <c r="V173">
        <v>215.468161600001</v>
      </c>
      <c r="W173">
        <v>215.479381000041</v>
      </c>
      <c r="X173">
        <v>215.979313799995</v>
      </c>
      <c r="Y173">
        <v>215.979313799995</v>
      </c>
      <c r="Z173">
        <v>215.979313799995</v>
      </c>
      <c r="AA173">
        <v>216.53318860003401</v>
      </c>
      <c r="AB173" t="s">
        <v>54</v>
      </c>
      <c r="AC173">
        <v>1</v>
      </c>
      <c r="AD173">
        <v>0.551972299988847</v>
      </c>
      <c r="AE173" t="s">
        <v>51</v>
      </c>
      <c r="AI173">
        <v>5</v>
      </c>
      <c r="AJ173">
        <v>1</v>
      </c>
      <c r="AK173" t="s">
        <v>87</v>
      </c>
      <c r="AL173" t="s">
        <v>43</v>
      </c>
      <c r="AN173" t="s">
        <v>44</v>
      </c>
      <c r="AO173">
        <v>60.129904655169099</v>
      </c>
      <c r="AP173" t="s">
        <v>88</v>
      </c>
    </row>
    <row r="174" spans="1:42" x14ac:dyDescent="0.3">
      <c r="A174" t="s">
        <v>64</v>
      </c>
      <c r="B174" t="s">
        <v>47</v>
      </c>
      <c r="C174" t="s">
        <v>53</v>
      </c>
      <c r="D174" t="s">
        <v>49</v>
      </c>
      <c r="E174" t="s">
        <v>54</v>
      </c>
      <c r="F174">
        <v>171</v>
      </c>
      <c r="G174">
        <v>11</v>
      </c>
      <c r="H174">
        <v>8</v>
      </c>
      <c r="I174" t="s">
        <v>54</v>
      </c>
      <c r="J174">
        <v>1</v>
      </c>
      <c r="K174">
        <v>0.43958959996234598</v>
      </c>
      <c r="L174" t="s">
        <v>51</v>
      </c>
      <c r="M174">
        <v>8</v>
      </c>
      <c r="N174">
        <v>11</v>
      </c>
      <c r="O174">
        <v>171</v>
      </c>
      <c r="P174">
        <v>18</v>
      </c>
      <c r="Q174">
        <v>216.54553290002499</v>
      </c>
      <c r="V174">
        <v>216.53641180001401</v>
      </c>
      <c r="W174">
        <v>216.54553290002499</v>
      </c>
      <c r="X174">
        <v>217.04547300003401</v>
      </c>
      <c r="Y174">
        <v>217.04547300003401</v>
      </c>
      <c r="Z174">
        <v>217.04547300003401</v>
      </c>
      <c r="AA174">
        <v>217.500350599992</v>
      </c>
      <c r="AB174" t="s">
        <v>54</v>
      </c>
      <c r="AC174">
        <v>1</v>
      </c>
      <c r="AD174">
        <v>0.43958959996234598</v>
      </c>
      <c r="AE174" t="s">
        <v>51</v>
      </c>
      <c r="AI174">
        <v>5</v>
      </c>
      <c r="AJ174">
        <v>1</v>
      </c>
      <c r="AK174" t="s">
        <v>87</v>
      </c>
      <c r="AL174" t="s">
        <v>43</v>
      </c>
      <c r="AN174" t="s">
        <v>44</v>
      </c>
      <c r="AO174">
        <v>60.129904655169099</v>
      </c>
      <c r="AP174" t="s">
        <v>88</v>
      </c>
    </row>
    <row r="175" spans="1:42" x14ac:dyDescent="0.3">
      <c r="A175" t="s">
        <v>72</v>
      </c>
      <c r="B175" t="s">
        <v>59</v>
      </c>
      <c r="C175" t="s">
        <v>61</v>
      </c>
      <c r="D175" t="s">
        <v>62</v>
      </c>
      <c r="E175" t="s">
        <v>63</v>
      </c>
      <c r="F175">
        <v>172</v>
      </c>
      <c r="G175">
        <v>12</v>
      </c>
      <c r="H175">
        <v>8</v>
      </c>
      <c r="I175" t="s">
        <v>63</v>
      </c>
      <c r="J175">
        <v>1</v>
      </c>
      <c r="K175">
        <v>0.66896570002427302</v>
      </c>
      <c r="L175" t="s">
        <v>51</v>
      </c>
      <c r="M175">
        <v>8</v>
      </c>
      <c r="N175">
        <v>12</v>
      </c>
      <c r="O175">
        <v>172</v>
      </c>
      <c r="P175">
        <v>8</v>
      </c>
      <c r="Q175">
        <v>217.512925899995</v>
      </c>
      <c r="V175">
        <v>217.502949699992</v>
      </c>
      <c r="W175">
        <v>217.512925899995</v>
      </c>
      <c r="X175">
        <v>218.012069499993</v>
      </c>
      <c r="Y175">
        <v>218.012069499993</v>
      </c>
      <c r="Z175">
        <v>218.012069499993</v>
      </c>
      <c r="AA175">
        <v>218.68262139998799</v>
      </c>
      <c r="AB175" t="s">
        <v>63</v>
      </c>
      <c r="AC175">
        <v>1</v>
      </c>
      <c r="AD175">
        <v>0.66896570002427302</v>
      </c>
      <c r="AE175" t="s">
        <v>51</v>
      </c>
      <c r="AI175">
        <v>5</v>
      </c>
      <c r="AJ175">
        <v>1</v>
      </c>
      <c r="AK175" t="s">
        <v>87</v>
      </c>
      <c r="AL175" t="s">
        <v>43</v>
      </c>
      <c r="AN175" t="s">
        <v>44</v>
      </c>
      <c r="AO175">
        <v>60.129904655169099</v>
      </c>
      <c r="AP175" t="s">
        <v>88</v>
      </c>
    </row>
    <row r="176" spans="1:42" x14ac:dyDescent="0.3">
      <c r="A176" t="s">
        <v>73</v>
      </c>
      <c r="B176" t="s">
        <v>59</v>
      </c>
      <c r="C176" t="s">
        <v>56</v>
      </c>
      <c r="D176" t="s">
        <v>49</v>
      </c>
      <c r="E176" t="s">
        <v>57</v>
      </c>
      <c r="F176">
        <v>173</v>
      </c>
      <c r="G176">
        <v>13</v>
      </c>
      <c r="H176">
        <v>8</v>
      </c>
      <c r="I176" t="s">
        <v>57</v>
      </c>
      <c r="J176">
        <v>1</v>
      </c>
      <c r="K176">
        <v>0.63075379998190295</v>
      </c>
      <c r="L176" t="s">
        <v>51</v>
      </c>
      <c r="M176">
        <v>8</v>
      </c>
      <c r="N176">
        <v>13</v>
      </c>
      <c r="O176">
        <v>173</v>
      </c>
      <c r="P176">
        <v>1</v>
      </c>
      <c r="Q176">
        <v>218.69599269999799</v>
      </c>
      <c r="V176">
        <v>218.685668300022</v>
      </c>
      <c r="W176">
        <v>218.69599269999799</v>
      </c>
      <c r="X176">
        <v>219.19563520001199</v>
      </c>
      <c r="Y176">
        <v>219.19563520001199</v>
      </c>
      <c r="Z176">
        <v>219.19563520001199</v>
      </c>
      <c r="AA176">
        <v>219.83312160003601</v>
      </c>
      <c r="AB176" t="s">
        <v>57</v>
      </c>
      <c r="AC176">
        <v>1</v>
      </c>
      <c r="AD176">
        <v>0.63075379998190295</v>
      </c>
      <c r="AE176" t="s">
        <v>51</v>
      </c>
      <c r="AI176">
        <v>5</v>
      </c>
      <c r="AJ176">
        <v>1</v>
      </c>
      <c r="AK176" t="s">
        <v>87</v>
      </c>
      <c r="AL176" t="s">
        <v>43</v>
      </c>
      <c r="AN176" t="s">
        <v>44</v>
      </c>
      <c r="AO176">
        <v>60.129904655169099</v>
      </c>
      <c r="AP176" t="s">
        <v>88</v>
      </c>
    </row>
    <row r="177" spans="1:42" x14ac:dyDescent="0.3">
      <c r="A177" t="s">
        <v>46</v>
      </c>
      <c r="B177" t="s">
        <v>47</v>
      </c>
      <c r="C177" t="s">
        <v>48</v>
      </c>
      <c r="D177" t="s">
        <v>49</v>
      </c>
      <c r="E177" t="s">
        <v>50</v>
      </c>
      <c r="F177">
        <v>174</v>
      </c>
      <c r="G177">
        <v>14</v>
      </c>
      <c r="H177">
        <v>8</v>
      </c>
      <c r="I177" t="s">
        <v>50</v>
      </c>
      <c r="J177">
        <v>1</v>
      </c>
      <c r="K177">
        <v>1.0494894000003101</v>
      </c>
      <c r="L177" t="s">
        <v>51</v>
      </c>
      <c r="M177">
        <v>8</v>
      </c>
      <c r="N177">
        <v>14</v>
      </c>
      <c r="O177">
        <v>174</v>
      </c>
      <c r="P177">
        <v>19</v>
      </c>
      <c r="Q177">
        <v>219.84566560003401</v>
      </c>
      <c r="V177">
        <v>219.83569949999199</v>
      </c>
      <c r="W177">
        <v>219.84566560003401</v>
      </c>
      <c r="X177">
        <v>220.34570770000499</v>
      </c>
      <c r="Y177">
        <v>220.34570770000499</v>
      </c>
      <c r="Z177">
        <v>220.34570770000499</v>
      </c>
      <c r="AA177">
        <v>221.3998594</v>
      </c>
      <c r="AB177" t="s">
        <v>50</v>
      </c>
      <c r="AC177">
        <v>1</v>
      </c>
      <c r="AD177">
        <v>1.0494894000003101</v>
      </c>
      <c r="AE177" t="s">
        <v>51</v>
      </c>
      <c r="AI177">
        <v>5</v>
      </c>
      <c r="AJ177">
        <v>1</v>
      </c>
      <c r="AK177" t="s">
        <v>87</v>
      </c>
      <c r="AL177" t="s">
        <v>43</v>
      </c>
      <c r="AN177" t="s">
        <v>44</v>
      </c>
      <c r="AO177">
        <v>60.129904655169099</v>
      </c>
      <c r="AP177" t="s">
        <v>88</v>
      </c>
    </row>
    <row r="178" spans="1:42" x14ac:dyDescent="0.3">
      <c r="A178" t="s">
        <v>69</v>
      </c>
      <c r="B178" t="s">
        <v>59</v>
      </c>
      <c r="C178" t="s">
        <v>56</v>
      </c>
      <c r="D178" t="s">
        <v>49</v>
      </c>
      <c r="E178" t="s">
        <v>57</v>
      </c>
      <c r="F178">
        <v>175</v>
      </c>
      <c r="G178">
        <v>15</v>
      </c>
      <c r="H178">
        <v>8</v>
      </c>
      <c r="I178" t="s">
        <v>57</v>
      </c>
      <c r="J178">
        <v>1</v>
      </c>
      <c r="K178">
        <v>1.17555129999527</v>
      </c>
      <c r="L178" t="s">
        <v>51</v>
      </c>
      <c r="M178">
        <v>8</v>
      </c>
      <c r="N178">
        <v>15</v>
      </c>
      <c r="O178">
        <v>175</v>
      </c>
      <c r="P178">
        <v>5</v>
      </c>
      <c r="Q178">
        <v>221.412518500001</v>
      </c>
      <c r="V178">
        <v>221.40243220003299</v>
      </c>
      <c r="W178">
        <v>221.412518500001</v>
      </c>
      <c r="X178">
        <v>221.91163650003699</v>
      </c>
      <c r="Y178">
        <v>221.91163650003699</v>
      </c>
      <c r="Z178">
        <v>221.91163650003699</v>
      </c>
      <c r="AA178">
        <v>223.09931990003599</v>
      </c>
      <c r="AB178" t="s">
        <v>57</v>
      </c>
      <c r="AC178">
        <v>1</v>
      </c>
      <c r="AD178">
        <v>1.17555129999527</v>
      </c>
      <c r="AE178" t="s">
        <v>51</v>
      </c>
      <c r="AI178">
        <v>5</v>
      </c>
      <c r="AJ178">
        <v>1</v>
      </c>
      <c r="AK178" t="s">
        <v>87</v>
      </c>
      <c r="AL178" t="s">
        <v>43</v>
      </c>
      <c r="AN178" t="s">
        <v>44</v>
      </c>
      <c r="AO178">
        <v>60.129904655169099</v>
      </c>
      <c r="AP178" t="s">
        <v>88</v>
      </c>
    </row>
    <row r="179" spans="1:42" x14ac:dyDescent="0.3">
      <c r="A179" t="s">
        <v>78</v>
      </c>
      <c r="B179" t="s">
        <v>47</v>
      </c>
      <c r="C179" t="s">
        <v>56</v>
      </c>
      <c r="D179" t="s">
        <v>49</v>
      </c>
      <c r="E179" t="s">
        <v>57</v>
      </c>
      <c r="F179">
        <v>176</v>
      </c>
      <c r="G179">
        <v>16</v>
      </c>
      <c r="H179">
        <v>8</v>
      </c>
      <c r="I179" t="s">
        <v>57</v>
      </c>
      <c r="J179">
        <v>1</v>
      </c>
      <c r="K179">
        <v>0.50983330002054505</v>
      </c>
      <c r="L179" t="s">
        <v>51</v>
      </c>
      <c r="M179">
        <v>8</v>
      </c>
      <c r="N179">
        <v>16</v>
      </c>
      <c r="O179">
        <v>176</v>
      </c>
      <c r="P179">
        <v>17</v>
      </c>
      <c r="Q179">
        <v>223.11186539998701</v>
      </c>
      <c r="V179">
        <v>223.10176099999799</v>
      </c>
      <c r="W179">
        <v>223.11186539998701</v>
      </c>
      <c r="X179">
        <v>223.61236920004001</v>
      </c>
      <c r="Y179">
        <v>223.61236920004001</v>
      </c>
      <c r="Z179">
        <v>223.61236920004001</v>
      </c>
      <c r="AA179">
        <v>224.13336810003901</v>
      </c>
      <c r="AB179" t="s">
        <v>57</v>
      </c>
      <c r="AC179">
        <v>1</v>
      </c>
      <c r="AD179">
        <v>0.50983330002054505</v>
      </c>
      <c r="AE179" t="s">
        <v>51</v>
      </c>
      <c r="AI179">
        <v>5</v>
      </c>
      <c r="AJ179">
        <v>1</v>
      </c>
      <c r="AK179" t="s">
        <v>87</v>
      </c>
      <c r="AL179" t="s">
        <v>43</v>
      </c>
      <c r="AN179" t="s">
        <v>44</v>
      </c>
      <c r="AO179">
        <v>60.129904655169099</v>
      </c>
      <c r="AP179" t="s">
        <v>88</v>
      </c>
    </row>
    <row r="180" spans="1:42" x14ac:dyDescent="0.3">
      <c r="A180" t="s">
        <v>60</v>
      </c>
      <c r="B180" t="s">
        <v>59</v>
      </c>
      <c r="C180" t="s">
        <v>61</v>
      </c>
      <c r="D180" t="s">
        <v>62</v>
      </c>
      <c r="E180" t="s">
        <v>63</v>
      </c>
      <c r="F180">
        <v>177</v>
      </c>
      <c r="G180">
        <v>17</v>
      </c>
      <c r="H180">
        <v>8</v>
      </c>
      <c r="I180" t="s">
        <v>63</v>
      </c>
      <c r="J180">
        <v>1</v>
      </c>
      <c r="K180">
        <v>0.94502719998126805</v>
      </c>
      <c r="L180" t="s">
        <v>51</v>
      </c>
      <c r="M180">
        <v>8</v>
      </c>
      <c r="N180">
        <v>17</v>
      </c>
      <c r="O180">
        <v>177</v>
      </c>
      <c r="P180">
        <v>0</v>
      </c>
      <c r="Q180">
        <v>224.145272099995</v>
      </c>
      <c r="V180">
        <v>224.13667420000999</v>
      </c>
      <c r="W180">
        <v>224.145272099995</v>
      </c>
      <c r="X180">
        <v>224.64576889999401</v>
      </c>
      <c r="Y180">
        <v>224.64576889999401</v>
      </c>
      <c r="Z180">
        <v>224.64576889999401</v>
      </c>
      <c r="AA180">
        <v>225.59932839998501</v>
      </c>
      <c r="AB180" t="s">
        <v>63</v>
      </c>
      <c r="AC180">
        <v>1</v>
      </c>
      <c r="AD180">
        <v>0.94502719998126805</v>
      </c>
      <c r="AE180" t="s">
        <v>51</v>
      </c>
      <c r="AI180">
        <v>5</v>
      </c>
      <c r="AJ180">
        <v>1</v>
      </c>
      <c r="AK180" t="s">
        <v>87</v>
      </c>
      <c r="AL180" t="s">
        <v>43</v>
      </c>
      <c r="AN180" t="s">
        <v>44</v>
      </c>
      <c r="AO180">
        <v>60.129904655169099</v>
      </c>
      <c r="AP180" t="s">
        <v>88</v>
      </c>
    </row>
    <row r="181" spans="1:42" x14ac:dyDescent="0.3">
      <c r="A181" t="s">
        <v>55</v>
      </c>
      <c r="B181" t="s">
        <v>47</v>
      </c>
      <c r="C181" t="s">
        <v>56</v>
      </c>
      <c r="D181" t="s">
        <v>49</v>
      </c>
      <c r="E181" t="s">
        <v>57</v>
      </c>
      <c r="F181">
        <v>178</v>
      </c>
      <c r="G181">
        <v>18</v>
      </c>
      <c r="H181">
        <v>8</v>
      </c>
      <c r="I181" t="s">
        <v>57</v>
      </c>
      <c r="J181">
        <v>1</v>
      </c>
      <c r="K181">
        <v>0.59976350003853396</v>
      </c>
      <c r="L181" t="s">
        <v>51</v>
      </c>
      <c r="M181">
        <v>8</v>
      </c>
      <c r="N181">
        <v>18</v>
      </c>
      <c r="O181">
        <v>178</v>
      </c>
      <c r="P181">
        <v>13</v>
      </c>
      <c r="Q181">
        <v>225.61229499999899</v>
      </c>
      <c r="V181">
        <v>225.60188100003799</v>
      </c>
      <c r="W181">
        <v>225.61229499999899</v>
      </c>
      <c r="X181">
        <v>226.11255770002001</v>
      </c>
      <c r="Y181">
        <v>226.11255770002001</v>
      </c>
      <c r="Z181">
        <v>226.11255770002001</v>
      </c>
      <c r="AA181">
        <v>226.71641490003</v>
      </c>
      <c r="AB181" t="s">
        <v>57</v>
      </c>
      <c r="AC181">
        <v>1</v>
      </c>
      <c r="AD181">
        <v>0.59976350003853396</v>
      </c>
      <c r="AE181" t="s">
        <v>51</v>
      </c>
      <c r="AI181">
        <v>5</v>
      </c>
      <c r="AJ181">
        <v>1</v>
      </c>
      <c r="AK181" t="s">
        <v>87</v>
      </c>
      <c r="AL181" t="s">
        <v>43</v>
      </c>
      <c r="AN181" t="s">
        <v>44</v>
      </c>
      <c r="AO181">
        <v>60.129904655169099</v>
      </c>
      <c r="AP181" t="s">
        <v>88</v>
      </c>
    </row>
    <row r="182" spans="1:42" x14ac:dyDescent="0.3">
      <c r="A182" t="s">
        <v>71</v>
      </c>
      <c r="B182" t="s">
        <v>47</v>
      </c>
      <c r="C182" t="s">
        <v>48</v>
      </c>
      <c r="D182" t="s">
        <v>49</v>
      </c>
      <c r="E182" t="s">
        <v>50</v>
      </c>
      <c r="F182">
        <v>179</v>
      </c>
      <c r="G182">
        <v>19</v>
      </c>
      <c r="H182">
        <v>8</v>
      </c>
      <c r="I182" t="s">
        <v>50</v>
      </c>
      <c r="J182">
        <v>1</v>
      </c>
      <c r="K182">
        <v>0.84654729999601797</v>
      </c>
      <c r="L182" t="s">
        <v>51</v>
      </c>
      <c r="M182">
        <v>8</v>
      </c>
      <c r="N182">
        <v>19</v>
      </c>
      <c r="O182">
        <v>179</v>
      </c>
      <c r="P182">
        <v>15</v>
      </c>
      <c r="Q182">
        <v>226.728927200019</v>
      </c>
      <c r="V182">
        <v>226.71928740001701</v>
      </c>
      <c r="W182">
        <v>226.728927200019</v>
      </c>
      <c r="X182">
        <v>227.22893550002399</v>
      </c>
      <c r="Y182">
        <v>227.22893550002399</v>
      </c>
      <c r="Z182">
        <v>227.22893550002399</v>
      </c>
      <c r="AA182">
        <v>228.08288030000401</v>
      </c>
      <c r="AB182" t="s">
        <v>50</v>
      </c>
      <c r="AC182">
        <v>1</v>
      </c>
      <c r="AD182">
        <v>0.84654729999601797</v>
      </c>
      <c r="AE182" t="s">
        <v>51</v>
      </c>
      <c r="AI182">
        <v>5</v>
      </c>
      <c r="AJ182">
        <v>1</v>
      </c>
      <c r="AK182" t="s">
        <v>87</v>
      </c>
      <c r="AL182" t="s">
        <v>43</v>
      </c>
      <c r="AN182" t="s">
        <v>44</v>
      </c>
      <c r="AO182">
        <v>60.129904655169099</v>
      </c>
      <c r="AP182" t="s">
        <v>88</v>
      </c>
    </row>
    <row r="183" spans="1:42" x14ac:dyDescent="0.3">
      <c r="A183" t="s">
        <v>66</v>
      </c>
      <c r="B183" t="s">
        <v>47</v>
      </c>
      <c r="C183" t="s">
        <v>61</v>
      </c>
      <c r="D183" t="s">
        <v>49</v>
      </c>
      <c r="E183" t="s">
        <v>63</v>
      </c>
      <c r="F183">
        <v>180</v>
      </c>
      <c r="G183">
        <v>0</v>
      </c>
      <c r="H183">
        <v>9</v>
      </c>
      <c r="I183" t="s">
        <v>63</v>
      </c>
      <c r="J183">
        <v>1</v>
      </c>
      <c r="K183">
        <v>0.66080370004055999</v>
      </c>
      <c r="L183" t="s">
        <v>51</v>
      </c>
      <c r="M183">
        <v>9</v>
      </c>
      <c r="N183">
        <v>0</v>
      </c>
      <c r="O183">
        <v>180</v>
      </c>
      <c r="P183">
        <v>12</v>
      </c>
      <c r="Q183">
        <v>228.095024999987</v>
      </c>
      <c r="V183">
        <v>228.08633339998701</v>
      </c>
      <c r="W183">
        <v>228.095024999987</v>
      </c>
      <c r="X183">
        <v>228.59522030001901</v>
      </c>
      <c r="Y183">
        <v>228.59522030001901</v>
      </c>
      <c r="Z183">
        <v>228.59522030001901</v>
      </c>
      <c r="AA183">
        <v>229.26468800002399</v>
      </c>
      <c r="AB183" t="s">
        <v>63</v>
      </c>
      <c r="AC183">
        <v>1</v>
      </c>
      <c r="AD183">
        <v>0.66080370004055999</v>
      </c>
      <c r="AE183" t="s">
        <v>51</v>
      </c>
      <c r="AI183">
        <v>5</v>
      </c>
      <c r="AJ183">
        <v>1</v>
      </c>
      <c r="AK183" t="s">
        <v>87</v>
      </c>
      <c r="AL183" t="s">
        <v>43</v>
      </c>
      <c r="AN183" t="s">
        <v>44</v>
      </c>
      <c r="AO183">
        <v>60.129904655169099</v>
      </c>
      <c r="AP183" t="s">
        <v>88</v>
      </c>
    </row>
    <row r="184" spans="1:42" x14ac:dyDescent="0.3">
      <c r="A184" t="s">
        <v>72</v>
      </c>
      <c r="B184" t="s">
        <v>59</v>
      </c>
      <c r="C184" t="s">
        <v>61</v>
      </c>
      <c r="D184" t="s">
        <v>62</v>
      </c>
      <c r="E184" t="s">
        <v>63</v>
      </c>
      <c r="F184">
        <v>181</v>
      </c>
      <c r="G184">
        <v>1</v>
      </c>
      <c r="H184">
        <v>9</v>
      </c>
      <c r="I184" t="s">
        <v>63</v>
      </c>
      <c r="J184">
        <v>1</v>
      </c>
      <c r="K184">
        <v>0.441352499998174</v>
      </c>
      <c r="L184" t="s">
        <v>51</v>
      </c>
      <c r="M184">
        <v>9</v>
      </c>
      <c r="N184">
        <v>1</v>
      </c>
      <c r="O184">
        <v>181</v>
      </c>
      <c r="P184">
        <v>8</v>
      </c>
      <c r="Q184">
        <v>229.27912299998499</v>
      </c>
      <c r="V184">
        <v>229.26767860003699</v>
      </c>
      <c r="W184">
        <v>229.27912299998499</v>
      </c>
      <c r="X184">
        <v>229.77873650001101</v>
      </c>
      <c r="Y184">
        <v>229.77873650001101</v>
      </c>
      <c r="Z184">
        <v>229.77873650001101</v>
      </c>
      <c r="AA184">
        <v>230.23353520000799</v>
      </c>
      <c r="AB184" t="s">
        <v>63</v>
      </c>
      <c r="AC184">
        <v>1</v>
      </c>
      <c r="AD184">
        <v>0.441352499998174</v>
      </c>
      <c r="AE184" t="s">
        <v>51</v>
      </c>
      <c r="AI184">
        <v>5</v>
      </c>
      <c r="AJ184">
        <v>1</v>
      </c>
      <c r="AK184" t="s">
        <v>87</v>
      </c>
      <c r="AL184" t="s">
        <v>43</v>
      </c>
      <c r="AN184" t="s">
        <v>44</v>
      </c>
      <c r="AO184">
        <v>60.129904655169099</v>
      </c>
      <c r="AP184" t="s">
        <v>88</v>
      </c>
    </row>
    <row r="185" spans="1:42" x14ac:dyDescent="0.3">
      <c r="A185" t="s">
        <v>77</v>
      </c>
      <c r="B185" t="s">
        <v>59</v>
      </c>
      <c r="C185" t="s">
        <v>61</v>
      </c>
      <c r="D185" t="s">
        <v>62</v>
      </c>
      <c r="E185" t="s">
        <v>63</v>
      </c>
      <c r="F185">
        <v>182</v>
      </c>
      <c r="G185">
        <v>2</v>
      </c>
      <c r="H185">
        <v>9</v>
      </c>
      <c r="I185" t="s">
        <v>63</v>
      </c>
      <c r="J185">
        <v>1</v>
      </c>
      <c r="K185">
        <v>0.498802400019485</v>
      </c>
      <c r="L185" t="s">
        <v>51</v>
      </c>
      <c r="M185">
        <v>9</v>
      </c>
      <c r="N185">
        <v>2</v>
      </c>
      <c r="O185">
        <v>182</v>
      </c>
      <c r="P185">
        <v>4</v>
      </c>
      <c r="Q185">
        <v>230.245804500009</v>
      </c>
      <c r="V185">
        <v>230.23768509999999</v>
      </c>
      <c r="W185">
        <v>230.245804500009</v>
      </c>
      <c r="X185">
        <v>230.74539300001899</v>
      </c>
      <c r="Y185">
        <v>230.74539300001899</v>
      </c>
      <c r="Z185">
        <v>230.74539300001899</v>
      </c>
      <c r="AA185">
        <v>231.24975890002599</v>
      </c>
      <c r="AB185" t="s">
        <v>63</v>
      </c>
      <c r="AC185">
        <v>1</v>
      </c>
      <c r="AD185">
        <v>0.498802400019485</v>
      </c>
      <c r="AE185" t="s">
        <v>51</v>
      </c>
      <c r="AI185">
        <v>5</v>
      </c>
      <c r="AJ185">
        <v>1</v>
      </c>
      <c r="AK185" t="s">
        <v>87</v>
      </c>
      <c r="AL185" t="s">
        <v>43</v>
      </c>
      <c r="AN185" t="s">
        <v>44</v>
      </c>
      <c r="AO185">
        <v>60.129904655169099</v>
      </c>
      <c r="AP185" t="s">
        <v>88</v>
      </c>
    </row>
    <row r="186" spans="1:42" x14ac:dyDescent="0.3">
      <c r="A186" t="s">
        <v>52</v>
      </c>
      <c r="B186" t="s">
        <v>47</v>
      </c>
      <c r="C186" t="s">
        <v>53</v>
      </c>
      <c r="D186" t="s">
        <v>49</v>
      </c>
      <c r="E186" t="s">
        <v>54</v>
      </c>
      <c r="F186">
        <v>183</v>
      </c>
      <c r="G186">
        <v>3</v>
      </c>
      <c r="H186">
        <v>9</v>
      </c>
      <c r="I186" t="s">
        <v>50</v>
      </c>
      <c r="J186">
        <v>0</v>
      </c>
      <c r="K186">
        <v>0.65441519999876596</v>
      </c>
      <c r="L186" t="s">
        <v>51</v>
      </c>
      <c r="M186">
        <v>9</v>
      </c>
      <c r="N186">
        <v>3</v>
      </c>
      <c r="O186">
        <v>183</v>
      </c>
      <c r="P186">
        <v>14</v>
      </c>
      <c r="Q186">
        <v>231.26162160001601</v>
      </c>
      <c r="V186">
        <v>231.252562500012</v>
      </c>
      <c r="W186">
        <v>231.26162160001601</v>
      </c>
      <c r="X186">
        <v>231.76203750004001</v>
      </c>
      <c r="Y186">
        <v>231.76203750004001</v>
      </c>
      <c r="Z186">
        <v>231.76203750004001</v>
      </c>
      <c r="AA186">
        <v>232.43238529999499</v>
      </c>
      <c r="AB186" t="s">
        <v>50</v>
      </c>
      <c r="AC186">
        <v>0</v>
      </c>
      <c r="AD186">
        <v>0.65441519999876596</v>
      </c>
      <c r="AE186" t="s">
        <v>51</v>
      </c>
      <c r="AI186">
        <v>5</v>
      </c>
      <c r="AJ186">
        <v>1</v>
      </c>
      <c r="AK186" t="s">
        <v>87</v>
      </c>
      <c r="AL186" t="s">
        <v>43</v>
      </c>
      <c r="AN186" t="s">
        <v>44</v>
      </c>
      <c r="AO186">
        <v>60.129904655169099</v>
      </c>
      <c r="AP186" t="s">
        <v>88</v>
      </c>
    </row>
    <row r="187" spans="1:42" x14ac:dyDescent="0.3">
      <c r="A187" t="s">
        <v>73</v>
      </c>
      <c r="B187" t="s">
        <v>59</v>
      </c>
      <c r="C187" t="s">
        <v>56</v>
      </c>
      <c r="D187" t="s">
        <v>49</v>
      </c>
      <c r="E187" t="s">
        <v>57</v>
      </c>
      <c r="F187">
        <v>184</v>
      </c>
      <c r="G187">
        <v>4</v>
      </c>
      <c r="H187">
        <v>9</v>
      </c>
      <c r="I187" t="s">
        <v>57</v>
      </c>
      <c r="J187">
        <v>1</v>
      </c>
      <c r="K187">
        <v>0.84700980002526105</v>
      </c>
      <c r="L187" t="s">
        <v>51</v>
      </c>
      <c r="M187">
        <v>9</v>
      </c>
      <c r="N187">
        <v>4</v>
      </c>
      <c r="O187">
        <v>184</v>
      </c>
      <c r="P187">
        <v>1</v>
      </c>
      <c r="Q187">
        <v>232.44499059999299</v>
      </c>
      <c r="V187">
        <v>232.43497820000599</v>
      </c>
      <c r="W187">
        <v>232.44499059999299</v>
      </c>
      <c r="X187">
        <v>232.94484409998401</v>
      </c>
      <c r="Y187">
        <v>232.94484409998401</v>
      </c>
      <c r="Z187">
        <v>232.94484409998401</v>
      </c>
      <c r="AA187">
        <v>233.79931830003599</v>
      </c>
      <c r="AB187" t="s">
        <v>57</v>
      </c>
      <c r="AC187">
        <v>1</v>
      </c>
      <c r="AD187">
        <v>0.84700980002526105</v>
      </c>
      <c r="AE187" t="s">
        <v>51</v>
      </c>
      <c r="AI187">
        <v>5</v>
      </c>
      <c r="AJ187">
        <v>1</v>
      </c>
      <c r="AK187" t="s">
        <v>87</v>
      </c>
      <c r="AL187" t="s">
        <v>43</v>
      </c>
      <c r="AN187" t="s">
        <v>44</v>
      </c>
      <c r="AO187">
        <v>60.129904655169099</v>
      </c>
      <c r="AP187" t="s">
        <v>88</v>
      </c>
    </row>
    <row r="188" spans="1:42" x14ac:dyDescent="0.3">
      <c r="A188" t="s">
        <v>71</v>
      </c>
      <c r="B188" t="s">
        <v>47</v>
      </c>
      <c r="C188" t="s">
        <v>48</v>
      </c>
      <c r="D188" t="s">
        <v>49</v>
      </c>
      <c r="E188" t="s">
        <v>50</v>
      </c>
      <c r="F188">
        <v>185</v>
      </c>
      <c r="G188">
        <v>5</v>
      </c>
      <c r="H188">
        <v>9</v>
      </c>
      <c r="I188" t="s">
        <v>50</v>
      </c>
      <c r="J188">
        <v>1</v>
      </c>
      <c r="K188">
        <v>0.74723259999882397</v>
      </c>
      <c r="L188" t="s">
        <v>51</v>
      </c>
      <c r="M188">
        <v>9</v>
      </c>
      <c r="N188">
        <v>5</v>
      </c>
      <c r="O188">
        <v>185</v>
      </c>
      <c r="P188">
        <v>15</v>
      </c>
      <c r="Q188">
        <v>233.81126460002201</v>
      </c>
      <c r="V188">
        <v>233.80313920002601</v>
      </c>
      <c r="W188">
        <v>233.81126460002201</v>
      </c>
      <c r="X188">
        <v>234.31141040002601</v>
      </c>
      <c r="Y188">
        <v>234.31141040002601</v>
      </c>
      <c r="Z188">
        <v>234.31141040002601</v>
      </c>
      <c r="AA188">
        <v>235.06586410000401</v>
      </c>
      <c r="AB188" t="s">
        <v>50</v>
      </c>
      <c r="AC188">
        <v>1</v>
      </c>
      <c r="AD188">
        <v>0.74723259999882397</v>
      </c>
      <c r="AE188" t="s">
        <v>51</v>
      </c>
      <c r="AI188">
        <v>5</v>
      </c>
      <c r="AJ188">
        <v>1</v>
      </c>
      <c r="AK188" t="s">
        <v>87</v>
      </c>
      <c r="AL188" t="s">
        <v>43</v>
      </c>
      <c r="AN188" t="s">
        <v>44</v>
      </c>
      <c r="AO188">
        <v>60.129904655169099</v>
      </c>
      <c r="AP188" t="s">
        <v>88</v>
      </c>
    </row>
    <row r="189" spans="1:42" x14ac:dyDescent="0.3">
      <c r="A189" t="s">
        <v>78</v>
      </c>
      <c r="B189" t="s">
        <v>47</v>
      </c>
      <c r="C189" t="s">
        <v>56</v>
      </c>
      <c r="D189" t="s">
        <v>49</v>
      </c>
      <c r="E189" t="s">
        <v>57</v>
      </c>
      <c r="F189">
        <v>186</v>
      </c>
      <c r="G189">
        <v>6</v>
      </c>
      <c r="H189">
        <v>9</v>
      </c>
      <c r="I189" t="s">
        <v>57</v>
      </c>
      <c r="J189">
        <v>1</v>
      </c>
      <c r="K189">
        <v>0.69010139995953002</v>
      </c>
      <c r="L189" t="s">
        <v>51</v>
      </c>
      <c r="M189">
        <v>9</v>
      </c>
      <c r="N189">
        <v>6</v>
      </c>
      <c r="O189">
        <v>186</v>
      </c>
      <c r="P189">
        <v>17</v>
      </c>
      <c r="Q189">
        <v>235.07867890002601</v>
      </c>
      <c r="V189">
        <v>235.06826969998599</v>
      </c>
      <c r="W189">
        <v>235.07867890002601</v>
      </c>
      <c r="X189">
        <v>235.57859600003499</v>
      </c>
      <c r="Y189">
        <v>235.57859600003499</v>
      </c>
      <c r="Z189">
        <v>235.57859600003499</v>
      </c>
      <c r="AA189">
        <v>236.28255410003399</v>
      </c>
      <c r="AB189" t="s">
        <v>57</v>
      </c>
      <c r="AC189">
        <v>1</v>
      </c>
      <c r="AD189">
        <v>0.69010139995953002</v>
      </c>
      <c r="AE189" t="s">
        <v>51</v>
      </c>
      <c r="AI189">
        <v>5</v>
      </c>
      <c r="AJ189">
        <v>1</v>
      </c>
      <c r="AK189" t="s">
        <v>87</v>
      </c>
      <c r="AL189" t="s">
        <v>43</v>
      </c>
      <c r="AN189" t="s">
        <v>44</v>
      </c>
      <c r="AO189">
        <v>60.129904655169099</v>
      </c>
      <c r="AP189" t="s">
        <v>88</v>
      </c>
    </row>
    <row r="190" spans="1:42" x14ac:dyDescent="0.3">
      <c r="A190" t="s">
        <v>60</v>
      </c>
      <c r="B190" t="s">
        <v>59</v>
      </c>
      <c r="C190" t="s">
        <v>61</v>
      </c>
      <c r="D190" t="s">
        <v>62</v>
      </c>
      <c r="E190" t="s">
        <v>63</v>
      </c>
      <c r="F190">
        <v>187</v>
      </c>
      <c r="G190">
        <v>7</v>
      </c>
      <c r="H190">
        <v>9</v>
      </c>
      <c r="I190" t="s">
        <v>63</v>
      </c>
      <c r="J190">
        <v>1</v>
      </c>
      <c r="K190">
        <v>0.497337299981154</v>
      </c>
      <c r="L190" t="s">
        <v>51</v>
      </c>
      <c r="M190">
        <v>9</v>
      </c>
      <c r="N190">
        <v>7</v>
      </c>
      <c r="O190">
        <v>187</v>
      </c>
      <c r="P190">
        <v>0</v>
      </c>
      <c r="Q190">
        <v>236.29496640001801</v>
      </c>
      <c r="V190">
        <v>236.285710900032</v>
      </c>
      <c r="W190">
        <v>236.29496640001801</v>
      </c>
      <c r="X190">
        <v>236.79503790003901</v>
      </c>
      <c r="Y190">
        <v>236.79503790003901</v>
      </c>
      <c r="Z190">
        <v>236.79503790003901</v>
      </c>
      <c r="AA190">
        <v>237.298456999997</v>
      </c>
      <c r="AB190" t="s">
        <v>63</v>
      </c>
      <c r="AC190">
        <v>1</v>
      </c>
      <c r="AD190">
        <v>0.497337299981154</v>
      </c>
      <c r="AE190" t="s">
        <v>51</v>
      </c>
      <c r="AI190">
        <v>5</v>
      </c>
      <c r="AJ190">
        <v>1</v>
      </c>
      <c r="AK190" t="s">
        <v>87</v>
      </c>
      <c r="AL190" t="s">
        <v>43</v>
      </c>
      <c r="AN190" t="s">
        <v>44</v>
      </c>
      <c r="AO190">
        <v>60.129904655169099</v>
      </c>
      <c r="AP190" t="s">
        <v>88</v>
      </c>
    </row>
    <row r="191" spans="1:42" x14ac:dyDescent="0.3">
      <c r="A191" t="s">
        <v>74</v>
      </c>
      <c r="B191" t="s">
        <v>47</v>
      </c>
      <c r="C191" t="s">
        <v>48</v>
      </c>
      <c r="D191" t="s">
        <v>49</v>
      </c>
      <c r="E191" t="s">
        <v>50</v>
      </c>
      <c r="F191">
        <v>188</v>
      </c>
      <c r="G191">
        <v>8</v>
      </c>
      <c r="H191">
        <v>9</v>
      </c>
      <c r="I191" t="s">
        <v>50</v>
      </c>
      <c r="J191">
        <v>1</v>
      </c>
      <c r="K191">
        <v>0.67563409998547197</v>
      </c>
      <c r="L191" t="s">
        <v>51</v>
      </c>
      <c r="M191">
        <v>9</v>
      </c>
      <c r="N191">
        <v>8</v>
      </c>
      <c r="O191">
        <v>188</v>
      </c>
      <c r="P191">
        <v>11</v>
      </c>
      <c r="Q191">
        <v>237.31135350000099</v>
      </c>
      <c r="V191">
        <v>237.30111270002001</v>
      </c>
      <c r="W191">
        <v>237.31135350000099</v>
      </c>
      <c r="X191">
        <v>237.812093499989</v>
      </c>
      <c r="Y191">
        <v>237.812093499989</v>
      </c>
      <c r="Z191">
        <v>237.812093499989</v>
      </c>
      <c r="AA191">
        <v>238.49804520001601</v>
      </c>
      <c r="AB191" t="s">
        <v>50</v>
      </c>
      <c r="AC191">
        <v>1</v>
      </c>
      <c r="AD191">
        <v>0.67563409998547197</v>
      </c>
      <c r="AE191" t="s">
        <v>51</v>
      </c>
      <c r="AI191">
        <v>5</v>
      </c>
      <c r="AJ191">
        <v>1</v>
      </c>
      <c r="AK191" t="s">
        <v>87</v>
      </c>
      <c r="AL191" t="s">
        <v>43</v>
      </c>
      <c r="AN191" t="s">
        <v>44</v>
      </c>
      <c r="AO191">
        <v>60.129904655169099</v>
      </c>
      <c r="AP191" t="s">
        <v>88</v>
      </c>
    </row>
    <row r="192" spans="1:42" x14ac:dyDescent="0.3">
      <c r="A192" t="s">
        <v>55</v>
      </c>
      <c r="B192" t="s">
        <v>47</v>
      </c>
      <c r="C192" t="s">
        <v>56</v>
      </c>
      <c r="D192" t="s">
        <v>49</v>
      </c>
      <c r="E192" t="s">
        <v>57</v>
      </c>
      <c r="F192">
        <v>189</v>
      </c>
      <c r="G192">
        <v>9</v>
      </c>
      <c r="H192">
        <v>9</v>
      </c>
      <c r="I192" t="s">
        <v>57</v>
      </c>
      <c r="J192">
        <v>1</v>
      </c>
      <c r="K192">
        <v>0.74757379997754403</v>
      </c>
      <c r="L192" t="s">
        <v>51</v>
      </c>
      <c r="M192">
        <v>9</v>
      </c>
      <c r="N192">
        <v>9</v>
      </c>
      <c r="O192">
        <v>189</v>
      </c>
      <c r="P192">
        <v>13</v>
      </c>
      <c r="Q192">
        <v>238.51157919998499</v>
      </c>
      <c r="V192">
        <v>238.50062300002901</v>
      </c>
      <c r="W192">
        <v>238.51157919998499</v>
      </c>
      <c r="X192">
        <v>239.0118641</v>
      </c>
      <c r="Y192">
        <v>239.0118641</v>
      </c>
      <c r="Z192">
        <v>239.0118641</v>
      </c>
      <c r="AA192">
        <v>239.76547079999</v>
      </c>
      <c r="AB192" t="s">
        <v>57</v>
      </c>
      <c r="AC192">
        <v>1</v>
      </c>
      <c r="AD192">
        <v>0.74757379997754403</v>
      </c>
      <c r="AE192" t="s">
        <v>51</v>
      </c>
      <c r="AI192">
        <v>5</v>
      </c>
      <c r="AJ192">
        <v>1</v>
      </c>
      <c r="AK192" t="s">
        <v>87</v>
      </c>
      <c r="AL192" t="s">
        <v>43</v>
      </c>
      <c r="AN192" t="s">
        <v>44</v>
      </c>
      <c r="AO192">
        <v>60.129904655169099</v>
      </c>
      <c r="AP192" t="s">
        <v>88</v>
      </c>
    </row>
    <row r="193" spans="1:42" x14ac:dyDescent="0.3">
      <c r="A193" t="s">
        <v>75</v>
      </c>
      <c r="B193" t="s">
        <v>47</v>
      </c>
      <c r="C193" t="s">
        <v>61</v>
      </c>
      <c r="D193" t="s">
        <v>49</v>
      </c>
      <c r="E193" t="s">
        <v>63</v>
      </c>
      <c r="F193">
        <v>190</v>
      </c>
      <c r="G193">
        <v>10</v>
      </c>
      <c r="H193">
        <v>9</v>
      </c>
      <c r="I193" t="s">
        <v>63</v>
      </c>
      <c r="J193">
        <v>1</v>
      </c>
      <c r="K193">
        <v>0.97479509998811398</v>
      </c>
      <c r="L193" t="s">
        <v>51</v>
      </c>
      <c r="M193">
        <v>9</v>
      </c>
      <c r="N193">
        <v>10</v>
      </c>
      <c r="O193">
        <v>190</v>
      </c>
      <c r="P193">
        <v>16</v>
      </c>
      <c r="Q193">
        <v>239.77872230001901</v>
      </c>
      <c r="V193">
        <v>239.7682318</v>
      </c>
      <c r="W193">
        <v>239.77872230001901</v>
      </c>
      <c r="X193">
        <v>240.27843060001001</v>
      </c>
      <c r="Y193">
        <v>240.27843060001001</v>
      </c>
      <c r="Z193">
        <v>240.27843060001001</v>
      </c>
      <c r="AA193">
        <v>241.26520210003901</v>
      </c>
      <c r="AB193" t="s">
        <v>63</v>
      </c>
      <c r="AC193">
        <v>1</v>
      </c>
      <c r="AD193">
        <v>0.97479509998811398</v>
      </c>
      <c r="AE193" t="s">
        <v>51</v>
      </c>
      <c r="AI193">
        <v>5</v>
      </c>
      <c r="AJ193">
        <v>1</v>
      </c>
      <c r="AK193" t="s">
        <v>87</v>
      </c>
      <c r="AL193" t="s">
        <v>43</v>
      </c>
      <c r="AN193" t="s">
        <v>44</v>
      </c>
      <c r="AO193">
        <v>60.129904655169099</v>
      </c>
      <c r="AP193" t="s">
        <v>88</v>
      </c>
    </row>
    <row r="194" spans="1:42" x14ac:dyDescent="0.3">
      <c r="A194" t="s">
        <v>70</v>
      </c>
      <c r="B194" t="s">
        <v>59</v>
      </c>
      <c r="C194" t="s">
        <v>53</v>
      </c>
      <c r="D194" t="s">
        <v>49</v>
      </c>
      <c r="E194" t="s">
        <v>54</v>
      </c>
      <c r="F194">
        <v>191</v>
      </c>
      <c r="G194">
        <v>11</v>
      </c>
      <c r="H194">
        <v>9</v>
      </c>
      <c r="I194" t="s">
        <v>54</v>
      </c>
      <c r="J194">
        <v>1</v>
      </c>
      <c r="K194">
        <v>0.46422379999421498</v>
      </c>
      <c r="L194" t="s">
        <v>51</v>
      </c>
      <c r="M194">
        <v>9</v>
      </c>
      <c r="N194">
        <v>11</v>
      </c>
      <c r="O194">
        <v>191</v>
      </c>
      <c r="P194">
        <v>2</v>
      </c>
      <c r="Q194">
        <v>241.27906070003499</v>
      </c>
      <c r="V194">
        <v>241.26781739998799</v>
      </c>
      <c r="W194">
        <v>241.27906070003499</v>
      </c>
      <c r="X194">
        <v>241.77766240003899</v>
      </c>
      <c r="Y194">
        <v>241.77766240003899</v>
      </c>
      <c r="Z194">
        <v>241.77766240003899</v>
      </c>
      <c r="AA194">
        <v>242.24818709998999</v>
      </c>
      <c r="AB194" t="s">
        <v>54</v>
      </c>
      <c r="AC194">
        <v>1</v>
      </c>
      <c r="AD194">
        <v>0.46422379999421498</v>
      </c>
      <c r="AE194" t="s">
        <v>51</v>
      </c>
      <c r="AI194">
        <v>5</v>
      </c>
      <c r="AJ194">
        <v>1</v>
      </c>
      <c r="AK194" t="s">
        <v>87</v>
      </c>
      <c r="AL194" t="s">
        <v>43</v>
      </c>
      <c r="AN194" t="s">
        <v>44</v>
      </c>
      <c r="AO194">
        <v>60.129904655169099</v>
      </c>
      <c r="AP194" t="s">
        <v>88</v>
      </c>
    </row>
    <row r="195" spans="1:42" x14ac:dyDescent="0.3">
      <c r="A195" t="s">
        <v>68</v>
      </c>
      <c r="B195" t="s">
        <v>59</v>
      </c>
      <c r="C195" t="s">
        <v>53</v>
      </c>
      <c r="D195" t="s">
        <v>49</v>
      </c>
      <c r="E195" t="s">
        <v>54</v>
      </c>
      <c r="F195">
        <v>192</v>
      </c>
      <c r="G195">
        <v>12</v>
      </c>
      <c r="H195">
        <v>9</v>
      </c>
      <c r="I195" t="s">
        <v>54</v>
      </c>
      <c r="J195">
        <v>1</v>
      </c>
      <c r="K195">
        <v>0.408949700009543</v>
      </c>
      <c r="L195" t="s">
        <v>51</v>
      </c>
      <c r="M195">
        <v>9</v>
      </c>
      <c r="N195">
        <v>12</v>
      </c>
      <c r="O195">
        <v>192</v>
      </c>
      <c r="P195">
        <v>6</v>
      </c>
      <c r="Q195">
        <v>242.26106089999601</v>
      </c>
      <c r="V195">
        <v>242.250777000037</v>
      </c>
      <c r="W195">
        <v>242.26106089999601</v>
      </c>
      <c r="X195">
        <v>242.761664999998</v>
      </c>
      <c r="Y195">
        <v>242.761664999998</v>
      </c>
      <c r="Z195">
        <v>242.761664999998</v>
      </c>
      <c r="AA195">
        <v>243.18320710002399</v>
      </c>
      <c r="AB195" t="s">
        <v>54</v>
      </c>
      <c r="AC195">
        <v>1</v>
      </c>
      <c r="AD195">
        <v>0.408949700009543</v>
      </c>
      <c r="AE195" t="s">
        <v>51</v>
      </c>
      <c r="AI195">
        <v>5</v>
      </c>
      <c r="AJ195">
        <v>1</v>
      </c>
      <c r="AK195" t="s">
        <v>87</v>
      </c>
      <c r="AL195" t="s">
        <v>43</v>
      </c>
      <c r="AN195" t="s">
        <v>44</v>
      </c>
      <c r="AO195">
        <v>60.129904655169099</v>
      </c>
      <c r="AP195" t="s">
        <v>88</v>
      </c>
    </row>
    <row r="196" spans="1:42" x14ac:dyDescent="0.3">
      <c r="A196" t="s">
        <v>76</v>
      </c>
      <c r="B196" t="s">
        <v>59</v>
      </c>
      <c r="C196" t="s">
        <v>48</v>
      </c>
      <c r="D196" t="s">
        <v>49</v>
      </c>
      <c r="E196" t="s">
        <v>50</v>
      </c>
      <c r="F196">
        <v>193</v>
      </c>
      <c r="G196">
        <v>13</v>
      </c>
      <c r="H196">
        <v>9</v>
      </c>
      <c r="I196" t="s">
        <v>50</v>
      </c>
      <c r="J196">
        <v>1</v>
      </c>
      <c r="K196">
        <v>0.59620859997812603</v>
      </c>
      <c r="L196" t="s">
        <v>51</v>
      </c>
      <c r="M196">
        <v>9</v>
      </c>
      <c r="N196">
        <v>13</v>
      </c>
      <c r="O196">
        <v>193</v>
      </c>
      <c r="P196">
        <v>3</v>
      </c>
      <c r="Q196">
        <v>243.19485949998401</v>
      </c>
      <c r="V196">
        <v>243.18579570000199</v>
      </c>
      <c r="W196">
        <v>243.19485949998401</v>
      </c>
      <c r="X196">
        <v>243.694229400018</v>
      </c>
      <c r="Y196">
        <v>243.694229400018</v>
      </c>
      <c r="Z196">
        <v>243.694229400018</v>
      </c>
      <c r="AA196">
        <v>244.298722899984</v>
      </c>
      <c r="AB196" t="s">
        <v>50</v>
      </c>
      <c r="AC196">
        <v>1</v>
      </c>
      <c r="AD196">
        <v>0.59620859997812603</v>
      </c>
      <c r="AE196" t="s">
        <v>51</v>
      </c>
      <c r="AI196">
        <v>5</v>
      </c>
      <c r="AJ196">
        <v>1</v>
      </c>
      <c r="AK196" t="s">
        <v>87</v>
      </c>
      <c r="AL196" t="s">
        <v>43</v>
      </c>
      <c r="AN196" t="s">
        <v>44</v>
      </c>
      <c r="AO196">
        <v>60.129904655169099</v>
      </c>
      <c r="AP196" t="s">
        <v>88</v>
      </c>
    </row>
    <row r="197" spans="1:42" x14ac:dyDescent="0.3">
      <c r="A197" t="s">
        <v>46</v>
      </c>
      <c r="B197" t="s">
        <v>47</v>
      </c>
      <c r="C197" t="s">
        <v>48</v>
      </c>
      <c r="D197" t="s">
        <v>49</v>
      </c>
      <c r="E197" t="s">
        <v>50</v>
      </c>
      <c r="F197">
        <v>194</v>
      </c>
      <c r="G197">
        <v>14</v>
      </c>
      <c r="H197">
        <v>9</v>
      </c>
      <c r="I197" t="s">
        <v>50</v>
      </c>
      <c r="J197">
        <v>1</v>
      </c>
      <c r="K197">
        <v>0.89470860001165398</v>
      </c>
      <c r="L197" t="s">
        <v>51</v>
      </c>
      <c r="M197">
        <v>9</v>
      </c>
      <c r="N197">
        <v>14</v>
      </c>
      <c r="O197">
        <v>194</v>
      </c>
      <c r="P197">
        <v>19</v>
      </c>
      <c r="Q197">
        <v>244.31057750002901</v>
      </c>
      <c r="V197">
        <v>244.302482800034</v>
      </c>
      <c r="W197">
        <v>244.31057750002901</v>
      </c>
      <c r="X197">
        <v>244.81148710002799</v>
      </c>
      <c r="Y197">
        <v>244.81148710002799</v>
      </c>
      <c r="Z197">
        <v>244.81148710002799</v>
      </c>
      <c r="AA197">
        <v>245.71437210001699</v>
      </c>
      <c r="AB197" t="s">
        <v>50</v>
      </c>
      <c r="AC197">
        <v>1</v>
      </c>
      <c r="AD197">
        <v>0.89470860001165398</v>
      </c>
      <c r="AE197" t="s">
        <v>51</v>
      </c>
      <c r="AI197">
        <v>5</v>
      </c>
      <c r="AJ197">
        <v>1</v>
      </c>
      <c r="AK197" t="s">
        <v>87</v>
      </c>
      <c r="AL197" t="s">
        <v>43</v>
      </c>
      <c r="AN197" t="s">
        <v>44</v>
      </c>
      <c r="AO197">
        <v>60.129904655169099</v>
      </c>
      <c r="AP197" t="s">
        <v>88</v>
      </c>
    </row>
    <row r="198" spans="1:42" x14ac:dyDescent="0.3">
      <c r="A198" t="s">
        <v>67</v>
      </c>
      <c r="B198" t="s">
        <v>47</v>
      </c>
      <c r="C198" t="s">
        <v>53</v>
      </c>
      <c r="D198" t="s">
        <v>49</v>
      </c>
      <c r="E198" t="s">
        <v>54</v>
      </c>
      <c r="F198">
        <v>195</v>
      </c>
      <c r="G198">
        <v>15</v>
      </c>
      <c r="H198">
        <v>9</v>
      </c>
      <c r="I198" t="s">
        <v>54</v>
      </c>
      <c r="J198">
        <v>1</v>
      </c>
      <c r="K198">
        <v>0.87992320000194002</v>
      </c>
      <c r="L198" t="s">
        <v>51</v>
      </c>
      <c r="M198">
        <v>9</v>
      </c>
      <c r="N198">
        <v>15</v>
      </c>
      <c r="O198">
        <v>195</v>
      </c>
      <c r="P198">
        <v>10</v>
      </c>
      <c r="Q198">
        <v>245.727819400024</v>
      </c>
      <c r="V198">
        <v>245.71714900003201</v>
      </c>
      <c r="W198">
        <v>245.727819400024</v>
      </c>
      <c r="X198">
        <v>246.22797720000301</v>
      </c>
      <c r="Y198">
        <v>246.22797720000301</v>
      </c>
      <c r="Z198">
        <v>246.22797720000301</v>
      </c>
      <c r="AA198">
        <v>247.11529019998801</v>
      </c>
      <c r="AB198" t="s">
        <v>54</v>
      </c>
      <c r="AC198">
        <v>1</v>
      </c>
      <c r="AD198">
        <v>0.87992320000194002</v>
      </c>
      <c r="AE198" t="s">
        <v>51</v>
      </c>
      <c r="AI198">
        <v>5</v>
      </c>
      <c r="AJ198">
        <v>1</v>
      </c>
      <c r="AK198" t="s">
        <v>87</v>
      </c>
      <c r="AL198" t="s">
        <v>43</v>
      </c>
      <c r="AN198" t="s">
        <v>44</v>
      </c>
      <c r="AO198">
        <v>60.129904655169099</v>
      </c>
      <c r="AP198" t="s">
        <v>88</v>
      </c>
    </row>
    <row r="199" spans="1:42" x14ac:dyDescent="0.3">
      <c r="A199" t="s">
        <v>58</v>
      </c>
      <c r="B199" t="s">
        <v>59</v>
      </c>
      <c r="C199" t="s">
        <v>48</v>
      </c>
      <c r="D199" t="s">
        <v>49</v>
      </c>
      <c r="E199" t="s">
        <v>50</v>
      </c>
      <c r="F199">
        <v>196</v>
      </c>
      <c r="G199">
        <v>16</v>
      </c>
      <c r="H199">
        <v>9</v>
      </c>
      <c r="I199" t="s">
        <v>50</v>
      </c>
      <c r="J199">
        <v>1</v>
      </c>
      <c r="K199">
        <v>0.746933499991428</v>
      </c>
      <c r="L199" t="s">
        <v>51</v>
      </c>
      <c r="M199">
        <v>9</v>
      </c>
      <c r="N199">
        <v>16</v>
      </c>
      <c r="O199">
        <v>196</v>
      </c>
      <c r="P199">
        <v>7</v>
      </c>
      <c r="Q199">
        <v>247.12828770000399</v>
      </c>
      <c r="V199">
        <v>247.11794190003999</v>
      </c>
      <c r="W199">
        <v>247.12828770000399</v>
      </c>
      <c r="X199">
        <v>247.62775740004099</v>
      </c>
      <c r="Y199">
        <v>247.62775740004099</v>
      </c>
      <c r="Z199">
        <v>247.62775740004099</v>
      </c>
      <c r="AA199">
        <v>248.38160210003801</v>
      </c>
      <c r="AB199" t="s">
        <v>50</v>
      </c>
      <c r="AC199">
        <v>1</v>
      </c>
      <c r="AD199">
        <v>0.746933499991428</v>
      </c>
      <c r="AE199" t="s">
        <v>51</v>
      </c>
      <c r="AI199">
        <v>5</v>
      </c>
      <c r="AJ199">
        <v>1</v>
      </c>
      <c r="AK199" t="s">
        <v>87</v>
      </c>
      <c r="AL199" t="s">
        <v>43</v>
      </c>
      <c r="AN199" t="s">
        <v>44</v>
      </c>
      <c r="AO199">
        <v>60.129904655169099</v>
      </c>
      <c r="AP199" t="s">
        <v>88</v>
      </c>
    </row>
    <row r="200" spans="1:42" x14ac:dyDescent="0.3">
      <c r="A200" t="s">
        <v>69</v>
      </c>
      <c r="B200" t="s">
        <v>59</v>
      </c>
      <c r="C200" t="s">
        <v>56</v>
      </c>
      <c r="D200" t="s">
        <v>49</v>
      </c>
      <c r="E200" t="s">
        <v>57</v>
      </c>
      <c r="F200">
        <v>197</v>
      </c>
      <c r="G200">
        <v>17</v>
      </c>
      <c r="H200">
        <v>9</v>
      </c>
      <c r="I200" t="s">
        <v>57</v>
      </c>
      <c r="J200">
        <v>1</v>
      </c>
      <c r="K200">
        <v>0.71156169997993801</v>
      </c>
      <c r="L200" t="s">
        <v>51</v>
      </c>
      <c r="M200">
        <v>9</v>
      </c>
      <c r="N200">
        <v>17</v>
      </c>
      <c r="O200">
        <v>197</v>
      </c>
      <c r="P200">
        <v>5</v>
      </c>
      <c r="Q200">
        <v>248.39488470001299</v>
      </c>
      <c r="V200">
        <v>248.38422260002699</v>
      </c>
      <c r="W200">
        <v>248.39488470001299</v>
      </c>
      <c r="X200">
        <v>248.89495129999699</v>
      </c>
      <c r="Y200">
        <v>248.89495129999699</v>
      </c>
      <c r="Z200">
        <v>248.89495129999699</v>
      </c>
      <c r="AA200">
        <v>249.61484380002301</v>
      </c>
      <c r="AB200" t="s">
        <v>57</v>
      </c>
      <c r="AC200">
        <v>1</v>
      </c>
      <c r="AD200">
        <v>0.71156169997993801</v>
      </c>
      <c r="AE200" t="s">
        <v>51</v>
      </c>
      <c r="AI200">
        <v>5</v>
      </c>
      <c r="AJ200">
        <v>1</v>
      </c>
      <c r="AK200" t="s">
        <v>87</v>
      </c>
      <c r="AL200" t="s">
        <v>43</v>
      </c>
      <c r="AN200" t="s">
        <v>44</v>
      </c>
      <c r="AO200">
        <v>60.129904655169099</v>
      </c>
      <c r="AP200" t="s">
        <v>88</v>
      </c>
    </row>
    <row r="201" spans="1:42" x14ac:dyDescent="0.3">
      <c r="A201" t="s">
        <v>64</v>
      </c>
      <c r="B201" t="s">
        <v>47</v>
      </c>
      <c r="C201" t="s">
        <v>53</v>
      </c>
      <c r="D201" t="s">
        <v>49</v>
      </c>
      <c r="E201" t="s">
        <v>54</v>
      </c>
      <c r="F201">
        <v>198</v>
      </c>
      <c r="G201">
        <v>18</v>
      </c>
      <c r="H201">
        <v>9</v>
      </c>
      <c r="I201" t="s">
        <v>63</v>
      </c>
      <c r="J201">
        <v>0</v>
      </c>
      <c r="K201">
        <v>0.91161750000901498</v>
      </c>
      <c r="L201" t="s">
        <v>51</v>
      </c>
      <c r="M201">
        <v>9</v>
      </c>
      <c r="N201">
        <v>18</v>
      </c>
      <c r="O201">
        <v>198</v>
      </c>
      <c r="P201">
        <v>18</v>
      </c>
      <c r="Q201">
        <v>249.62777260004</v>
      </c>
      <c r="V201">
        <v>249.617696900037</v>
      </c>
      <c r="W201">
        <v>249.62777260004</v>
      </c>
      <c r="X201">
        <v>250.128101999987</v>
      </c>
      <c r="Y201">
        <v>250.128101999987</v>
      </c>
      <c r="Z201">
        <v>250.128101999987</v>
      </c>
      <c r="AA201">
        <v>251.04822570004001</v>
      </c>
      <c r="AB201" t="s">
        <v>63</v>
      </c>
      <c r="AC201">
        <v>0</v>
      </c>
      <c r="AD201">
        <v>0.91161750000901498</v>
      </c>
      <c r="AE201" t="s">
        <v>51</v>
      </c>
      <c r="AI201">
        <v>5</v>
      </c>
      <c r="AJ201">
        <v>1</v>
      </c>
      <c r="AK201" t="s">
        <v>87</v>
      </c>
      <c r="AL201" t="s">
        <v>43</v>
      </c>
      <c r="AN201" t="s">
        <v>44</v>
      </c>
      <c r="AO201">
        <v>60.129904655169099</v>
      </c>
      <c r="AP201" t="s">
        <v>88</v>
      </c>
    </row>
    <row r="202" spans="1:42" x14ac:dyDescent="0.3">
      <c r="A202" t="s">
        <v>65</v>
      </c>
      <c r="B202" t="s">
        <v>59</v>
      </c>
      <c r="C202" t="s">
        <v>56</v>
      </c>
      <c r="D202" t="s">
        <v>49</v>
      </c>
      <c r="E202" t="s">
        <v>57</v>
      </c>
      <c r="F202">
        <v>199</v>
      </c>
      <c r="G202">
        <v>19</v>
      </c>
      <c r="H202">
        <v>9</v>
      </c>
      <c r="I202" t="s">
        <v>57</v>
      </c>
      <c r="J202">
        <v>1</v>
      </c>
      <c r="K202">
        <v>1.2940307999961</v>
      </c>
      <c r="L202" t="s">
        <v>51</v>
      </c>
      <c r="M202">
        <v>9</v>
      </c>
      <c r="N202">
        <v>19</v>
      </c>
      <c r="O202">
        <v>199</v>
      </c>
      <c r="P202">
        <v>9</v>
      </c>
      <c r="Q202">
        <v>251.06131349998699</v>
      </c>
      <c r="V202">
        <v>251.05094600003201</v>
      </c>
      <c r="W202">
        <v>251.06131349998699</v>
      </c>
      <c r="X202">
        <v>251.56144070002401</v>
      </c>
      <c r="Y202">
        <v>251.56144070002401</v>
      </c>
      <c r="Z202">
        <v>251.56144070002401</v>
      </c>
      <c r="AA202">
        <v>252.864042600034</v>
      </c>
      <c r="AB202" t="s">
        <v>57</v>
      </c>
      <c r="AC202">
        <v>1</v>
      </c>
      <c r="AD202">
        <v>1.2940307999961</v>
      </c>
      <c r="AE202" t="s">
        <v>51</v>
      </c>
      <c r="AI202">
        <v>5</v>
      </c>
      <c r="AJ202">
        <v>1</v>
      </c>
      <c r="AK202" t="s">
        <v>87</v>
      </c>
      <c r="AL202" t="s">
        <v>43</v>
      </c>
      <c r="AN202" t="s">
        <v>44</v>
      </c>
      <c r="AO202">
        <v>60.129904655169099</v>
      </c>
      <c r="AP202" t="s">
        <v>88</v>
      </c>
    </row>
    <row r="203" spans="1:42" x14ac:dyDescent="0.3">
      <c r="AF203">
        <v>252.86419880000099</v>
      </c>
      <c r="AG203">
        <v>252.87765839998599</v>
      </c>
      <c r="AH203">
        <v>253.864377600024</v>
      </c>
      <c r="AI203">
        <v>5</v>
      </c>
      <c r="AJ203">
        <v>1</v>
      </c>
      <c r="AK203" t="s">
        <v>87</v>
      </c>
      <c r="AL203" t="s">
        <v>43</v>
      </c>
      <c r="AN203" t="s">
        <v>44</v>
      </c>
      <c r="AO203">
        <v>60.129904655169099</v>
      </c>
      <c r="AP203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D4CD-64D6-4F85-A4CC-2FB356EC344B}">
  <sheetPr filterMode="1"/>
  <dimension ref="A1:AT1009"/>
  <sheetViews>
    <sheetView tabSelected="1" defaultGridColor="0" colorId="8" workbookViewId="0">
      <selection activeCell="L1" sqref="L1"/>
    </sheetView>
  </sheetViews>
  <sheetFormatPr defaultRowHeight="14.4" x14ac:dyDescent="0.3"/>
  <cols>
    <col min="1" max="1" width="11.21875" customWidth="1"/>
    <col min="2" max="4" width="13.6640625" customWidth="1"/>
    <col min="7" max="7" width="12.5546875" customWidth="1"/>
    <col min="14" max="14" width="11.5546875" customWidth="1"/>
    <col min="21" max="21" width="13" customWidth="1"/>
  </cols>
  <sheetData>
    <row r="1" spans="1:46" x14ac:dyDescent="0.3">
      <c r="A1" s="3" t="s">
        <v>1</v>
      </c>
      <c r="B1" s="3" t="s">
        <v>3</v>
      </c>
      <c r="C1" s="3" t="s">
        <v>90</v>
      </c>
      <c r="D1" s="3" t="s">
        <v>10</v>
      </c>
      <c r="E1" s="3" t="s">
        <v>1</v>
      </c>
      <c r="F1" s="3" t="s">
        <v>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79</v>
      </c>
      <c r="AT1" s="3" t="s">
        <v>84</v>
      </c>
    </row>
    <row r="2" spans="1:46" x14ac:dyDescent="0.3">
      <c r="A2" t="s">
        <v>46</v>
      </c>
      <c r="B2" t="s">
        <v>49</v>
      </c>
      <c r="C2" s="2" t="str">
        <f t="shared" ref="C2:C65" si="0">IF(E2="neutral","Neutral",
IF(AND(E2="emotional",B2="C"),"Emotional-C",
IF(AND(E2="emotional",B2="I"),"Emotional-I","")))</f>
        <v>Neutral</v>
      </c>
      <c r="D2">
        <v>1.5350409999955399</v>
      </c>
      <c r="E2" t="s">
        <v>47</v>
      </c>
      <c r="F2" t="s">
        <v>48</v>
      </c>
      <c r="G2" t="s">
        <v>50</v>
      </c>
      <c r="H2">
        <v>0</v>
      </c>
      <c r="I2">
        <v>0</v>
      </c>
      <c r="J2">
        <v>0</v>
      </c>
      <c r="K2" t="s">
        <v>50</v>
      </c>
      <c r="L2">
        <v>1</v>
      </c>
      <c r="M2">
        <v>1.5350409999955399</v>
      </c>
      <c r="N2" t="s">
        <v>51</v>
      </c>
      <c r="O2">
        <v>0</v>
      </c>
      <c r="P2">
        <v>0</v>
      </c>
      <c r="Q2">
        <v>0</v>
      </c>
      <c r="R2">
        <v>19</v>
      </c>
      <c r="S2">
        <v>2.0573283000267102</v>
      </c>
      <c r="X2">
        <v>2.03979060001438</v>
      </c>
      <c r="Y2">
        <v>2.0573283000267102</v>
      </c>
      <c r="Z2">
        <v>2.50791889999527</v>
      </c>
      <c r="AA2">
        <v>2.50791889999527</v>
      </c>
      <c r="AB2">
        <v>2.50791889999527</v>
      </c>
      <c r="AC2">
        <v>4.0750645000371097</v>
      </c>
      <c r="AD2" t="s">
        <v>50</v>
      </c>
      <c r="AE2">
        <v>1</v>
      </c>
      <c r="AF2">
        <v>1.5350409999955399</v>
      </c>
      <c r="AG2" t="s">
        <v>51</v>
      </c>
      <c r="AK2" t="s">
        <v>89</v>
      </c>
      <c r="AL2">
        <v>1</v>
      </c>
      <c r="AM2" t="s">
        <v>42</v>
      </c>
      <c r="AN2" t="s">
        <v>43</v>
      </c>
      <c r="AP2" t="s">
        <v>44</v>
      </c>
      <c r="AQ2">
        <v>59.778723070926397</v>
      </c>
      <c r="AR2" t="s">
        <v>45</v>
      </c>
    </row>
    <row r="3" spans="1:46" x14ac:dyDescent="0.3">
      <c r="A3" t="s">
        <v>52</v>
      </c>
      <c r="B3" t="s">
        <v>49</v>
      </c>
      <c r="C3" s="2" t="str">
        <f t="shared" si="0"/>
        <v>Neutral</v>
      </c>
      <c r="D3">
        <v>1.4325543000013501</v>
      </c>
      <c r="E3" t="s">
        <v>47</v>
      </c>
      <c r="F3" t="s">
        <v>53</v>
      </c>
      <c r="G3" t="s">
        <v>54</v>
      </c>
      <c r="H3">
        <v>1</v>
      </c>
      <c r="I3">
        <v>1</v>
      </c>
      <c r="J3">
        <v>0</v>
      </c>
      <c r="K3" t="s">
        <v>54</v>
      </c>
      <c r="L3">
        <v>1</v>
      </c>
      <c r="M3">
        <v>1.4325543000013501</v>
      </c>
      <c r="N3" t="s">
        <v>51</v>
      </c>
      <c r="O3">
        <v>0</v>
      </c>
      <c r="P3">
        <v>1</v>
      </c>
      <c r="Q3">
        <v>1</v>
      </c>
      <c r="R3">
        <v>14</v>
      </c>
      <c r="S3">
        <v>4.0906036000233099</v>
      </c>
      <c r="X3">
        <v>4.0786190000362597</v>
      </c>
      <c r="Y3">
        <v>4.0906036000233099</v>
      </c>
      <c r="Z3">
        <v>4.57514000002993</v>
      </c>
      <c r="AA3">
        <v>4.57514000002993</v>
      </c>
      <c r="AB3">
        <v>4.57514000002993</v>
      </c>
      <c r="AC3">
        <v>6.01180460001342</v>
      </c>
      <c r="AD3" t="s">
        <v>54</v>
      </c>
      <c r="AE3">
        <v>1</v>
      </c>
      <c r="AF3">
        <v>1.4325543000013501</v>
      </c>
      <c r="AG3" t="s">
        <v>51</v>
      </c>
      <c r="AK3" t="s">
        <v>89</v>
      </c>
      <c r="AL3">
        <v>1</v>
      </c>
      <c r="AM3" t="s">
        <v>42</v>
      </c>
      <c r="AN3" t="s">
        <v>43</v>
      </c>
      <c r="AP3" t="s">
        <v>44</v>
      </c>
      <c r="AQ3">
        <v>59.778723070926397</v>
      </c>
      <c r="AR3" t="s">
        <v>45</v>
      </c>
    </row>
    <row r="4" spans="1:46" x14ac:dyDescent="0.3">
      <c r="A4" t="s">
        <v>55</v>
      </c>
      <c r="B4" t="s">
        <v>49</v>
      </c>
      <c r="C4" s="2" t="str">
        <f t="shared" si="0"/>
        <v>Neutral</v>
      </c>
      <c r="D4">
        <v>1.0838545000297</v>
      </c>
      <c r="E4" t="s">
        <v>47</v>
      </c>
      <c r="F4" t="s">
        <v>56</v>
      </c>
      <c r="G4" t="s">
        <v>57</v>
      </c>
      <c r="H4">
        <v>2</v>
      </c>
      <c r="I4">
        <v>2</v>
      </c>
      <c r="J4">
        <v>0</v>
      </c>
      <c r="K4" t="s">
        <v>57</v>
      </c>
      <c r="L4">
        <v>1</v>
      </c>
      <c r="M4">
        <v>1.0838545000297</v>
      </c>
      <c r="N4" t="s">
        <v>51</v>
      </c>
      <c r="O4">
        <v>0</v>
      </c>
      <c r="P4">
        <v>2</v>
      </c>
      <c r="Q4">
        <v>2</v>
      </c>
      <c r="R4">
        <v>13</v>
      </c>
      <c r="S4">
        <v>6.0248994000139602</v>
      </c>
      <c r="X4">
        <v>6.01459690002957</v>
      </c>
      <c r="Y4">
        <v>6.0248994000139602</v>
      </c>
      <c r="Z4">
        <v>6.5245110000250799</v>
      </c>
      <c r="AA4">
        <v>6.5245110000250799</v>
      </c>
      <c r="AB4">
        <v>6.5245110000250799</v>
      </c>
      <c r="AC4">
        <v>7.6111892000189902</v>
      </c>
      <c r="AD4" t="s">
        <v>57</v>
      </c>
      <c r="AE4">
        <v>1</v>
      </c>
      <c r="AF4">
        <v>1.0838545000297</v>
      </c>
      <c r="AG4" t="s">
        <v>51</v>
      </c>
      <c r="AK4" t="s">
        <v>89</v>
      </c>
      <c r="AL4">
        <v>1</v>
      </c>
      <c r="AM4" t="s">
        <v>42</v>
      </c>
      <c r="AN4" t="s">
        <v>43</v>
      </c>
      <c r="AP4" t="s">
        <v>44</v>
      </c>
      <c r="AQ4">
        <v>59.778723070926397</v>
      </c>
      <c r="AR4" t="s">
        <v>45</v>
      </c>
    </row>
    <row r="5" spans="1:46" x14ac:dyDescent="0.3">
      <c r="A5" t="s">
        <v>58</v>
      </c>
      <c r="B5" t="s">
        <v>49</v>
      </c>
      <c r="C5" s="2" t="str">
        <f t="shared" si="0"/>
        <v>Emotional-I</v>
      </c>
      <c r="D5">
        <v>0.73963969998294399</v>
      </c>
      <c r="E5" t="s">
        <v>59</v>
      </c>
      <c r="F5" t="s">
        <v>48</v>
      </c>
      <c r="G5" t="s">
        <v>50</v>
      </c>
      <c r="H5">
        <v>3</v>
      </c>
      <c r="I5">
        <v>3</v>
      </c>
      <c r="J5">
        <v>0</v>
      </c>
      <c r="K5" t="s">
        <v>50</v>
      </c>
      <c r="L5">
        <v>1</v>
      </c>
      <c r="M5">
        <v>0.73963969998294399</v>
      </c>
      <c r="N5" t="s">
        <v>51</v>
      </c>
      <c r="O5">
        <v>0</v>
      </c>
      <c r="P5">
        <v>3</v>
      </c>
      <c r="Q5">
        <v>3</v>
      </c>
      <c r="R5" t="s">
        <v>114</v>
      </c>
      <c r="S5">
        <v>7.6242268999922</v>
      </c>
      <c r="X5">
        <v>7.6140269000316003</v>
      </c>
      <c r="Y5">
        <v>7.6242268999922</v>
      </c>
      <c r="Z5">
        <v>8.1242010000278206</v>
      </c>
      <c r="AA5">
        <v>8.1242010000278206</v>
      </c>
      <c r="AB5">
        <v>8.1242010000278206</v>
      </c>
      <c r="AC5">
        <v>8.8773404000094107</v>
      </c>
      <c r="AD5" t="s">
        <v>50</v>
      </c>
      <c r="AE5">
        <v>1</v>
      </c>
      <c r="AF5">
        <v>0.73963969998294399</v>
      </c>
      <c r="AG5" t="s">
        <v>51</v>
      </c>
      <c r="AK5" t="s">
        <v>89</v>
      </c>
      <c r="AL5">
        <v>1</v>
      </c>
      <c r="AM5" t="s">
        <v>42</v>
      </c>
      <c r="AN5" t="s">
        <v>43</v>
      </c>
      <c r="AP5" t="s">
        <v>44</v>
      </c>
      <c r="AQ5">
        <v>59.778723070926397</v>
      </c>
      <c r="AR5" t="s">
        <v>45</v>
      </c>
    </row>
    <row r="6" spans="1:46" x14ac:dyDescent="0.3">
      <c r="A6" t="s">
        <v>60</v>
      </c>
      <c r="B6" t="s">
        <v>62</v>
      </c>
      <c r="C6" s="2" t="str">
        <f t="shared" si="0"/>
        <v>Emotional-C</v>
      </c>
      <c r="D6">
        <v>1.46953579998807</v>
      </c>
      <c r="E6" t="s">
        <v>59</v>
      </c>
      <c r="F6" t="s">
        <v>61</v>
      </c>
      <c r="G6" t="s">
        <v>63</v>
      </c>
      <c r="H6">
        <v>4</v>
      </c>
      <c r="I6">
        <v>4</v>
      </c>
      <c r="J6">
        <v>0</v>
      </c>
      <c r="K6" t="s">
        <v>63</v>
      </c>
      <c r="L6">
        <v>1</v>
      </c>
      <c r="M6">
        <v>1.46953579998807</v>
      </c>
      <c r="N6" t="s">
        <v>51</v>
      </c>
      <c r="O6">
        <v>0</v>
      </c>
      <c r="P6">
        <v>4</v>
      </c>
      <c r="Q6">
        <v>4</v>
      </c>
      <c r="R6">
        <v>0</v>
      </c>
      <c r="S6">
        <v>8.8905826000263897</v>
      </c>
      <c r="X6">
        <v>8.8825997000094503</v>
      </c>
      <c r="Y6">
        <v>8.8905826000263897</v>
      </c>
      <c r="Z6">
        <v>9.3916086000390298</v>
      </c>
      <c r="AA6">
        <v>9.3916086000390298</v>
      </c>
      <c r="AB6">
        <v>9.3916086000390298</v>
      </c>
      <c r="AC6">
        <v>10.861720899992999</v>
      </c>
      <c r="AD6" t="s">
        <v>63</v>
      </c>
      <c r="AE6">
        <v>1</v>
      </c>
      <c r="AF6">
        <v>1.46953579998807</v>
      </c>
      <c r="AG6" t="s">
        <v>51</v>
      </c>
      <c r="AK6" t="s">
        <v>89</v>
      </c>
      <c r="AL6">
        <v>1</v>
      </c>
      <c r="AM6" t="s">
        <v>42</v>
      </c>
      <c r="AN6" t="s">
        <v>43</v>
      </c>
      <c r="AP6" t="s">
        <v>44</v>
      </c>
      <c r="AQ6">
        <v>59.778723070926397</v>
      </c>
      <c r="AR6" t="s">
        <v>45</v>
      </c>
    </row>
    <row r="7" spans="1:46" x14ac:dyDescent="0.3">
      <c r="A7" t="s">
        <v>64</v>
      </c>
      <c r="B7" t="s">
        <v>49</v>
      </c>
      <c r="C7" s="2" t="str">
        <f t="shared" si="0"/>
        <v>Neutral</v>
      </c>
      <c r="D7">
        <v>1.62222599994856</v>
      </c>
      <c r="E7" t="s">
        <v>47</v>
      </c>
      <c r="F7" t="s">
        <v>53</v>
      </c>
      <c r="G7" t="s">
        <v>54</v>
      </c>
      <c r="H7">
        <v>5</v>
      </c>
      <c r="I7">
        <v>5</v>
      </c>
      <c r="J7">
        <v>0</v>
      </c>
      <c r="K7" t="s">
        <v>54</v>
      </c>
      <c r="L7">
        <v>1</v>
      </c>
      <c r="M7">
        <v>1.62222599994856</v>
      </c>
      <c r="N7" t="s">
        <v>51</v>
      </c>
      <c r="O7">
        <v>0</v>
      </c>
      <c r="P7">
        <v>5</v>
      </c>
      <c r="Q7">
        <v>5</v>
      </c>
      <c r="R7">
        <v>18</v>
      </c>
      <c r="S7">
        <v>10.8728338000364</v>
      </c>
      <c r="X7">
        <v>10.865294900024301</v>
      </c>
      <c r="Y7">
        <v>10.8728338000364</v>
      </c>
      <c r="Z7">
        <v>11.3733613000367</v>
      </c>
      <c r="AA7">
        <v>11.3733613000367</v>
      </c>
      <c r="AB7">
        <v>11.3733613000367</v>
      </c>
      <c r="AC7">
        <v>12.996382500045</v>
      </c>
      <c r="AD7" t="s">
        <v>54</v>
      </c>
      <c r="AE7">
        <v>1</v>
      </c>
      <c r="AF7">
        <v>1.62222599994856</v>
      </c>
      <c r="AG7" t="s">
        <v>51</v>
      </c>
      <c r="AK7" t="s">
        <v>89</v>
      </c>
      <c r="AL7">
        <v>1</v>
      </c>
      <c r="AM7" t="s">
        <v>42</v>
      </c>
      <c r="AN7" t="s">
        <v>43</v>
      </c>
      <c r="AP7" t="s">
        <v>44</v>
      </c>
      <c r="AQ7">
        <v>59.778723070926397</v>
      </c>
      <c r="AR7" t="s">
        <v>45</v>
      </c>
    </row>
    <row r="8" spans="1:46" x14ac:dyDescent="0.3">
      <c r="A8" t="s">
        <v>65</v>
      </c>
      <c r="B8" t="s">
        <v>49</v>
      </c>
      <c r="C8" s="2" t="str">
        <f t="shared" si="0"/>
        <v>Emotional-I</v>
      </c>
      <c r="D8">
        <v>1.2838648000033499</v>
      </c>
      <c r="E8" t="s">
        <v>59</v>
      </c>
      <c r="F8" t="s">
        <v>56</v>
      </c>
      <c r="G8" t="s">
        <v>57</v>
      </c>
      <c r="H8">
        <v>6</v>
      </c>
      <c r="I8">
        <v>6</v>
      </c>
      <c r="J8">
        <v>0</v>
      </c>
      <c r="K8" t="s">
        <v>57</v>
      </c>
      <c r="L8">
        <v>1</v>
      </c>
      <c r="M8">
        <v>1.2838648000033499</v>
      </c>
      <c r="N8" t="s">
        <v>51</v>
      </c>
      <c r="O8">
        <v>0</v>
      </c>
      <c r="P8">
        <v>6</v>
      </c>
      <c r="Q8">
        <v>6</v>
      </c>
      <c r="R8">
        <v>9</v>
      </c>
      <c r="S8">
        <v>13.024639500014001</v>
      </c>
      <c r="X8">
        <v>13.002851500001199</v>
      </c>
      <c r="Y8">
        <v>13.024639500014001</v>
      </c>
      <c r="Z8">
        <v>13.5075027000275</v>
      </c>
      <c r="AA8">
        <v>13.5075027000275</v>
      </c>
      <c r="AB8">
        <v>13.5075027000275</v>
      </c>
      <c r="AC8">
        <v>14.794316000014</v>
      </c>
      <c r="AD8" t="s">
        <v>57</v>
      </c>
      <c r="AE8">
        <v>1</v>
      </c>
      <c r="AF8">
        <v>1.2838648000033499</v>
      </c>
      <c r="AG8" t="s">
        <v>51</v>
      </c>
      <c r="AK8" t="s">
        <v>89</v>
      </c>
      <c r="AL8">
        <v>1</v>
      </c>
      <c r="AM8" t="s">
        <v>42</v>
      </c>
      <c r="AN8" t="s">
        <v>43</v>
      </c>
      <c r="AP8" t="s">
        <v>44</v>
      </c>
      <c r="AQ8">
        <v>59.778723070926397</v>
      </c>
      <c r="AR8" t="s">
        <v>45</v>
      </c>
    </row>
    <row r="9" spans="1:46" x14ac:dyDescent="0.3">
      <c r="A9" t="s">
        <v>66</v>
      </c>
      <c r="B9" t="s">
        <v>49</v>
      </c>
      <c r="C9" s="2" t="str">
        <f t="shared" si="0"/>
        <v>Neutral</v>
      </c>
      <c r="D9">
        <v>0.78497129998868298</v>
      </c>
      <c r="E9" t="s">
        <v>47</v>
      </c>
      <c r="F9" t="s">
        <v>61</v>
      </c>
      <c r="G9" t="s">
        <v>63</v>
      </c>
      <c r="H9">
        <v>7</v>
      </c>
      <c r="I9">
        <v>7</v>
      </c>
      <c r="J9">
        <v>0</v>
      </c>
      <c r="K9" t="s">
        <v>63</v>
      </c>
      <c r="L9">
        <v>1</v>
      </c>
      <c r="M9">
        <v>0.78497129998868298</v>
      </c>
      <c r="N9" t="s">
        <v>51</v>
      </c>
      <c r="O9">
        <v>0</v>
      </c>
      <c r="P9">
        <v>7</v>
      </c>
      <c r="Q9">
        <v>7</v>
      </c>
      <c r="R9">
        <v>12</v>
      </c>
      <c r="S9">
        <v>14.807522899995</v>
      </c>
      <c r="X9">
        <v>14.797185000032099</v>
      </c>
      <c r="Y9">
        <v>14.807522899995</v>
      </c>
      <c r="Z9">
        <v>15.307940400030899</v>
      </c>
      <c r="AA9">
        <v>15.307940400030899</v>
      </c>
      <c r="AB9">
        <v>15.307940400030899</v>
      </c>
      <c r="AC9">
        <v>16.094762600027</v>
      </c>
      <c r="AD9" t="s">
        <v>63</v>
      </c>
      <c r="AE9">
        <v>1</v>
      </c>
      <c r="AF9">
        <v>0.78497129998868298</v>
      </c>
      <c r="AG9" t="s">
        <v>51</v>
      </c>
      <c r="AK9" t="s">
        <v>89</v>
      </c>
      <c r="AL9">
        <v>1</v>
      </c>
      <c r="AM9" t="s">
        <v>42</v>
      </c>
      <c r="AN9" t="s">
        <v>43</v>
      </c>
      <c r="AP9" t="s">
        <v>44</v>
      </c>
      <c r="AQ9">
        <v>59.778723070926397</v>
      </c>
      <c r="AR9" t="s">
        <v>45</v>
      </c>
    </row>
    <row r="10" spans="1:46" x14ac:dyDescent="0.3">
      <c r="A10" t="s">
        <v>67</v>
      </c>
      <c r="B10" t="s">
        <v>49</v>
      </c>
      <c r="C10" s="2" t="str">
        <f t="shared" si="0"/>
        <v>Neutral</v>
      </c>
      <c r="D10">
        <v>0.99462939996737898</v>
      </c>
      <c r="E10" t="s">
        <v>47</v>
      </c>
      <c r="F10" t="s">
        <v>53</v>
      </c>
      <c r="G10" t="s">
        <v>54</v>
      </c>
      <c r="H10">
        <v>8</v>
      </c>
      <c r="I10">
        <v>8</v>
      </c>
      <c r="J10">
        <v>0</v>
      </c>
      <c r="K10" t="s">
        <v>54</v>
      </c>
      <c r="L10">
        <v>1</v>
      </c>
      <c r="M10">
        <v>0.99462939996737898</v>
      </c>
      <c r="N10" t="s">
        <v>51</v>
      </c>
      <c r="O10">
        <v>0</v>
      </c>
      <c r="P10">
        <v>8</v>
      </c>
      <c r="Q10">
        <v>8</v>
      </c>
      <c r="R10">
        <v>10</v>
      </c>
      <c r="S10">
        <v>16.107440599996998</v>
      </c>
      <c r="X10">
        <v>16.097870199999299</v>
      </c>
      <c r="Y10">
        <v>16.107440599996998</v>
      </c>
      <c r="Z10">
        <v>16.607389200013099</v>
      </c>
      <c r="AA10">
        <v>16.607389200013099</v>
      </c>
      <c r="AB10">
        <v>16.607389200013099</v>
      </c>
      <c r="AC10">
        <v>17.611020500015002</v>
      </c>
      <c r="AD10" t="s">
        <v>54</v>
      </c>
      <c r="AE10">
        <v>1</v>
      </c>
      <c r="AF10">
        <v>0.99462939996737898</v>
      </c>
      <c r="AG10" t="s">
        <v>51</v>
      </c>
      <c r="AK10" t="s">
        <v>89</v>
      </c>
      <c r="AL10">
        <v>1</v>
      </c>
      <c r="AM10" t="s">
        <v>42</v>
      </c>
      <c r="AN10" t="s">
        <v>43</v>
      </c>
      <c r="AP10" t="s">
        <v>44</v>
      </c>
      <c r="AQ10">
        <v>59.778723070926397</v>
      </c>
      <c r="AR10" t="s">
        <v>45</v>
      </c>
    </row>
    <row r="11" spans="1:46" x14ac:dyDescent="0.3">
      <c r="A11" t="s">
        <v>68</v>
      </c>
      <c r="B11" t="s">
        <v>49</v>
      </c>
      <c r="C11" s="2" t="str">
        <f t="shared" si="0"/>
        <v>Emotional-I</v>
      </c>
      <c r="D11">
        <v>0.70482320000883103</v>
      </c>
      <c r="E11" t="s">
        <v>59</v>
      </c>
      <c r="F11" t="s">
        <v>53</v>
      </c>
      <c r="G11" t="s">
        <v>54</v>
      </c>
      <c r="H11">
        <v>9</v>
      </c>
      <c r="I11">
        <v>9</v>
      </c>
      <c r="J11">
        <v>0</v>
      </c>
      <c r="K11" t="s">
        <v>54</v>
      </c>
      <c r="L11">
        <v>1</v>
      </c>
      <c r="M11">
        <v>0.70482320000883103</v>
      </c>
      <c r="N11" t="s">
        <v>51</v>
      </c>
      <c r="O11">
        <v>0</v>
      </c>
      <c r="P11">
        <v>9</v>
      </c>
      <c r="Q11">
        <v>9</v>
      </c>
      <c r="R11">
        <v>6</v>
      </c>
      <c r="S11">
        <v>17.623411800013798</v>
      </c>
      <c r="X11">
        <v>17.616250200022399</v>
      </c>
      <c r="Y11">
        <v>17.623411800013798</v>
      </c>
      <c r="Z11">
        <v>18.123588300019001</v>
      </c>
      <c r="AA11">
        <v>18.123588300019001</v>
      </c>
      <c r="AB11">
        <v>18.123588300019001</v>
      </c>
      <c r="AC11">
        <v>18.844352999993099</v>
      </c>
      <c r="AD11" t="s">
        <v>54</v>
      </c>
      <c r="AE11">
        <v>1</v>
      </c>
      <c r="AF11">
        <v>0.70482320000883103</v>
      </c>
      <c r="AG11" t="s">
        <v>51</v>
      </c>
      <c r="AK11" t="s">
        <v>89</v>
      </c>
      <c r="AL11">
        <v>1</v>
      </c>
      <c r="AM11" t="s">
        <v>42</v>
      </c>
      <c r="AN11" t="s">
        <v>43</v>
      </c>
      <c r="AP11" t="s">
        <v>44</v>
      </c>
      <c r="AQ11">
        <v>59.778723070926397</v>
      </c>
      <c r="AR11" t="s">
        <v>45</v>
      </c>
    </row>
    <row r="12" spans="1:46" x14ac:dyDescent="0.3">
      <c r="A12" t="s">
        <v>69</v>
      </c>
      <c r="B12" t="s">
        <v>49</v>
      </c>
      <c r="C12" s="2" t="str">
        <f t="shared" si="0"/>
        <v>Emotional-I</v>
      </c>
      <c r="D12">
        <v>1.30152959999395</v>
      </c>
      <c r="E12" t="s">
        <v>59</v>
      </c>
      <c r="F12" t="s">
        <v>56</v>
      </c>
      <c r="G12" t="s">
        <v>57</v>
      </c>
      <c r="H12">
        <v>10</v>
      </c>
      <c r="I12">
        <v>10</v>
      </c>
      <c r="J12">
        <v>0</v>
      </c>
      <c r="K12" t="s">
        <v>57</v>
      </c>
      <c r="L12">
        <v>1</v>
      </c>
      <c r="M12">
        <v>1.30152959999395</v>
      </c>
      <c r="N12" t="s">
        <v>51</v>
      </c>
      <c r="O12">
        <v>0</v>
      </c>
      <c r="P12">
        <v>10</v>
      </c>
      <c r="Q12">
        <v>10</v>
      </c>
      <c r="R12">
        <v>5</v>
      </c>
      <c r="S12">
        <v>18.858561400033</v>
      </c>
      <c r="X12">
        <v>18.847476200025898</v>
      </c>
      <c r="Y12">
        <v>18.858561400033</v>
      </c>
      <c r="Z12">
        <v>19.357572900014901</v>
      </c>
      <c r="AA12">
        <v>19.357572900014901</v>
      </c>
      <c r="AB12">
        <v>19.357572900014901</v>
      </c>
      <c r="AC12">
        <v>20.661642400023901</v>
      </c>
      <c r="AD12" t="s">
        <v>57</v>
      </c>
      <c r="AE12">
        <v>1</v>
      </c>
      <c r="AF12">
        <v>1.30152959999395</v>
      </c>
      <c r="AG12" t="s">
        <v>51</v>
      </c>
      <c r="AK12" t="s">
        <v>89</v>
      </c>
      <c r="AL12">
        <v>1</v>
      </c>
      <c r="AM12" t="s">
        <v>42</v>
      </c>
      <c r="AN12" t="s">
        <v>43</v>
      </c>
      <c r="AP12" t="s">
        <v>44</v>
      </c>
      <c r="AQ12">
        <v>59.778723070926397</v>
      </c>
      <c r="AR12" t="s">
        <v>45</v>
      </c>
    </row>
    <row r="13" spans="1:46" x14ac:dyDescent="0.3">
      <c r="A13" t="s">
        <v>70</v>
      </c>
      <c r="B13" t="s">
        <v>49</v>
      </c>
      <c r="C13" s="2" t="str">
        <f t="shared" si="0"/>
        <v>Emotional-I</v>
      </c>
      <c r="D13">
        <v>1.7711194999865201</v>
      </c>
      <c r="E13" t="s">
        <v>59</v>
      </c>
      <c r="F13" t="s">
        <v>53</v>
      </c>
      <c r="G13" t="s">
        <v>54</v>
      </c>
      <c r="H13">
        <v>11</v>
      </c>
      <c r="I13">
        <v>11</v>
      </c>
      <c r="J13">
        <v>0</v>
      </c>
      <c r="K13" t="s">
        <v>54</v>
      </c>
      <c r="L13">
        <v>1</v>
      </c>
      <c r="M13">
        <v>1.7711194999865201</v>
      </c>
      <c r="N13" t="s">
        <v>51</v>
      </c>
      <c r="O13">
        <v>0</v>
      </c>
      <c r="P13">
        <v>11</v>
      </c>
      <c r="Q13">
        <v>11</v>
      </c>
      <c r="R13">
        <v>2</v>
      </c>
      <c r="S13">
        <v>20.689859100035299</v>
      </c>
      <c r="X13">
        <v>20.668219600047401</v>
      </c>
      <c r="Y13">
        <v>20.689859100035299</v>
      </c>
      <c r="Z13">
        <v>21.173336400010101</v>
      </c>
      <c r="AA13">
        <v>21.173336400010101</v>
      </c>
      <c r="AB13">
        <v>21.173336400010101</v>
      </c>
      <c r="AC13">
        <v>22.962265600042802</v>
      </c>
      <c r="AD13" t="s">
        <v>54</v>
      </c>
      <c r="AE13">
        <v>1</v>
      </c>
      <c r="AF13">
        <v>1.7711194999865201</v>
      </c>
      <c r="AG13" t="s">
        <v>51</v>
      </c>
      <c r="AK13" t="s">
        <v>89</v>
      </c>
      <c r="AL13">
        <v>1</v>
      </c>
      <c r="AM13" t="s">
        <v>42</v>
      </c>
      <c r="AN13" t="s">
        <v>43</v>
      </c>
      <c r="AP13" t="s">
        <v>44</v>
      </c>
      <c r="AQ13">
        <v>59.778723070926397</v>
      </c>
      <c r="AR13" t="s">
        <v>45</v>
      </c>
    </row>
    <row r="14" spans="1:46" x14ac:dyDescent="0.3">
      <c r="A14" t="s">
        <v>71</v>
      </c>
      <c r="B14" t="s">
        <v>49</v>
      </c>
      <c r="C14" s="2" t="str">
        <f t="shared" si="0"/>
        <v>Neutral</v>
      </c>
      <c r="D14">
        <v>1.0291376999812201</v>
      </c>
      <c r="E14" t="s">
        <v>47</v>
      </c>
      <c r="F14" t="s">
        <v>48</v>
      </c>
      <c r="G14" t="s">
        <v>50</v>
      </c>
      <c r="H14">
        <v>12</v>
      </c>
      <c r="I14">
        <v>12</v>
      </c>
      <c r="J14">
        <v>0</v>
      </c>
      <c r="K14" t="s">
        <v>50</v>
      </c>
      <c r="L14">
        <v>1</v>
      </c>
      <c r="M14">
        <v>1.0291376999812201</v>
      </c>
      <c r="N14" t="s">
        <v>51</v>
      </c>
      <c r="O14">
        <v>0</v>
      </c>
      <c r="P14">
        <v>12</v>
      </c>
      <c r="Q14">
        <v>12</v>
      </c>
      <c r="R14">
        <v>15</v>
      </c>
      <c r="S14">
        <v>22.9742561000166</v>
      </c>
      <c r="X14">
        <v>22.966379499994201</v>
      </c>
      <c r="Y14">
        <v>22.9742561000166</v>
      </c>
      <c r="Z14">
        <v>23.473785700043599</v>
      </c>
      <c r="AA14">
        <v>23.473785700043599</v>
      </c>
      <c r="AB14">
        <v>23.473785700043599</v>
      </c>
      <c r="AC14">
        <v>24.510514700028502</v>
      </c>
      <c r="AD14" t="s">
        <v>50</v>
      </c>
      <c r="AE14">
        <v>1</v>
      </c>
      <c r="AF14">
        <v>1.0291376999812201</v>
      </c>
      <c r="AG14" t="s">
        <v>51</v>
      </c>
      <c r="AK14" t="s">
        <v>89</v>
      </c>
      <c r="AL14">
        <v>1</v>
      </c>
      <c r="AM14" t="s">
        <v>42</v>
      </c>
      <c r="AN14" t="s">
        <v>43</v>
      </c>
      <c r="AP14" t="s">
        <v>44</v>
      </c>
      <c r="AQ14">
        <v>59.778723070926397</v>
      </c>
      <c r="AR14" t="s">
        <v>45</v>
      </c>
    </row>
    <row r="15" spans="1:46" x14ac:dyDescent="0.3">
      <c r="A15" t="s">
        <v>72</v>
      </c>
      <c r="B15" t="s">
        <v>62</v>
      </c>
      <c r="C15" s="2" t="str">
        <f t="shared" si="0"/>
        <v>Emotional-C</v>
      </c>
      <c r="D15">
        <v>0.96321910002734501</v>
      </c>
      <c r="E15" t="s">
        <v>59</v>
      </c>
      <c r="F15" t="s">
        <v>61</v>
      </c>
      <c r="G15" t="s">
        <v>63</v>
      </c>
      <c r="H15">
        <v>13</v>
      </c>
      <c r="I15">
        <v>13</v>
      </c>
      <c r="J15">
        <v>0</v>
      </c>
      <c r="K15" t="s">
        <v>63</v>
      </c>
      <c r="L15">
        <v>1</v>
      </c>
      <c r="M15">
        <v>0.96321910002734501</v>
      </c>
      <c r="N15" t="s">
        <v>51</v>
      </c>
      <c r="O15">
        <v>0</v>
      </c>
      <c r="P15">
        <v>13</v>
      </c>
      <c r="Q15">
        <v>13</v>
      </c>
      <c r="R15">
        <v>8</v>
      </c>
      <c r="S15">
        <v>24.523327700037001</v>
      </c>
      <c r="X15">
        <v>24.513577700010501</v>
      </c>
      <c r="Y15">
        <v>24.523327700037001</v>
      </c>
      <c r="Z15">
        <v>25.0237120999954</v>
      </c>
      <c r="AA15">
        <v>25.0237120999954</v>
      </c>
      <c r="AB15">
        <v>25.0237120999954</v>
      </c>
      <c r="AC15">
        <v>25.9939701000112</v>
      </c>
      <c r="AD15" t="s">
        <v>63</v>
      </c>
      <c r="AE15">
        <v>1</v>
      </c>
      <c r="AF15">
        <v>0.96321910002734501</v>
      </c>
      <c r="AG15" t="s">
        <v>51</v>
      </c>
      <c r="AK15" t="s">
        <v>89</v>
      </c>
      <c r="AL15">
        <v>1</v>
      </c>
      <c r="AM15" t="s">
        <v>42</v>
      </c>
      <c r="AN15" t="s">
        <v>43</v>
      </c>
      <c r="AP15" t="s">
        <v>44</v>
      </c>
      <c r="AQ15">
        <v>59.778723070926397</v>
      </c>
      <c r="AR15" t="s">
        <v>45</v>
      </c>
    </row>
    <row r="16" spans="1:46" x14ac:dyDescent="0.3">
      <c r="A16" t="s">
        <v>73</v>
      </c>
      <c r="B16" t="s">
        <v>49</v>
      </c>
      <c r="C16" s="2" t="str">
        <f t="shared" si="0"/>
        <v>Emotional-I</v>
      </c>
      <c r="D16">
        <v>0.993037500011269</v>
      </c>
      <c r="E16" t="s">
        <v>59</v>
      </c>
      <c r="F16" t="s">
        <v>56</v>
      </c>
      <c r="G16" t="s">
        <v>57</v>
      </c>
      <c r="H16">
        <v>14</v>
      </c>
      <c r="I16">
        <v>14</v>
      </c>
      <c r="J16">
        <v>0</v>
      </c>
      <c r="K16" t="s">
        <v>57</v>
      </c>
      <c r="L16">
        <v>1</v>
      </c>
      <c r="M16">
        <v>0.993037500011269</v>
      </c>
      <c r="N16" t="s">
        <v>51</v>
      </c>
      <c r="O16">
        <v>0</v>
      </c>
      <c r="P16">
        <v>14</v>
      </c>
      <c r="Q16">
        <v>14</v>
      </c>
      <c r="R16">
        <v>1</v>
      </c>
      <c r="S16">
        <v>26.007223599997801</v>
      </c>
      <c r="X16">
        <v>25.996545800007802</v>
      </c>
      <c r="Y16">
        <v>26.007223599997801</v>
      </c>
      <c r="Z16">
        <v>26.5066772000282</v>
      </c>
      <c r="AA16">
        <v>26.5066772000282</v>
      </c>
      <c r="AB16">
        <v>26.5066772000282</v>
      </c>
      <c r="AC16">
        <v>27.510247500031198</v>
      </c>
      <c r="AD16" t="s">
        <v>57</v>
      </c>
      <c r="AE16">
        <v>1</v>
      </c>
      <c r="AF16">
        <v>0.993037500011269</v>
      </c>
      <c r="AG16" t="s">
        <v>51</v>
      </c>
      <c r="AK16" t="s">
        <v>89</v>
      </c>
      <c r="AL16">
        <v>1</v>
      </c>
      <c r="AM16" t="s">
        <v>42</v>
      </c>
      <c r="AN16" t="s">
        <v>43</v>
      </c>
      <c r="AP16" t="s">
        <v>44</v>
      </c>
      <c r="AQ16">
        <v>59.778723070926397</v>
      </c>
      <c r="AR16" t="s">
        <v>45</v>
      </c>
    </row>
    <row r="17" spans="1:44" x14ac:dyDescent="0.3">
      <c r="A17" t="s">
        <v>74</v>
      </c>
      <c r="B17" t="s">
        <v>49</v>
      </c>
      <c r="C17" s="2" t="str">
        <f t="shared" si="0"/>
        <v>Neutral</v>
      </c>
      <c r="D17">
        <v>0.92349839996313599</v>
      </c>
      <c r="E17" t="s">
        <v>47</v>
      </c>
      <c r="F17" t="s">
        <v>48</v>
      </c>
      <c r="G17" t="s">
        <v>50</v>
      </c>
      <c r="H17">
        <v>15</v>
      </c>
      <c r="I17">
        <v>15</v>
      </c>
      <c r="J17">
        <v>0</v>
      </c>
      <c r="K17" t="s">
        <v>50</v>
      </c>
      <c r="L17">
        <v>1</v>
      </c>
      <c r="M17">
        <v>0.92349839996313599</v>
      </c>
      <c r="N17" t="s">
        <v>51</v>
      </c>
      <c r="O17">
        <v>0</v>
      </c>
      <c r="P17">
        <v>15</v>
      </c>
      <c r="Q17">
        <v>15</v>
      </c>
      <c r="R17">
        <v>11</v>
      </c>
      <c r="S17">
        <v>27.5244976000394</v>
      </c>
      <c r="X17">
        <v>27.5134147000499</v>
      </c>
      <c r="Y17">
        <v>27.5244976000394</v>
      </c>
      <c r="Z17">
        <v>28.023710200039201</v>
      </c>
      <c r="AA17">
        <v>28.023710200039201</v>
      </c>
      <c r="AB17">
        <v>28.023710200039201</v>
      </c>
      <c r="AC17">
        <v>28.9602023000479</v>
      </c>
      <c r="AD17" t="s">
        <v>50</v>
      </c>
      <c r="AE17">
        <v>1</v>
      </c>
      <c r="AF17">
        <v>0.92349839996313599</v>
      </c>
      <c r="AG17" t="s">
        <v>51</v>
      </c>
      <c r="AK17" t="s">
        <v>89</v>
      </c>
      <c r="AL17">
        <v>1</v>
      </c>
      <c r="AM17" t="s">
        <v>42</v>
      </c>
      <c r="AN17" t="s">
        <v>43</v>
      </c>
      <c r="AP17" t="s">
        <v>44</v>
      </c>
      <c r="AQ17">
        <v>59.778723070926397</v>
      </c>
      <c r="AR17" t="s">
        <v>45</v>
      </c>
    </row>
    <row r="18" spans="1:44" x14ac:dyDescent="0.3">
      <c r="A18" t="s">
        <v>75</v>
      </c>
      <c r="B18" t="s">
        <v>49</v>
      </c>
      <c r="C18" s="2" t="str">
        <f t="shared" si="0"/>
        <v>Neutral</v>
      </c>
      <c r="D18">
        <v>0.648784300021361</v>
      </c>
      <c r="E18" t="s">
        <v>47</v>
      </c>
      <c r="F18" t="s">
        <v>61</v>
      </c>
      <c r="G18" t="s">
        <v>63</v>
      </c>
      <c r="H18">
        <v>16</v>
      </c>
      <c r="I18">
        <v>16</v>
      </c>
      <c r="J18">
        <v>0</v>
      </c>
      <c r="K18" t="s">
        <v>63</v>
      </c>
      <c r="L18">
        <v>1</v>
      </c>
      <c r="M18">
        <v>0.648784300021361</v>
      </c>
      <c r="N18" t="s">
        <v>51</v>
      </c>
      <c r="O18">
        <v>0</v>
      </c>
      <c r="P18">
        <v>16</v>
      </c>
      <c r="Q18">
        <v>16</v>
      </c>
      <c r="R18">
        <v>16</v>
      </c>
      <c r="S18">
        <v>28.973710899997901</v>
      </c>
      <c r="X18">
        <v>28.962873600015801</v>
      </c>
      <c r="Y18">
        <v>28.973710899997901</v>
      </c>
      <c r="Z18">
        <v>29.474675800010999</v>
      </c>
      <c r="AA18">
        <v>29.474675800010999</v>
      </c>
      <c r="AB18">
        <v>29.474675800010999</v>
      </c>
      <c r="AC18">
        <v>30.126941599999501</v>
      </c>
      <c r="AD18" t="s">
        <v>63</v>
      </c>
      <c r="AE18">
        <v>1</v>
      </c>
      <c r="AF18">
        <v>0.648784300021361</v>
      </c>
      <c r="AG18" t="s">
        <v>51</v>
      </c>
      <c r="AK18" t="s">
        <v>89</v>
      </c>
      <c r="AL18">
        <v>1</v>
      </c>
      <c r="AM18" t="s">
        <v>42</v>
      </c>
      <c r="AN18" t="s">
        <v>43</v>
      </c>
      <c r="AP18" t="s">
        <v>44</v>
      </c>
      <c r="AQ18">
        <v>59.778723070926397</v>
      </c>
      <c r="AR18" t="s">
        <v>45</v>
      </c>
    </row>
    <row r="19" spans="1:44" x14ac:dyDescent="0.3">
      <c r="A19" t="s">
        <v>76</v>
      </c>
      <c r="B19" t="s">
        <v>49</v>
      </c>
      <c r="C19" s="2" t="str">
        <f t="shared" si="0"/>
        <v>Emotional-I</v>
      </c>
      <c r="D19">
        <v>1.05651660001603</v>
      </c>
      <c r="E19" t="s">
        <v>59</v>
      </c>
      <c r="F19" t="s">
        <v>48</v>
      </c>
      <c r="G19" t="s">
        <v>50</v>
      </c>
      <c r="H19">
        <v>17</v>
      </c>
      <c r="I19">
        <v>17</v>
      </c>
      <c r="J19">
        <v>0</v>
      </c>
      <c r="K19" t="s">
        <v>50</v>
      </c>
      <c r="L19">
        <v>1</v>
      </c>
      <c r="M19">
        <v>1.05651660001603</v>
      </c>
      <c r="N19" t="s">
        <v>51</v>
      </c>
      <c r="O19">
        <v>0</v>
      </c>
      <c r="P19">
        <v>17</v>
      </c>
      <c r="Q19">
        <v>17</v>
      </c>
      <c r="R19">
        <v>3</v>
      </c>
      <c r="S19">
        <v>30.141102300025501</v>
      </c>
      <c r="X19">
        <v>30.1297132000327</v>
      </c>
      <c r="Y19">
        <v>30.141102300025501</v>
      </c>
      <c r="Z19">
        <v>30.6401149000157</v>
      </c>
      <c r="AA19">
        <v>30.6401149000157</v>
      </c>
      <c r="AB19">
        <v>30.6401149000157</v>
      </c>
      <c r="AC19">
        <v>31.710906199994401</v>
      </c>
      <c r="AD19" t="s">
        <v>50</v>
      </c>
      <c r="AE19">
        <v>1</v>
      </c>
      <c r="AF19">
        <v>1.05651660001603</v>
      </c>
      <c r="AG19" t="s">
        <v>51</v>
      </c>
      <c r="AK19" t="s">
        <v>89</v>
      </c>
      <c r="AL19">
        <v>1</v>
      </c>
      <c r="AM19" t="s">
        <v>42</v>
      </c>
      <c r="AN19" t="s">
        <v>43</v>
      </c>
      <c r="AP19" t="s">
        <v>44</v>
      </c>
      <c r="AQ19">
        <v>59.778723070926397</v>
      </c>
      <c r="AR19" t="s">
        <v>45</v>
      </c>
    </row>
    <row r="20" spans="1:44" x14ac:dyDescent="0.3">
      <c r="A20" t="s">
        <v>77</v>
      </c>
      <c r="B20" t="s">
        <v>62</v>
      </c>
      <c r="C20" s="2" t="str">
        <f t="shared" si="0"/>
        <v>Emotional-C</v>
      </c>
      <c r="D20">
        <v>0.62281219998840198</v>
      </c>
      <c r="E20" t="s">
        <v>59</v>
      </c>
      <c r="F20" t="s">
        <v>61</v>
      </c>
      <c r="G20" t="s">
        <v>63</v>
      </c>
      <c r="H20">
        <v>18</v>
      </c>
      <c r="I20">
        <v>18</v>
      </c>
      <c r="J20">
        <v>0</v>
      </c>
      <c r="K20" t="s">
        <v>63</v>
      </c>
      <c r="L20">
        <v>1</v>
      </c>
      <c r="M20">
        <v>0.62281219998840198</v>
      </c>
      <c r="N20" t="s">
        <v>51</v>
      </c>
      <c r="O20">
        <v>0</v>
      </c>
      <c r="P20">
        <v>18</v>
      </c>
      <c r="Q20">
        <v>18</v>
      </c>
      <c r="R20">
        <v>4</v>
      </c>
      <c r="S20">
        <v>31.723213899996999</v>
      </c>
      <c r="X20">
        <v>31.7135424000443</v>
      </c>
      <c r="Y20">
        <v>31.723213899996999</v>
      </c>
      <c r="Z20">
        <v>32.223322000005197</v>
      </c>
      <c r="AA20">
        <v>32.223322000005197</v>
      </c>
      <c r="AB20">
        <v>32.223322000005197</v>
      </c>
      <c r="AC20">
        <v>32.860314699995797</v>
      </c>
      <c r="AD20" t="s">
        <v>63</v>
      </c>
      <c r="AE20">
        <v>1</v>
      </c>
      <c r="AF20">
        <v>0.62281219998840198</v>
      </c>
      <c r="AG20" t="s">
        <v>51</v>
      </c>
      <c r="AK20" t="s">
        <v>89</v>
      </c>
      <c r="AL20">
        <v>1</v>
      </c>
      <c r="AM20" t="s">
        <v>42</v>
      </c>
      <c r="AN20" t="s">
        <v>43</v>
      </c>
      <c r="AP20" t="s">
        <v>44</v>
      </c>
      <c r="AQ20">
        <v>59.778723070926397</v>
      </c>
      <c r="AR20" t="s">
        <v>45</v>
      </c>
    </row>
    <row r="21" spans="1:44" x14ac:dyDescent="0.3">
      <c r="A21" t="s">
        <v>78</v>
      </c>
      <c r="B21" t="s">
        <v>49</v>
      </c>
      <c r="C21" s="2" t="str">
        <f t="shared" si="0"/>
        <v>Neutral</v>
      </c>
      <c r="D21">
        <v>0.75071069999830797</v>
      </c>
      <c r="E21" t="s">
        <v>47</v>
      </c>
      <c r="F21" t="s">
        <v>56</v>
      </c>
      <c r="G21" t="s">
        <v>57</v>
      </c>
      <c r="H21">
        <v>19</v>
      </c>
      <c r="I21">
        <v>19</v>
      </c>
      <c r="J21">
        <v>0</v>
      </c>
      <c r="K21" t="s">
        <v>57</v>
      </c>
      <c r="L21">
        <v>1</v>
      </c>
      <c r="M21">
        <v>0.75071069999830797</v>
      </c>
      <c r="N21" t="s">
        <v>51</v>
      </c>
      <c r="O21">
        <v>0</v>
      </c>
      <c r="P21">
        <v>19</v>
      </c>
      <c r="Q21">
        <v>19</v>
      </c>
      <c r="R21">
        <v>17</v>
      </c>
      <c r="S21">
        <v>32.873477699991703</v>
      </c>
      <c r="X21">
        <v>32.862819600035401</v>
      </c>
      <c r="Y21">
        <v>32.873477699991703</v>
      </c>
      <c r="Z21">
        <v>33.373045900021602</v>
      </c>
      <c r="AA21">
        <v>33.373045900021602</v>
      </c>
      <c r="AB21">
        <v>33.373045900021602</v>
      </c>
      <c r="AC21">
        <v>34.126590400002897</v>
      </c>
      <c r="AD21" t="s">
        <v>57</v>
      </c>
      <c r="AE21">
        <v>1</v>
      </c>
      <c r="AF21">
        <v>0.75071069999830797</v>
      </c>
      <c r="AG21" t="s">
        <v>51</v>
      </c>
      <c r="AK21" t="s">
        <v>89</v>
      </c>
      <c r="AL21">
        <v>1</v>
      </c>
      <c r="AM21" t="s">
        <v>42</v>
      </c>
      <c r="AN21" t="s">
        <v>43</v>
      </c>
      <c r="AP21" t="s">
        <v>44</v>
      </c>
      <c r="AQ21">
        <v>59.778723070926397</v>
      </c>
      <c r="AR21" t="s">
        <v>45</v>
      </c>
    </row>
    <row r="22" spans="1:44" x14ac:dyDescent="0.3">
      <c r="A22" t="s">
        <v>72</v>
      </c>
      <c r="B22" t="s">
        <v>62</v>
      </c>
      <c r="C22" s="2" t="str">
        <f t="shared" si="0"/>
        <v>Emotional-C</v>
      </c>
      <c r="D22">
        <v>0.98692230001324699</v>
      </c>
      <c r="E22" t="s">
        <v>59</v>
      </c>
      <c r="F22" t="s">
        <v>61</v>
      </c>
      <c r="G22" t="s">
        <v>63</v>
      </c>
      <c r="H22">
        <v>20</v>
      </c>
      <c r="I22">
        <v>0</v>
      </c>
      <c r="J22">
        <v>1</v>
      </c>
      <c r="K22" t="s">
        <v>63</v>
      </c>
      <c r="L22">
        <v>1</v>
      </c>
      <c r="M22">
        <v>0.98692230001324699</v>
      </c>
      <c r="N22" t="s">
        <v>51</v>
      </c>
      <c r="O22">
        <v>1</v>
      </c>
      <c r="P22">
        <v>0</v>
      </c>
      <c r="Q22">
        <v>20</v>
      </c>
      <c r="R22">
        <v>8</v>
      </c>
      <c r="S22">
        <v>34.140098900010301</v>
      </c>
      <c r="X22">
        <v>34.131296200037397</v>
      </c>
      <c r="Y22">
        <v>34.140098900010301</v>
      </c>
      <c r="Z22">
        <v>34.639927800046202</v>
      </c>
      <c r="AA22">
        <v>34.639927800046202</v>
      </c>
      <c r="AB22">
        <v>34.639927800046202</v>
      </c>
      <c r="AC22">
        <v>35.628105600015203</v>
      </c>
      <c r="AD22" t="s">
        <v>63</v>
      </c>
      <c r="AE22">
        <v>1</v>
      </c>
      <c r="AF22">
        <v>0.98692230001324699</v>
      </c>
      <c r="AG22" t="s">
        <v>51</v>
      </c>
      <c r="AK22" t="s">
        <v>89</v>
      </c>
      <c r="AL22">
        <v>1</v>
      </c>
      <c r="AM22" t="s">
        <v>42</v>
      </c>
      <c r="AN22" t="s">
        <v>43</v>
      </c>
      <c r="AP22" t="s">
        <v>44</v>
      </c>
      <c r="AQ22">
        <v>59.778723070926397</v>
      </c>
      <c r="AR22" t="s">
        <v>45</v>
      </c>
    </row>
    <row r="23" spans="1:44" x14ac:dyDescent="0.3">
      <c r="A23" t="s">
        <v>76</v>
      </c>
      <c r="B23" t="s">
        <v>49</v>
      </c>
      <c r="C23" s="2" t="str">
        <f t="shared" si="0"/>
        <v>Emotional-I</v>
      </c>
      <c r="D23">
        <v>1.5155499000102199</v>
      </c>
      <c r="E23" t="s">
        <v>59</v>
      </c>
      <c r="F23" t="s">
        <v>48</v>
      </c>
      <c r="G23" t="s">
        <v>50</v>
      </c>
      <c r="H23">
        <v>21</v>
      </c>
      <c r="I23">
        <v>1</v>
      </c>
      <c r="J23">
        <v>1</v>
      </c>
      <c r="K23" t="s">
        <v>50</v>
      </c>
      <c r="L23">
        <v>1</v>
      </c>
      <c r="M23">
        <v>1.5155499000102199</v>
      </c>
      <c r="N23" t="s">
        <v>51</v>
      </c>
      <c r="O23">
        <v>1</v>
      </c>
      <c r="P23">
        <v>1</v>
      </c>
      <c r="Q23">
        <v>21</v>
      </c>
      <c r="R23">
        <v>3</v>
      </c>
      <c r="S23">
        <v>35.6399502000422</v>
      </c>
      <c r="X23">
        <v>35.631956800003501</v>
      </c>
      <c r="Y23">
        <v>35.6399502000422</v>
      </c>
      <c r="Z23">
        <v>36.139951299992298</v>
      </c>
      <c r="AA23">
        <v>36.139951299992298</v>
      </c>
      <c r="AB23">
        <v>36.139951299992298</v>
      </c>
      <c r="AC23">
        <v>37.660562600009101</v>
      </c>
      <c r="AD23" t="s">
        <v>50</v>
      </c>
      <c r="AE23">
        <v>1</v>
      </c>
      <c r="AF23">
        <v>1.5155499000102199</v>
      </c>
      <c r="AG23" t="s">
        <v>51</v>
      </c>
      <c r="AK23" t="s">
        <v>89</v>
      </c>
      <c r="AL23">
        <v>1</v>
      </c>
      <c r="AM23" t="s">
        <v>42</v>
      </c>
      <c r="AN23" t="s">
        <v>43</v>
      </c>
      <c r="AP23" t="s">
        <v>44</v>
      </c>
      <c r="AQ23">
        <v>59.778723070926397</v>
      </c>
      <c r="AR23" t="s">
        <v>45</v>
      </c>
    </row>
    <row r="24" spans="1:44" x14ac:dyDescent="0.3">
      <c r="A24" t="s">
        <v>58</v>
      </c>
      <c r="B24" t="s">
        <v>49</v>
      </c>
      <c r="C24" s="2" t="str">
        <f t="shared" si="0"/>
        <v>Emotional-I</v>
      </c>
      <c r="D24">
        <v>0.65680330002214704</v>
      </c>
      <c r="E24" t="s">
        <v>59</v>
      </c>
      <c r="F24" t="s">
        <v>48</v>
      </c>
      <c r="G24" t="s">
        <v>50</v>
      </c>
      <c r="H24">
        <v>22</v>
      </c>
      <c r="I24">
        <v>2</v>
      </c>
      <c r="J24">
        <v>1</v>
      </c>
      <c r="K24" t="s">
        <v>50</v>
      </c>
      <c r="L24">
        <v>1</v>
      </c>
      <c r="M24">
        <v>0.65680330002214704</v>
      </c>
      <c r="N24" t="s">
        <v>51</v>
      </c>
      <c r="O24">
        <v>1</v>
      </c>
      <c r="P24">
        <v>2</v>
      </c>
      <c r="Q24">
        <v>22</v>
      </c>
      <c r="R24">
        <v>7</v>
      </c>
      <c r="S24">
        <v>37.673285400029201</v>
      </c>
      <c r="X24">
        <v>37.663423200021498</v>
      </c>
      <c r="Y24">
        <v>37.673285400029201</v>
      </c>
      <c r="Z24">
        <v>38.172922600002401</v>
      </c>
      <c r="AA24">
        <v>38.172922600002401</v>
      </c>
      <c r="AB24">
        <v>38.172922600002401</v>
      </c>
      <c r="AC24">
        <v>38.843520700000198</v>
      </c>
      <c r="AD24" t="s">
        <v>50</v>
      </c>
      <c r="AE24">
        <v>1</v>
      </c>
      <c r="AF24">
        <v>0.65680330002214704</v>
      </c>
      <c r="AG24" t="s">
        <v>51</v>
      </c>
      <c r="AK24" t="s">
        <v>89</v>
      </c>
      <c r="AL24">
        <v>1</v>
      </c>
      <c r="AM24" t="s">
        <v>42</v>
      </c>
      <c r="AN24" t="s">
        <v>43</v>
      </c>
      <c r="AP24" t="s">
        <v>44</v>
      </c>
      <c r="AQ24">
        <v>59.778723070926397</v>
      </c>
      <c r="AR24" t="s">
        <v>45</v>
      </c>
    </row>
    <row r="25" spans="1:44" x14ac:dyDescent="0.3">
      <c r="A25" t="s">
        <v>71</v>
      </c>
      <c r="B25" t="s">
        <v>49</v>
      </c>
      <c r="C25" s="2" t="str">
        <f t="shared" si="0"/>
        <v>Neutral</v>
      </c>
      <c r="D25">
        <v>0.57917979999910996</v>
      </c>
      <c r="E25" t="s">
        <v>47</v>
      </c>
      <c r="F25" t="s">
        <v>48</v>
      </c>
      <c r="G25" t="s">
        <v>50</v>
      </c>
      <c r="H25">
        <v>23</v>
      </c>
      <c r="I25">
        <v>3</v>
      </c>
      <c r="J25">
        <v>1</v>
      </c>
      <c r="K25" t="s">
        <v>50</v>
      </c>
      <c r="L25">
        <v>1</v>
      </c>
      <c r="M25">
        <v>0.57917979999910996</v>
      </c>
      <c r="N25" t="s">
        <v>51</v>
      </c>
      <c r="O25">
        <v>1</v>
      </c>
      <c r="P25">
        <v>3</v>
      </c>
      <c r="Q25">
        <v>23</v>
      </c>
      <c r="R25">
        <v>15</v>
      </c>
      <c r="S25">
        <v>38.856756900029701</v>
      </c>
      <c r="X25">
        <v>38.847112100047497</v>
      </c>
      <c r="Y25">
        <v>38.856756900029701</v>
      </c>
      <c r="Z25">
        <v>39.356361200043402</v>
      </c>
      <c r="AA25">
        <v>39.356361200043402</v>
      </c>
      <c r="AB25">
        <v>39.356361200043402</v>
      </c>
      <c r="AC25">
        <v>39.943028600013299</v>
      </c>
      <c r="AD25" t="s">
        <v>50</v>
      </c>
      <c r="AE25">
        <v>1</v>
      </c>
      <c r="AF25">
        <v>0.57917979999910996</v>
      </c>
      <c r="AG25" t="s">
        <v>51</v>
      </c>
      <c r="AK25" t="s">
        <v>89</v>
      </c>
      <c r="AL25">
        <v>1</v>
      </c>
      <c r="AM25" t="s">
        <v>42</v>
      </c>
      <c r="AN25" t="s">
        <v>43</v>
      </c>
      <c r="AP25" t="s">
        <v>44</v>
      </c>
      <c r="AQ25">
        <v>59.778723070926397</v>
      </c>
      <c r="AR25" t="s">
        <v>45</v>
      </c>
    </row>
    <row r="26" spans="1:44" x14ac:dyDescent="0.3">
      <c r="A26" t="s">
        <v>55</v>
      </c>
      <c r="B26" t="s">
        <v>49</v>
      </c>
      <c r="C26" s="2" t="str">
        <f t="shared" si="0"/>
        <v>Neutral</v>
      </c>
      <c r="D26">
        <v>0.88088140002218995</v>
      </c>
      <c r="E26" t="s">
        <v>47</v>
      </c>
      <c r="F26" t="s">
        <v>56</v>
      </c>
      <c r="G26" t="s">
        <v>57</v>
      </c>
      <c r="H26">
        <v>24</v>
      </c>
      <c r="I26">
        <v>4</v>
      </c>
      <c r="J26">
        <v>1</v>
      </c>
      <c r="K26" t="s">
        <v>57</v>
      </c>
      <c r="L26">
        <v>1</v>
      </c>
      <c r="M26">
        <v>0.88088140002218995</v>
      </c>
      <c r="N26" t="s">
        <v>51</v>
      </c>
      <c r="O26">
        <v>1</v>
      </c>
      <c r="P26">
        <v>4</v>
      </c>
      <c r="Q26">
        <v>24</v>
      </c>
      <c r="R26">
        <v>13</v>
      </c>
      <c r="S26">
        <v>39.956386200035901</v>
      </c>
      <c r="X26">
        <v>39.945968999992999</v>
      </c>
      <c r="Y26">
        <v>39.956386200035901</v>
      </c>
      <c r="Z26">
        <v>40.456794600002397</v>
      </c>
      <c r="AA26">
        <v>40.456794600002397</v>
      </c>
      <c r="AB26">
        <v>40.456794600002397</v>
      </c>
      <c r="AC26">
        <v>41.3436367000103</v>
      </c>
      <c r="AD26" t="s">
        <v>57</v>
      </c>
      <c r="AE26">
        <v>1</v>
      </c>
      <c r="AF26">
        <v>0.88088140002218995</v>
      </c>
      <c r="AG26" t="s">
        <v>51</v>
      </c>
      <c r="AK26" t="s">
        <v>89</v>
      </c>
      <c r="AL26">
        <v>1</v>
      </c>
      <c r="AM26" t="s">
        <v>42</v>
      </c>
      <c r="AN26" t="s">
        <v>43</v>
      </c>
      <c r="AP26" t="s">
        <v>44</v>
      </c>
      <c r="AQ26">
        <v>59.778723070926397</v>
      </c>
      <c r="AR26" t="s">
        <v>45</v>
      </c>
    </row>
    <row r="27" spans="1:44" x14ac:dyDescent="0.3">
      <c r="A27" t="s">
        <v>66</v>
      </c>
      <c r="B27" t="s">
        <v>49</v>
      </c>
      <c r="C27" s="2" t="str">
        <f t="shared" si="0"/>
        <v>Neutral</v>
      </c>
      <c r="D27">
        <v>0.56971549999434501</v>
      </c>
      <c r="E27" t="s">
        <v>47</v>
      </c>
      <c r="F27" t="s">
        <v>61</v>
      </c>
      <c r="G27" t="s">
        <v>63</v>
      </c>
      <c r="H27">
        <v>25</v>
      </c>
      <c r="I27">
        <v>5</v>
      </c>
      <c r="J27">
        <v>1</v>
      </c>
      <c r="K27" t="s">
        <v>63</v>
      </c>
      <c r="L27">
        <v>1</v>
      </c>
      <c r="M27">
        <v>0.56971549999434501</v>
      </c>
      <c r="N27" t="s">
        <v>51</v>
      </c>
      <c r="O27">
        <v>1</v>
      </c>
      <c r="P27">
        <v>5</v>
      </c>
      <c r="Q27">
        <v>25</v>
      </c>
      <c r="R27">
        <v>12</v>
      </c>
      <c r="S27">
        <v>41.356142700009499</v>
      </c>
      <c r="X27">
        <v>41.346442100009803</v>
      </c>
      <c r="Y27">
        <v>41.356142700009499</v>
      </c>
      <c r="Z27">
        <v>41.857288099999998</v>
      </c>
      <c r="AA27">
        <v>41.857288099999998</v>
      </c>
      <c r="AB27">
        <v>41.857288099999998</v>
      </c>
      <c r="AC27">
        <v>42.428038300014997</v>
      </c>
      <c r="AD27" t="s">
        <v>63</v>
      </c>
      <c r="AE27">
        <v>1</v>
      </c>
      <c r="AF27">
        <v>0.56971549999434501</v>
      </c>
      <c r="AG27" t="s">
        <v>51</v>
      </c>
      <c r="AK27" t="s">
        <v>89</v>
      </c>
      <c r="AL27">
        <v>1</v>
      </c>
      <c r="AM27" t="s">
        <v>42</v>
      </c>
      <c r="AN27" t="s">
        <v>43</v>
      </c>
      <c r="AP27" t="s">
        <v>44</v>
      </c>
      <c r="AQ27">
        <v>59.778723070926397</v>
      </c>
      <c r="AR27" t="s">
        <v>45</v>
      </c>
    </row>
    <row r="28" spans="1:44" x14ac:dyDescent="0.3">
      <c r="A28" t="s">
        <v>78</v>
      </c>
      <c r="B28" t="s">
        <v>49</v>
      </c>
      <c r="C28" s="2" t="str">
        <f t="shared" si="0"/>
        <v>Neutral</v>
      </c>
      <c r="D28">
        <v>0.75970100000267804</v>
      </c>
      <c r="E28" t="s">
        <v>47</v>
      </c>
      <c r="F28" t="s">
        <v>56</v>
      </c>
      <c r="G28" t="s">
        <v>57</v>
      </c>
      <c r="H28">
        <v>26</v>
      </c>
      <c r="I28">
        <v>6</v>
      </c>
      <c r="J28">
        <v>1</v>
      </c>
      <c r="K28" t="s">
        <v>57</v>
      </c>
      <c r="L28">
        <v>1</v>
      </c>
      <c r="M28">
        <v>0.75970100000267804</v>
      </c>
      <c r="N28" t="s">
        <v>51</v>
      </c>
      <c r="O28">
        <v>1</v>
      </c>
      <c r="P28">
        <v>6</v>
      </c>
      <c r="Q28">
        <v>26</v>
      </c>
      <c r="R28">
        <v>17</v>
      </c>
      <c r="S28">
        <v>42.439452400023498</v>
      </c>
      <c r="X28">
        <v>42.431106800038798</v>
      </c>
      <c r="Y28">
        <v>42.439452400023498</v>
      </c>
      <c r="Z28">
        <v>42.939586199994601</v>
      </c>
      <c r="AA28">
        <v>42.939586199994601</v>
      </c>
      <c r="AB28">
        <v>42.939586199994601</v>
      </c>
      <c r="AC28">
        <v>43.7100341000477</v>
      </c>
      <c r="AD28" t="s">
        <v>57</v>
      </c>
      <c r="AE28">
        <v>1</v>
      </c>
      <c r="AF28">
        <v>0.75970100000267804</v>
      </c>
      <c r="AG28" t="s">
        <v>51</v>
      </c>
      <c r="AK28" t="s">
        <v>89</v>
      </c>
      <c r="AL28">
        <v>1</v>
      </c>
      <c r="AM28" t="s">
        <v>42</v>
      </c>
      <c r="AN28" t="s">
        <v>43</v>
      </c>
      <c r="AP28" t="s">
        <v>44</v>
      </c>
      <c r="AQ28">
        <v>59.778723070926397</v>
      </c>
      <c r="AR28" t="s">
        <v>45</v>
      </c>
    </row>
    <row r="29" spans="1:44" x14ac:dyDescent="0.3">
      <c r="A29" t="s">
        <v>46</v>
      </c>
      <c r="B29" t="s">
        <v>49</v>
      </c>
      <c r="C29" s="2" t="str">
        <f t="shared" si="0"/>
        <v>Neutral</v>
      </c>
      <c r="D29">
        <v>0.99808479996863697</v>
      </c>
      <c r="E29" t="s">
        <v>47</v>
      </c>
      <c r="F29" t="s">
        <v>48</v>
      </c>
      <c r="G29" t="s">
        <v>50</v>
      </c>
      <c r="H29">
        <v>27</v>
      </c>
      <c r="I29">
        <v>7</v>
      </c>
      <c r="J29">
        <v>1</v>
      </c>
      <c r="K29" t="s">
        <v>50</v>
      </c>
      <c r="L29">
        <v>1</v>
      </c>
      <c r="M29">
        <v>0.99808479996863697</v>
      </c>
      <c r="N29" t="s">
        <v>51</v>
      </c>
      <c r="O29">
        <v>1</v>
      </c>
      <c r="P29">
        <v>7</v>
      </c>
      <c r="Q29">
        <v>27</v>
      </c>
      <c r="R29">
        <v>19</v>
      </c>
      <c r="S29">
        <v>43.722965700027999</v>
      </c>
      <c r="X29">
        <v>43.7126861000433</v>
      </c>
      <c r="Y29">
        <v>43.722965700027999</v>
      </c>
      <c r="Z29">
        <v>44.223297999997101</v>
      </c>
      <c r="AA29">
        <v>44.223297999997101</v>
      </c>
      <c r="AB29">
        <v>44.223297999997101</v>
      </c>
      <c r="AC29">
        <v>45.2273411000496</v>
      </c>
      <c r="AD29" t="s">
        <v>50</v>
      </c>
      <c r="AE29">
        <v>1</v>
      </c>
      <c r="AF29">
        <v>0.99808479996863697</v>
      </c>
      <c r="AG29" t="s">
        <v>51</v>
      </c>
      <c r="AK29" t="s">
        <v>89</v>
      </c>
      <c r="AL29">
        <v>1</v>
      </c>
      <c r="AM29" t="s">
        <v>42</v>
      </c>
      <c r="AN29" t="s">
        <v>43</v>
      </c>
      <c r="AP29" t="s">
        <v>44</v>
      </c>
      <c r="AQ29">
        <v>59.778723070926397</v>
      </c>
      <c r="AR29" t="s">
        <v>45</v>
      </c>
    </row>
    <row r="30" spans="1:44" x14ac:dyDescent="0.3">
      <c r="A30" t="s">
        <v>70</v>
      </c>
      <c r="B30" t="s">
        <v>49</v>
      </c>
      <c r="C30" s="2" t="str">
        <f t="shared" si="0"/>
        <v>Emotional-I</v>
      </c>
      <c r="D30">
        <v>0.92719449999276504</v>
      </c>
      <c r="E30" t="s">
        <v>59</v>
      </c>
      <c r="F30" t="s">
        <v>53</v>
      </c>
      <c r="G30" t="s">
        <v>54</v>
      </c>
      <c r="H30">
        <v>28</v>
      </c>
      <c r="I30">
        <v>8</v>
      </c>
      <c r="J30">
        <v>1</v>
      </c>
      <c r="K30" t="s">
        <v>54</v>
      </c>
      <c r="L30">
        <v>1</v>
      </c>
      <c r="M30">
        <v>0.92719449999276504</v>
      </c>
      <c r="N30" t="s">
        <v>51</v>
      </c>
      <c r="O30">
        <v>1</v>
      </c>
      <c r="P30">
        <v>8</v>
      </c>
      <c r="Q30">
        <v>28</v>
      </c>
      <c r="R30">
        <v>2</v>
      </c>
      <c r="S30">
        <v>45.239229200000402</v>
      </c>
      <c r="X30">
        <v>45.229940399993197</v>
      </c>
      <c r="Y30">
        <v>45.239229200000402</v>
      </c>
      <c r="Z30">
        <v>45.7390601999941</v>
      </c>
      <c r="AA30">
        <v>45.7390601999941</v>
      </c>
      <c r="AB30">
        <v>45.7390601999941</v>
      </c>
      <c r="AC30">
        <v>46.676763900031801</v>
      </c>
      <c r="AD30" t="s">
        <v>54</v>
      </c>
      <c r="AE30">
        <v>1</v>
      </c>
      <c r="AF30">
        <v>0.92719449999276504</v>
      </c>
      <c r="AG30" t="s">
        <v>51</v>
      </c>
      <c r="AK30" t="s">
        <v>89</v>
      </c>
      <c r="AL30">
        <v>1</v>
      </c>
      <c r="AM30" t="s">
        <v>42</v>
      </c>
      <c r="AN30" t="s">
        <v>43</v>
      </c>
      <c r="AP30" t="s">
        <v>44</v>
      </c>
      <c r="AQ30">
        <v>59.778723070926397</v>
      </c>
      <c r="AR30" t="s">
        <v>45</v>
      </c>
    </row>
    <row r="31" spans="1:44" x14ac:dyDescent="0.3">
      <c r="A31" t="s">
        <v>68</v>
      </c>
      <c r="B31" t="s">
        <v>49</v>
      </c>
      <c r="C31" s="2" t="str">
        <f t="shared" si="0"/>
        <v>Emotional-I</v>
      </c>
      <c r="D31">
        <v>1.11945810000179</v>
      </c>
      <c r="E31" t="s">
        <v>59</v>
      </c>
      <c r="F31" t="s">
        <v>53</v>
      </c>
      <c r="G31" t="s">
        <v>54</v>
      </c>
      <c r="H31">
        <v>29</v>
      </c>
      <c r="I31">
        <v>9</v>
      </c>
      <c r="J31">
        <v>1</v>
      </c>
      <c r="K31" t="s">
        <v>54</v>
      </c>
      <c r="L31">
        <v>1</v>
      </c>
      <c r="M31">
        <v>1.11945810000179</v>
      </c>
      <c r="N31" t="s">
        <v>51</v>
      </c>
      <c r="O31">
        <v>1</v>
      </c>
      <c r="P31">
        <v>9</v>
      </c>
      <c r="Q31">
        <v>29</v>
      </c>
      <c r="R31">
        <v>6</v>
      </c>
      <c r="S31">
        <v>46.690112200041703</v>
      </c>
      <c r="X31">
        <v>46.679424800036898</v>
      </c>
      <c r="Y31">
        <v>46.690112200041703</v>
      </c>
      <c r="Z31">
        <v>47.189202200039198</v>
      </c>
      <c r="AA31">
        <v>47.189202200039198</v>
      </c>
      <c r="AB31">
        <v>47.189202200039198</v>
      </c>
      <c r="AC31">
        <v>48.311238900001598</v>
      </c>
      <c r="AD31" t="s">
        <v>54</v>
      </c>
      <c r="AE31">
        <v>1</v>
      </c>
      <c r="AF31">
        <v>1.11945810000179</v>
      </c>
      <c r="AG31" t="s">
        <v>51</v>
      </c>
      <c r="AK31" t="s">
        <v>89</v>
      </c>
      <c r="AL31">
        <v>1</v>
      </c>
      <c r="AM31" t="s">
        <v>42</v>
      </c>
      <c r="AN31" t="s">
        <v>43</v>
      </c>
      <c r="AP31" t="s">
        <v>44</v>
      </c>
      <c r="AQ31">
        <v>59.778723070926397</v>
      </c>
      <c r="AR31" t="s">
        <v>45</v>
      </c>
    </row>
    <row r="32" spans="1:44" x14ac:dyDescent="0.3">
      <c r="A32" t="s">
        <v>74</v>
      </c>
      <c r="B32" t="s">
        <v>49</v>
      </c>
      <c r="C32" s="2" t="str">
        <f t="shared" si="0"/>
        <v>Neutral</v>
      </c>
      <c r="D32">
        <v>0.78925979998894003</v>
      </c>
      <c r="E32" t="s">
        <v>47</v>
      </c>
      <c r="F32" t="s">
        <v>48</v>
      </c>
      <c r="G32" t="s">
        <v>50</v>
      </c>
      <c r="H32">
        <v>30</v>
      </c>
      <c r="I32">
        <v>10</v>
      </c>
      <c r="J32">
        <v>1</v>
      </c>
      <c r="K32" t="s">
        <v>50</v>
      </c>
      <c r="L32">
        <v>1</v>
      </c>
      <c r="M32">
        <v>0.78925979998894003</v>
      </c>
      <c r="N32" t="s">
        <v>51</v>
      </c>
      <c r="O32">
        <v>1</v>
      </c>
      <c r="P32">
        <v>10</v>
      </c>
      <c r="Q32">
        <v>30</v>
      </c>
      <c r="R32">
        <v>11</v>
      </c>
      <c r="S32">
        <v>48.322324900014699</v>
      </c>
      <c r="X32">
        <v>48.315476900024798</v>
      </c>
      <c r="Y32">
        <v>48.322324900014699</v>
      </c>
      <c r="Z32">
        <v>48.822120400029199</v>
      </c>
      <c r="AA32">
        <v>48.822120400029199</v>
      </c>
      <c r="AB32">
        <v>48.822120400029199</v>
      </c>
      <c r="AC32">
        <v>49.6262293000472</v>
      </c>
      <c r="AD32" t="s">
        <v>50</v>
      </c>
      <c r="AE32">
        <v>1</v>
      </c>
      <c r="AF32">
        <v>0.78925979998894003</v>
      </c>
      <c r="AG32" t="s">
        <v>51</v>
      </c>
      <c r="AK32" t="s">
        <v>89</v>
      </c>
      <c r="AL32">
        <v>1</v>
      </c>
      <c r="AM32" t="s">
        <v>42</v>
      </c>
      <c r="AN32" t="s">
        <v>43</v>
      </c>
      <c r="AP32" t="s">
        <v>44</v>
      </c>
      <c r="AQ32">
        <v>59.778723070926397</v>
      </c>
      <c r="AR32" t="s">
        <v>45</v>
      </c>
    </row>
    <row r="33" spans="1:44" x14ac:dyDescent="0.3">
      <c r="A33" t="s">
        <v>64</v>
      </c>
      <c r="B33" t="s">
        <v>49</v>
      </c>
      <c r="C33" s="2" t="str">
        <f t="shared" si="0"/>
        <v>Neutral</v>
      </c>
      <c r="D33">
        <v>0.74914150004042301</v>
      </c>
      <c r="E33" t="s">
        <v>47</v>
      </c>
      <c r="F33" t="s">
        <v>53</v>
      </c>
      <c r="G33" t="s">
        <v>54</v>
      </c>
      <c r="H33">
        <v>31</v>
      </c>
      <c r="I33">
        <v>11</v>
      </c>
      <c r="J33">
        <v>1</v>
      </c>
      <c r="K33" t="s">
        <v>54</v>
      </c>
      <c r="L33">
        <v>1</v>
      </c>
      <c r="M33">
        <v>0.74914150004042301</v>
      </c>
      <c r="N33" t="s">
        <v>51</v>
      </c>
      <c r="O33">
        <v>1</v>
      </c>
      <c r="P33">
        <v>11</v>
      </c>
      <c r="Q33">
        <v>31</v>
      </c>
      <c r="R33">
        <v>18</v>
      </c>
      <c r="S33">
        <v>49.639300300041199</v>
      </c>
      <c r="X33">
        <v>49.630294400034401</v>
      </c>
      <c r="Y33">
        <v>49.639300300041199</v>
      </c>
      <c r="Z33">
        <v>50.139371299999702</v>
      </c>
      <c r="AA33">
        <v>50.139371299999702</v>
      </c>
      <c r="AB33">
        <v>50.139371299999702</v>
      </c>
      <c r="AC33">
        <v>50.894102799997199</v>
      </c>
      <c r="AD33" t="s">
        <v>54</v>
      </c>
      <c r="AE33">
        <v>1</v>
      </c>
      <c r="AF33">
        <v>0.74914150004042301</v>
      </c>
      <c r="AG33" t="s">
        <v>51</v>
      </c>
      <c r="AK33" t="s">
        <v>89</v>
      </c>
      <c r="AL33">
        <v>1</v>
      </c>
      <c r="AM33" t="s">
        <v>42</v>
      </c>
      <c r="AN33" t="s">
        <v>43</v>
      </c>
      <c r="AP33" t="s">
        <v>44</v>
      </c>
      <c r="AQ33">
        <v>59.778723070926397</v>
      </c>
      <c r="AR33" t="s">
        <v>45</v>
      </c>
    </row>
    <row r="34" spans="1:44" x14ac:dyDescent="0.3">
      <c r="A34" t="s">
        <v>67</v>
      </c>
      <c r="B34" t="s">
        <v>49</v>
      </c>
      <c r="C34" s="2" t="str">
        <f t="shared" si="0"/>
        <v>Neutral</v>
      </c>
      <c r="D34">
        <v>0.76926109998021197</v>
      </c>
      <c r="E34" t="s">
        <v>47</v>
      </c>
      <c r="F34" t="s">
        <v>53</v>
      </c>
      <c r="G34" t="s">
        <v>54</v>
      </c>
      <c r="H34">
        <v>32</v>
      </c>
      <c r="I34">
        <v>12</v>
      </c>
      <c r="J34">
        <v>1</v>
      </c>
      <c r="K34" t="s">
        <v>54</v>
      </c>
      <c r="L34">
        <v>1</v>
      </c>
      <c r="M34">
        <v>0.76926109998021197</v>
      </c>
      <c r="N34" t="s">
        <v>51</v>
      </c>
      <c r="O34">
        <v>1</v>
      </c>
      <c r="P34">
        <v>12</v>
      </c>
      <c r="Q34">
        <v>32</v>
      </c>
      <c r="R34">
        <v>10</v>
      </c>
      <c r="S34">
        <v>50.905838400009003</v>
      </c>
      <c r="X34">
        <v>50.897383700008497</v>
      </c>
      <c r="Y34">
        <v>50.905838400009003</v>
      </c>
      <c r="Z34">
        <v>51.405864600033901</v>
      </c>
      <c r="AA34">
        <v>51.405864600033901</v>
      </c>
      <c r="AB34">
        <v>51.405864600033901</v>
      </c>
      <c r="AC34">
        <v>52.176661000004898</v>
      </c>
      <c r="AD34" t="s">
        <v>54</v>
      </c>
      <c r="AE34">
        <v>1</v>
      </c>
      <c r="AF34">
        <v>0.76926109998021197</v>
      </c>
      <c r="AG34" t="s">
        <v>51</v>
      </c>
      <c r="AK34" t="s">
        <v>89</v>
      </c>
      <c r="AL34">
        <v>1</v>
      </c>
      <c r="AM34" t="s">
        <v>42</v>
      </c>
      <c r="AN34" t="s">
        <v>43</v>
      </c>
      <c r="AP34" t="s">
        <v>44</v>
      </c>
      <c r="AQ34">
        <v>59.778723070926397</v>
      </c>
      <c r="AR34" t="s">
        <v>45</v>
      </c>
    </row>
    <row r="35" spans="1:44" x14ac:dyDescent="0.3">
      <c r="A35" t="s">
        <v>77</v>
      </c>
      <c r="B35" t="s">
        <v>62</v>
      </c>
      <c r="C35" s="2" t="str">
        <f t="shared" si="0"/>
        <v>Emotional-C</v>
      </c>
      <c r="D35">
        <v>1.88923420000355</v>
      </c>
      <c r="E35" t="s">
        <v>59</v>
      </c>
      <c r="F35" t="s">
        <v>61</v>
      </c>
      <c r="G35" t="s">
        <v>63</v>
      </c>
      <c r="H35">
        <v>33</v>
      </c>
      <c r="I35">
        <v>13</v>
      </c>
      <c r="J35">
        <v>1</v>
      </c>
      <c r="K35" t="s">
        <v>63</v>
      </c>
      <c r="L35">
        <v>1</v>
      </c>
      <c r="M35">
        <v>1.88923420000355</v>
      </c>
      <c r="N35" t="s">
        <v>51</v>
      </c>
      <c r="O35">
        <v>1</v>
      </c>
      <c r="P35">
        <v>13</v>
      </c>
      <c r="Q35">
        <v>33</v>
      </c>
      <c r="R35">
        <v>4</v>
      </c>
      <c r="S35">
        <v>52.189035799994599</v>
      </c>
      <c r="X35">
        <v>52.180673199996797</v>
      </c>
      <c r="Y35">
        <v>52.189035799994599</v>
      </c>
      <c r="Z35">
        <v>52.689788600022403</v>
      </c>
      <c r="AA35">
        <v>52.689788600022403</v>
      </c>
      <c r="AB35">
        <v>52.689788600022403</v>
      </c>
      <c r="AC35">
        <v>54.593637800018698</v>
      </c>
      <c r="AD35" t="s">
        <v>63</v>
      </c>
      <c r="AE35">
        <v>1</v>
      </c>
      <c r="AF35">
        <v>1.88923420000355</v>
      </c>
      <c r="AG35" t="s">
        <v>51</v>
      </c>
      <c r="AK35" t="s">
        <v>89</v>
      </c>
      <c r="AL35">
        <v>1</v>
      </c>
      <c r="AM35" t="s">
        <v>42</v>
      </c>
      <c r="AN35" t="s">
        <v>43</v>
      </c>
      <c r="AP35" t="s">
        <v>44</v>
      </c>
      <c r="AQ35">
        <v>59.778723070926397</v>
      </c>
      <c r="AR35" t="s">
        <v>45</v>
      </c>
    </row>
    <row r="36" spans="1:44" x14ac:dyDescent="0.3">
      <c r="A36" t="s">
        <v>75</v>
      </c>
      <c r="B36" t="s">
        <v>49</v>
      </c>
      <c r="C36" s="2" t="str">
        <f t="shared" si="0"/>
        <v>Neutral</v>
      </c>
      <c r="D36">
        <v>0.80532189999939796</v>
      </c>
      <c r="E36" t="s">
        <v>47</v>
      </c>
      <c r="F36" t="s">
        <v>61</v>
      </c>
      <c r="G36" t="s">
        <v>63</v>
      </c>
      <c r="H36">
        <v>34</v>
      </c>
      <c r="I36">
        <v>14</v>
      </c>
      <c r="J36">
        <v>1</v>
      </c>
      <c r="K36" t="s">
        <v>63</v>
      </c>
      <c r="L36">
        <v>1</v>
      </c>
      <c r="M36">
        <v>0.80532189999939796</v>
      </c>
      <c r="N36" t="s">
        <v>51</v>
      </c>
      <c r="O36">
        <v>1</v>
      </c>
      <c r="P36">
        <v>14</v>
      </c>
      <c r="Q36">
        <v>34</v>
      </c>
      <c r="R36">
        <v>16</v>
      </c>
      <c r="S36">
        <v>54.6057891999953</v>
      </c>
      <c r="X36">
        <v>54.597089200047698</v>
      </c>
      <c r="Y36">
        <v>54.6057891999953</v>
      </c>
      <c r="Z36">
        <v>55.106565700029002</v>
      </c>
      <c r="AA36">
        <v>55.106565700029002</v>
      </c>
      <c r="AB36">
        <v>55.106565700029002</v>
      </c>
      <c r="AC36">
        <v>55.926176600041799</v>
      </c>
      <c r="AD36" t="s">
        <v>63</v>
      </c>
      <c r="AE36">
        <v>1</v>
      </c>
      <c r="AF36">
        <v>0.80532189999939796</v>
      </c>
      <c r="AG36" t="s">
        <v>51</v>
      </c>
      <c r="AK36" t="s">
        <v>89</v>
      </c>
      <c r="AL36">
        <v>1</v>
      </c>
      <c r="AM36" t="s">
        <v>42</v>
      </c>
      <c r="AN36" t="s">
        <v>43</v>
      </c>
      <c r="AP36" t="s">
        <v>44</v>
      </c>
      <c r="AQ36">
        <v>59.778723070926397</v>
      </c>
      <c r="AR36" t="s">
        <v>45</v>
      </c>
    </row>
    <row r="37" spans="1:44" x14ac:dyDescent="0.3">
      <c r="A37" t="s">
        <v>69</v>
      </c>
      <c r="B37" t="s">
        <v>49</v>
      </c>
      <c r="C37" s="2" t="str">
        <f t="shared" si="0"/>
        <v>Emotional-I</v>
      </c>
      <c r="D37">
        <v>0.73971350002102498</v>
      </c>
      <c r="E37" t="s">
        <v>59</v>
      </c>
      <c r="F37" t="s">
        <v>56</v>
      </c>
      <c r="G37" t="s">
        <v>57</v>
      </c>
      <c r="H37">
        <v>35</v>
      </c>
      <c r="I37">
        <v>15</v>
      </c>
      <c r="J37">
        <v>1</v>
      </c>
      <c r="K37" t="s">
        <v>57</v>
      </c>
      <c r="L37">
        <v>1</v>
      </c>
      <c r="M37">
        <v>0.73971350002102498</v>
      </c>
      <c r="N37" t="s">
        <v>51</v>
      </c>
      <c r="O37">
        <v>1</v>
      </c>
      <c r="P37">
        <v>15</v>
      </c>
      <c r="Q37">
        <v>35</v>
      </c>
      <c r="R37">
        <v>5</v>
      </c>
      <c r="S37">
        <v>55.939836100034803</v>
      </c>
      <c r="X37">
        <v>55.928977100003898</v>
      </c>
      <c r="Y37">
        <v>55.939836100034803</v>
      </c>
      <c r="Z37">
        <v>56.438719000027</v>
      </c>
      <c r="AA37">
        <v>56.438719000027</v>
      </c>
      <c r="AB37">
        <v>56.438719000027</v>
      </c>
      <c r="AC37">
        <v>57.193243700021398</v>
      </c>
      <c r="AD37" t="s">
        <v>57</v>
      </c>
      <c r="AE37">
        <v>1</v>
      </c>
      <c r="AF37">
        <v>0.73971350002102498</v>
      </c>
      <c r="AG37" t="s">
        <v>51</v>
      </c>
      <c r="AK37" t="s">
        <v>89</v>
      </c>
      <c r="AL37">
        <v>1</v>
      </c>
      <c r="AM37" t="s">
        <v>42</v>
      </c>
      <c r="AN37" t="s">
        <v>43</v>
      </c>
      <c r="AP37" t="s">
        <v>44</v>
      </c>
      <c r="AQ37">
        <v>59.778723070926397</v>
      </c>
      <c r="AR37" t="s">
        <v>45</v>
      </c>
    </row>
    <row r="38" spans="1:44" x14ac:dyDescent="0.3">
      <c r="A38" t="s">
        <v>73</v>
      </c>
      <c r="B38" t="s">
        <v>49</v>
      </c>
      <c r="C38" s="2" t="str">
        <f t="shared" si="0"/>
        <v>Emotional-I</v>
      </c>
      <c r="D38">
        <v>0.70396889996482004</v>
      </c>
      <c r="E38" t="s">
        <v>59</v>
      </c>
      <c r="F38" t="s">
        <v>56</v>
      </c>
      <c r="G38" t="s">
        <v>57</v>
      </c>
      <c r="H38">
        <v>36</v>
      </c>
      <c r="I38">
        <v>16</v>
      </c>
      <c r="J38">
        <v>1</v>
      </c>
      <c r="K38" t="s">
        <v>57</v>
      </c>
      <c r="L38">
        <v>1</v>
      </c>
      <c r="M38">
        <v>0.70396889996482004</v>
      </c>
      <c r="N38" t="s">
        <v>51</v>
      </c>
      <c r="O38">
        <v>1</v>
      </c>
      <c r="P38">
        <v>16</v>
      </c>
      <c r="Q38">
        <v>36</v>
      </c>
      <c r="R38">
        <v>1</v>
      </c>
      <c r="S38">
        <v>57.206388799997498</v>
      </c>
      <c r="X38">
        <v>57.196245800005201</v>
      </c>
      <c r="Y38">
        <v>57.206388799997498</v>
      </c>
      <c r="Z38">
        <v>57.706426499993498</v>
      </c>
      <c r="AA38">
        <v>57.706426499993498</v>
      </c>
      <c r="AB38">
        <v>57.706426499993498</v>
      </c>
      <c r="AC38">
        <v>58.426328500034202</v>
      </c>
      <c r="AD38" t="s">
        <v>57</v>
      </c>
      <c r="AE38">
        <v>1</v>
      </c>
      <c r="AF38">
        <v>0.70396889996482004</v>
      </c>
      <c r="AG38" t="s">
        <v>51</v>
      </c>
      <c r="AK38" t="s">
        <v>89</v>
      </c>
      <c r="AL38">
        <v>1</v>
      </c>
      <c r="AM38" t="s">
        <v>42</v>
      </c>
      <c r="AN38" t="s">
        <v>43</v>
      </c>
      <c r="AP38" t="s">
        <v>44</v>
      </c>
      <c r="AQ38">
        <v>59.778723070926397</v>
      </c>
      <c r="AR38" t="s">
        <v>45</v>
      </c>
    </row>
    <row r="39" spans="1:44" x14ac:dyDescent="0.3">
      <c r="A39" t="s">
        <v>60</v>
      </c>
      <c r="B39" t="s">
        <v>62</v>
      </c>
      <c r="C39" s="2" t="str">
        <f t="shared" si="0"/>
        <v>Emotional-C</v>
      </c>
      <c r="D39">
        <v>0.73132179997628499</v>
      </c>
      <c r="E39" t="s">
        <v>59</v>
      </c>
      <c r="F39" t="s">
        <v>61</v>
      </c>
      <c r="G39" t="s">
        <v>63</v>
      </c>
      <c r="H39">
        <v>37</v>
      </c>
      <c r="I39">
        <v>17</v>
      </c>
      <c r="J39">
        <v>1</v>
      </c>
      <c r="K39" t="s">
        <v>63</v>
      </c>
      <c r="L39">
        <v>1</v>
      </c>
      <c r="M39">
        <v>0.73132179997628499</v>
      </c>
      <c r="N39" t="s">
        <v>51</v>
      </c>
      <c r="O39">
        <v>1</v>
      </c>
      <c r="P39">
        <v>17</v>
      </c>
      <c r="Q39">
        <v>37</v>
      </c>
      <c r="R39">
        <v>0</v>
      </c>
      <c r="S39">
        <v>58.439457800006402</v>
      </c>
      <c r="X39">
        <v>58.428820100030798</v>
      </c>
      <c r="Y39">
        <v>58.439457800006402</v>
      </c>
      <c r="Z39">
        <v>58.938738199998603</v>
      </c>
      <c r="AA39">
        <v>58.938738199998603</v>
      </c>
      <c r="AB39">
        <v>58.938738199998603</v>
      </c>
      <c r="AC39">
        <v>59.676014900032897</v>
      </c>
      <c r="AD39" t="s">
        <v>63</v>
      </c>
      <c r="AE39">
        <v>1</v>
      </c>
      <c r="AF39">
        <v>0.73132179997628499</v>
      </c>
      <c r="AG39" t="s">
        <v>51</v>
      </c>
      <c r="AK39" t="s">
        <v>89</v>
      </c>
      <c r="AL39">
        <v>1</v>
      </c>
      <c r="AM39" t="s">
        <v>42</v>
      </c>
      <c r="AN39" t="s">
        <v>43</v>
      </c>
      <c r="AP39" t="s">
        <v>44</v>
      </c>
      <c r="AQ39">
        <v>59.778723070926397</v>
      </c>
      <c r="AR39" t="s">
        <v>45</v>
      </c>
    </row>
    <row r="40" spans="1:44" x14ac:dyDescent="0.3">
      <c r="A40" t="s">
        <v>65</v>
      </c>
      <c r="B40" t="s">
        <v>49</v>
      </c>
      <c r="C40" s="2" t="str">
        <f t="shared" si="0"/>
        <v>Emotional-I</v>
      </c>
      <c r="D40">
        <v>0.75086750002810698</v>
      </c>
      <c r="E40" t="s">
        <v>59</v>
      </c>
      <c r="F40" t="s">
        <v>56</v>
      </c>
      <c r="G40" t="s">
        <v>57</v>
      </c>
      <c r="H40">
        <v>38</v>
      </c>
      <c r="I40">
        <v>18</v>
      </c>
      <c r="J40">
        <v>1</v>
      </c>
      <c r="K40" t="s">
        <v>57</v>
      </c>
      <c r="L40">
        <v>1</v>
      </c>
      <c r="M40">
        <v>0.75086750002810698</v>
      </c>
      <c r="N40" t="s">
        <v>51</v>
      </c>
      <c r="O40">
        <v>1</v>
      </c>
      <c r="P40">
        <v>18</v>
      </c>
      <c r="Q40">
        <v>38</v>
      </c>
      <c r="R40">
        <v>9</v>
      </c>
      <c r="S40">
        <v>59.689187800046</v>
      </c>
      <c r="X40">
        <v>59.678722900047397</v>
      </c>
      <c r="Y40">
        <v>59.689187800046</v>
      </c>
      <c r="Z40">
        <v>60.189398400019797</v>
      </c>
      <c r="AA40">
        <v>60.189398400019797</v>
      </c>
      <c r="AB40">
        <v>60.189398400019797</v>
      </c>
      <c r="AC40">
        <v>60.942788700049199</v>
      </c>
      <c r="AD40" t="s">
        <v>57</v>
      </c>
      <c r="AE40">
        <v>1</v>
      </c>
      <c r="AF40">
        <v>0.75086750002810698</v>
      </c>
      <c r="AG40" t="s">
        <v>51</v>
      </c>
      <c r="AK40" t="s">
        <v>89</v>
      </c>
      <c r="AL40">
        <v>1</v>
      </c>
      <c r="AM40" t="s">
        <v>42</v>
      </c>
      <c r="AN40" t="s">
        <v>43</v>
      </c>
      <c r="AP40" t="s">
        <v>44</v>
      </c>
      <c r="AQ40">
        <v>59.778723070926397</v>
      </c>
      <c r="AR40" t="s">
        <v>45</v>
      </c>
    </row>
    <row r="41" spans="1:44" x14ac:dyDescent="0.3">
      <c r="A41" t="s">
        <v>52</v>
      </c>
      <c r="B41" t="s">
        <v>49</v>
      </c>
      <c r="C41" s="2" t="str">
        <f t="shared" si="0"/>
        <v>Neutral</v>
      </c>
      <c r="D41">
        <v>0.980700200016144</v>
      </c>
      <c r="E41" t="s">
        <v>47</v>
      </c>
      <c r="F41" t="s">
        <v>53</v>
      </c>
      <c r="G41" t="s">
        <v>54</v>
      </c>
      <c r="H41">
        <v>39</v>
      </c>
      <c r="I41">
        <v>19</v>
      </c>
      <c r="J41">
        <v>1</v>
      </c>
      <c r="K41" t="s">
        <v>54</v>
      </c>
      <c r="L41">
        <v>1</v>
      </c>
      <c r="M41">
        <v>0.980700200016144</v>
      </c>
      <c r="N41" t="s">
        <v>51</v>
      </c>
      <c r="O41">
        <v>1</v>
      </c>
      <c r="P41">
        <v>19</v>
      </c>
      <c r="Q41">
        <v>39</v>
      </c>
      <c r="R41">
        <v>14</v>
      </c>
      <c r="S41">
        <v>60.956375400011801</v>
      </c>
      <c r="X41">
        <v>60.945598500023998</v>
      </c>
      <c r="Y41">
        <v>60.956375400011801</v>
      </c>
      <c r="Z41">
        <v>61.454546199995001</v>
      </c>
      <c r="AA41">
        <v>61.454546199995001</v>
      </c>
      <c r="AB41">
        <v>61.454546199995001</v>
      </c>
      <c r="AC41">
        <v>62.442269799998002</v>
      </c>
      <c r="AD41" t="s">
        <v>54</v>
      </c>
      <c r="AE41">
        <v>1</v>
      </c>
      <c r="AF41">
        <v>0.980700200016144</v>
      </c>
      <c r="AG41" t="s">
        <v>51</v>
      </c>
      <c r="AK41" t="s">
        <v>89</v>
      </c>
      <c r="AL41">
        <v>1</v>
      </c>
      <c r="AM41" t="s">
        <v>42</v>
      </c>
      <c r="AN41" t="s">
        <v>43</v>
      </c>
      <c r="AP41" t="s">
        <v>44</v>
      </c>
      <c r="AQ41">
        <v>59.778723070926397</v>
      </c>
      <c r="AR41" t="s">
        <v>45</v>
      </c>
    </row>
    <row r="42" spans="1:44" x14ac:dyDescent="0.3">
      <c r="A42" t="s">
        <v>60</v>
      </c>
      <c r="B42" t="s">
        <v>62</v>
      </c>
      <c r="C42" s="2" t="str">
        <f t="shared" si="0"/>
        <v>Emotional-C</v>
      </c>
      <c r="D42">
        <v>0.875049200025387</v>
      </c>
      <c r="E42" t="s">
        <v>59</v>
      </c>
      <c r="F42" t="s">
        <v>61</v>
      </c>
      <c r="G42" t="s">
        <v>63</v>
      </c>
      <c r="H42">
        <v>40</v>
      </c>
      <c r="I42">
        <v>0</v>
      </c>
      <c r="J42">
        <v>2</v>
      </c>
      <c r="K42" t="s">
        <v>63</v>
      </c>
      <c r="L42">
        <v>1</v>
      </c>
      <c r="M42">
        <v>0.875049200025387</v>
      </c>
      <c r="N42" t="s">
        <v>51</v>
      </c>
      <c r="O42">
        <v>2</v>
      </c>
      <c r="P42">
        <v>0</v>
      </c>
      <c r="Q42">
        <v>40</v>
      </c>
      <c r="R42">
        <v>0</v>
      </c>
      <c r="S42">
        <v>62.454199600033398</v>
      </c>
      <c r="X42">
        <v>62.444667400035499</v>
      </c>
      <c r="Y42">
        <v>62.454199600033398</v>
      </c>
      <c r="Z42">
        <v>62.956925700011197</v>
      </c>
      <c r="AA42">
        <v>62.956925700011197</v>
      </c>
      <c r="AB42">
        <v>62.956925700011197</v>
      </c>
      <c r="AC42">
        <v>63.842644700023797</v>
      </c>
      <c r="AD42" t="s">
        <v>63</v>
      </c>
      <c r="AE42">
        <v>1</v>
      </c>
      <c r="AF42">
        <v>0.875049200025387</v>
      </c>
      <c r="AG42" t="s">
        <v>51</v>
      </c>
      <c r="AK42" t="s">
        <v>89</v>
      </c>
      <c r="AL42">
        <v>1</v>
      </c>
      <c r="AM42" t="s">
        <v>42</v>
      </c>
      <c r="AN42" t="s">
        <v>43</v>
      </c>
      <c r="AP42" t="s">
        <v>44</v>
      </c>
      <c r="AQ42">
        <v>59.778723070926397</v>
      </c>
      <c r="AR42" t="s">
        <v>45</v>
      </c>
    </row>
    <row r="43" spans="1:44" x14ac:dyDescent="0.3">
      <c r="A43" t="s">
        <v>65</v>
      </c>
      <c r="B43" t="s">
        <v>49</v>
      </c>
      <c r="C43" s="2" t="str">
        <f t="shared" si="0"/>
        <v>Emotional-I</v>
      </c>
      <c r="D43">
        <v>0.71260079997591597</v>
      </c>
      <c r="E43" t="s">
        <v>59</v>
      </c>
      <c r="F43" t="s">
        <v>56</v>
      </c>
      <c r="G43" t="s">
        <v>57</v>
      </c>
      <c r="H43">
        <v>41</v>
      </c>
      <c r="I43">
        <v>1</v>
      </c>
      <c r="J43">
        <v>2</v>
      </c>
      <c r="K43" t="s">
        <v>57</v>
      </c>
      <c r="L43">
        <v>1</v>
      </c>
      <c r="M43">
        <v>0.71260079997591597</v>
      </c>
      <c r="N43" t="s">
        <v>51</v>
      </c>
      <c r="O43">
        <v>2</v>
      </c>
      <c r="P43">
        <v>1</v>
      </c>
      <c r="Q43">
        <v>41</v>
      </c>
      <c r="R43">
        <v>9</v>
      </c>
      <c r="S43">
        <v>63.855401400010997</v>
      </c>
      <c r="X43">
        <v>63.845883800007798</v>
      </c>
      <c r="Y43">
        <v>63.855401400010997</v>
      </c>
      <c r="Z43">
        <v>64.355440200015394</v>
      </c>
      <c r="AA43">
        <v>64.355440200015394</v>
      </c>
      <c r="AB43">
        <v>64.355440200015394</v>
      </c>
      <c r="AC43">
        <v>65.077360800001699</v>
      </c>
      <c r="AD43" t="s">
        <v>57</v>
      </c>
      <c r="AE43">
        <v>1</v>
      </c>
      <c r="AF43">
        <v>0.71260079997591597</v>
      </c>
      <c r="AG43" t="s">
        <v>51</v>
      </c>
      <c r="AK43" t="s">
        <v>89</v>
      </c>
      <c r="AL43">
        <v>1</v>
      </c>
      <c r="AM43" t="s">
        <v>42</v>
      </c>
      <c r="AN43" t="s">
        <v>43</v>
      </c>
      <c r="AP43" t="s">
        <v>44</v>
      </c>
      <c r="AQ43">
        <v>59.778723070926397</v>
      </c>
      <c r="AR43" t="s">
        <v>45</v>
      </c>
    </row>
    <row r="44" spans="1:44" x14ac:dyDescent="0.3">
      <c r="A44" t="s">
        <v>46</v>
      </c>
      <c r="B44" t="s">
        <v>49</v>
      </c>
      <c r="C44" s="2" t="str">
        <f t="shared" si="0"/>
        <v>Neutral</v>
      </c>
      <c r="D44">
        <v>0.67997120000654798</v>
      </c>
      <c r="E44" t="s">
        <v>47</v>
      </c>
      <c r="F44" t="s">
        <v>48</v>
      </c>
      <c r="G44" t="s">
        <v>50</v>
      </c>
      <c r="H44">
        <v>42</v>
      </c>
      <c r="I44">
        <v>2</v>
      </c>
      <c r="J44">
        <v>2</v>
      </c>
      <c r="K44" t="s">
        <v>50</v>
      </c>
      <c r="L44">
        <v>1</v>
      </c>
      <c r="M44">
        <v>0.67997120000654798</v>
      </c>
      <c r="N44" t="s">
        <v>51</v>
      </c>
      <c r="O44">
        <v>2</v>
      </c>
      <c r="P44">
        <v>2</v>
      </c>
      <c r="Q44">
        <v>42</v>
      </c>
      <c r="R44">
        <v>19</v>
      </c>
      <c r="S44">
        <v>65.088932400045394</v>
      </c>
      <c r="X44">
        <v>65.080881600035298</v>
      </c>
      <c r="Y44">
        <v>65.088932400045394</v>
      </c>
      <c r="Z44">
        <v>65.588866300007794</v>
      </c>
      <c r="AA44">
        <v>65.588866300007794</v>
      </c>
      <c r="AB44">
        <v>65.588866300007794</v>
      </c>
      <c r="AC44">
        <v>66.276164400042006</v>
      </c>
      <c r="AD44" t="s">
        <v>50</v>
      </c>
      <c r="AE44">
        <v>1</v>
      </c>
      <c r="AF44">
        <v>0.67997120000654798</v>
      </c>
      <c r="AG44" t="s">
        <v>51</v>
      </c>
      <c r="AK44" t="s">
        <v>89</v>
      </c>
      <c r="AL44">
        <v>1</v>
      </c>
      <c r="AM44" t="s">
        <v>42</v>
      </c>
      <c r="AN44" t="s">
        <v>43</v>
      </c>
      <c r="AP44" t="s">
        <v>44</v>
      </c>
      <c r="AQ44">
        <v>59.778723070926397</v>
      </c>
      <c r="AR44" t="s">
        <v>45</v>
      </c>
    </row>
    <row r="45" spans="1:44" hidden="1" x14ac:dyDescent="0.3">
      <c r="A45" t="s">
        <v>64</v>
      </c>
      <c r="B45" t="s">
        <v>49</v>
      </c>
      <c r="C45" s="2" t="str">
        <f t="shared" si="0"/>
        <v>Neutral</v>
      </c>
      <c r="D45">
        <v>0.903859000012744</v>
      </c>
      <c r="E45" t="s">
        <v>47</v>
      </c>
      <c r="F45" t="s">
        <v>53</v>
      </c>
      <c r="G45" t="s">
        <v>54</v>
      </c>
      <c r="H45">
        <v>43</v>
      </c>
      <c r="I45">
        <v>3</v>
      </c>
      <c r="J45">
        <v>2</v>
      </c>
      <c r="K45" t="s">
        <v>63</v>
      </c>
      <c r="L45">
        <v>0</v>
      </c>
      <c r="M45">
        <v>0.68622319999849402</v>
      </c>
      <c r="N45" t="s">
        <v>51</v>
      </c>
      <c r="O45">
        <v>2</v>
      </c>
      <c r="P45">
        <v>3</v>
      </c>
      <c r="Q45">
        <v>43</v>
      </c>
      <c r="R45">
        <v>18</v>
      </c>
      <c r="S45">
        <v>66.288880300009595</v>
      </c>
      <c r="X45">
        <v>66.278802899992996</v>
      </c>
      <c r="Y45">
        <v>66.288880300009595</v>
      </c>
      <c r="Z45">
        <v>66.7883920000167</v>
      </c>
      <c r="AA45">
        <v>66.7883920000167</v>
      </c>
      <c r="AB45">
        <v>66.7883920000167</v>
      </c>
      <c r="AC45">
        <v>67.475494500016794</v>
      </c>
      <c r="AD45" t="s">
        <v>63</v>
      </c>
      <c r="AE45">
        <v>0</v>
      </c>
      <c r="AF45">
        <v>0.68622319999849402</v>
      </c>
      <c r="AG45" t="s">
        <v>51</v>
      </c>
      <c r="AK45" t="s">
        <v>89</v>
      </c>
      <c r="AL45">
        <v>1</v>
      </c>
      <c r="AM45" t="s">
        <v>42</v>
      </c>
      <c r="AN45" t="s">
        <v>43</v>
      </c>
      <c r="AP45" t="s">
        <v>44</v>
      </c>
      <c r="AQ45">
        <v>59.778723070926397</v>
      </c>
      <c r="AR45" t="s">
        <v>45</v>
      </c>
    </row>
    <row r="46" spans="1:44" x14ac:dyDescent="0.3">
      <c r="A46" t="s">
        <v>72</v>
      </c>
      <c r="B46" t="s">
        <v>62</v>
      </c>
      <c r="C46" s="2" t="str">
        <f t="shared" si="0"/>
        <v>Emotional-C</v>
      </c>
      <c r="D46">
        <v>1.7657798000145699</v>
      </c>
      <c r="E46" t="s">
        <v>59</v>
      </c>
      <c r="F46" t="s">
        <v>61</v>
      </c>
      <c r="G46" t="s">
        <v>63</v>
      </c>
      <c r="H46">
        <v>44</v>
      </c>
      <c r="I46">
        <v>4</v>
      </c>
      <c r="J46">
        <v>2</v>
      </c>
      <c r="K46" t="s">
        <v>63</v>
      </c>
      <c r="L46">
        <v>1</v>
      </c>
      <c r="M46">
        <v>0.903859000012744</v>
      </c>
      <c r="N46" t="s">
        <v>51</v>
      </c>
      <c r="O46">
        <v>2</v>
      </c>
      <c r="P46">
        <v>4</v>
      </c>
      <c r="Q46">
        <v>44</v>
      </c>
      <c r="R46">
        <v>8</v>
      </c>
      <c r="S46">
        <v>67.488462500041294</v>
      </c>
      <c r="X46">
        <v>67.478484100021802</v>
      </c>
      <c r="Y46">
        <v>67.488462500041294</v>
      </c>
      <c r="Z46">
        <v>67.9892720000352</v>
      </c>
      <c r="AA46">
        <v>67.9892720000352</v>
      </c>
      <c r="AB46">
        <v>67.9892720000352</v>
      </c>
      <c r="AC46">
        <v>68.909015700046396</v>
      </c>
      <c r="AD46" t="s">
        <v>63</v>
      </c>
      <c r="AE46">
        <v>1</v>
      </c>
      <c r="AF46">
        <v>0.903859000012744</v>
      </c>
      <c r="AG46" t="s">
        <v>51</v>
      </c>
      <c r="AK46" t="s">
        <v>89</v>
      </c>
      <c r="AL46">
        <v>1</v>
      </c>
      <c r="AM46" t="s">
        <v>42</v>
      </c>
      <c r="AN46" t="s">
        <v>43</v>
      </c>
      <c r="AP46" t="s">
        <v>44</v>
      </c>
      <c r="AQ46">
        <v>59.778723070926397</v>
      </c>
      <c r="AR46" t="s">
        <v>45</v>
      </c>
    </row>
    <row r="47" spans="1:44" x14ac:dyDescent="0.3">
      <c r="A47" t="s">
        <v>75</v>
      </c>
      <c r="B47" t="s">
        <v>49</v>
      </c>
      <c r="C47" s="2" t="str">
        <f t="shared" si="0"/>
        <v>Neutral</v>
      </c>
      <c r="D47">
        <v>1.19390510005177</v>
      </c>
      <c r="E47" t="s">
        <v>47</v>
      </c>
      <c r="F47" t="s">
        <v>61</v>
      </c>
      <c r="G47" t="s">
        <v>63</v>
      </c>
      <c r="H47">
        <v>45</v>
      </c>
      <c r="I47">
        <v>5</v>
      </c>
      <c r="J47">
        <v>2</v>
      </c>
      <c r="K47" t="s">
        <v>63</v>
      </c>
      <c r="L47">
        <v>1</v>
      </c>
      <c r="M47">
        <v>1.7657798000145699</v>
      </c>
      <c r="N47" t="s">
        <v>51</v>
      </c>
      <c r="O47">
        <v>2</v>
      </c>
      <c r="P47">
        <v>5</v>
      </c>
      <c r="Q47">
        <v>45</v>
      </c>
      <c r="R47">
        <v>16</v>
      </c>
      <c r="S47">
        <v>68.921843799995202</v>
      </c>
      <c r="X47">
        <v>68.911732300010001</v>
      </c>
      <c r="Y47">
        <v>68.921843799995202</v>
      </c>
      <c r="Z47">
        <v>69.423137400008201</v>
      </c>
      <c r="AA47">
        <v>69.423137400008201</v>
      </c>
      <c r="AB47">
        <v>69.423137400008201</v>
      </c>
      <c r="AC47">
        <v>71.192689699993906</v>
      </c>
      <c r="AD47" t="s">
        <v>63</v>
      </c>
      <c r="AE47">
        <v>1</v>
      </c>
      <c r="AF47">
        <v>1.7657798000145699</v>
      </c>
      <c r="AG47" t="s">
        <v>51</v>
      </c>
      <c r="AK47" t="s">
        <v>89</v>
      </c>
      <c r="AL47">
        <v>1</v>
      </c>
      <c r="AM47" t="s">
        <v>42</v>
      </c>
      <c r="AN47" t="s">
        <v>43</v>
      </c>
      <c r="AP47" t="s">
        <v>44</v>
      </c>
      <c r="AQ47">
        <v>59.778723070926397</v>
      </c>
      <c r="AR47" t="s">
        <v>45</v>
      </c>
    </row>
    <row r="48" spans="1:44" x14ac:dyDescent="0.3">
      <c r="A48" t="s">
        <v>68</v>
      </c>
      <c r="B48" t="s">
        <v>49</v>
      </c>
      <c r="C48" s="2" t="str">
        <f t="shared" si="0"/>
        <v>Emotional-I</v>
      </c>
      <c r="D48">
        <v>1.2224168999819001</v>
      </c>
      <c r="E48" t="s">
        <v>59</v>
      </c>
      <c r="F48" t="s">
        <v>53</v>
      </c>
      <c r="G48" t="s">
        <v>54</v>
      </c>
      <c r="H48">
        <v>46</v>
      </c>
      <c r="I48">
        <v>6</v>
      </c>
      <c r="J48">
        <v>2</v>
      </c>
      <c r="K48" t="s">
        <v>54</v>
      </c>
      <c r="L48">
        <v>1</v>
      </c>
      <c r="M48">
        <v>1.19390510005177</v>
      </c>
      <c r="N48" t="s">
        <v>51</v>
      </c>
      <c r="O48">
        <v>2</v>
      </c>
      <c r="P48">
        <v>6</v>
      </c>
      <c r="Q48">
        <v>46</v>
      </c>
      <c r="R48">
        <v>6</v>
      </c>
      <c r="S48">
        <v>71.205125900043598</v>
      </c>
      <c r="X48">
        <v>71.195649200002606</v>
      </c>
      <c r="Y48">
        <v>71.205125900043598</v>
      </c>
      <c r="Z48">
        <v>71.704904800048098</v>
      </c>
      <c r="AA48">
        <v>71.704904800048098</v>
      </c>
      <c r="AB48">
        <v>71.704904800048098</v>
      </c>
      <c r="AC48">
        <v>72.908761900034705</v>
      </c>
      <c r="AD48" t="s">
        <v>54</v>
      </c>
      <c r="AE48">
        <v>1</v>
      </c>
      <c r="AF48">
        <v>1.19390510005177</v>
      </c>
      <c r="AG48" t="s">
        <v>51</v>
      </c>
      <c r="AK48" t="s">
        <v>89</v>
      </c>
      <c r="AL48">
        <v>1</v>
      </c>
      <c r="AM48" t="s">
        <v>42</v>
      </c>
      <c r="AN48" t="s">
        <v>43</v>
      </c>
      <c r="AP48" t="s">
        <v>44</v>
      </c>
      <c r="AQ48">
        <v>59.778723070926397</v>
      </c>
      <c r="AR48" t="s">
        <v>45</v>
      </c>
    </row>
    <row r="49" spans="1:44" x14ac:dyDescent="0.3">
      <c r="A49" t="s">
        <v>78</v>
      </c>
      <c r="B49" t="s">
        <v>49</v>
      </c>
      <c r="C49" s="2" t="str">
        <f t="shared" si="0"/>
        <v>Neutral</v>
      </c>
      <c r="D49">
        <v>3.52781270002014</v>
      </c>
      <c r="E49" t="s">
        <v>47</v>
      </c>
      <c r="F49" t="s">
        <v>56</v>
      </c>
      <c r="G49" t="s">
        <v>57</v>
      </c>
      <c r="H49">
        <v>47</v>
      </c>
      <c r="I49">
        <v>7</v>
      </c>
      <c r="J49">
        <v>2</v>
      </c>
      <c r="K49" t="s">
        <v>57</v>
      </c>
      <c r="L49">
        <v>1</v>
      </c>
      <c r="M49">
        <v>1.2224168999819001</v>
      </c>
      <c r="N49" t="s">
        <v>51</v>
      </c>
      <c r="O49">
        <v>2</v>
      </c>
      <c r="P49">
        <v>7</v>
      </c>
      <c r="Q49">
        <v>47</v>
      </c>
      <c r="R49">
        <v>17</v>
      </c>
      <c r="S49">
        <v>72.921741800033402</v>
      </c>
      <c r="X49">
        <v>72.911435100017101</v>
      </c>
      <c r="Y49">
        <v>72.921741800033402</v>
      </c>
      <c r="Z49">
        <v>73.421733500028495</v>
      </c>
      <c r="AA49">
        <v>73.421733500028495</v>
      </c>
      <c r="AB49">
        <v>73.421733500028495</v>
      </c>
      <c r="AC49">
        <v>74.660192600043899</v>
      </c>
      <c r="AD49" t="s">
        <v>57</v>
      </c>
      <c r="AE49">
        <v>1</v>
      </c>
      <c r="AF49">
        <v>1.2224168999819001</v>
      </c>
      <c r="AG49" t="s">
        <v>51</v>
      </c>
      <c r="AK49" t="s">
        <v>89</v>
      </c>
      <c r="AL49">
        <v>1</v>
      </c>
      <c r="AM49" t="s">
        <v>42</v>
      </c>
      <c r="AN49" t="s">
        <v>43</v>
      </c>
      <c r="AP49" t="s">
        <v>44</v>
      </c>
      <c r="AQ49">
        <v>59.778723070926397</v>
      </c>
      <c r="AR49" t="s">
        <v>45</v>
      </c>
    </row>
    <row r="50" spans="1:44" x14ac:dyDescent="0.3">
      <c r="A50" t="s">
        <v>70</v>
      </c>
      <c r="B50" t="s">
        <v>49</v>
      </c>
      <c r="C50" s="2" t="str">
        <f t="shared" si="0"/>
        <v>Emotional-I</v>
      </c>
      <c r="D50">
        <v>0.84053240000503104</v>
      </c>
      <c r="E50" t="s">
        <v>59</v>
      </c>
      <c r="F50" t="s">
        <v>53</v>
      </c>
      <c r="G50" t="s">
        <v>54</v>
      </c>
      <c r="H50">
        <v>48</v>
      </c>
      <c r="I50">
        <v>8</v>
      </c>
      <c r="J50">
        <v>2</v>
      </c>
      <c r="K50" t="s">
        <v>54</v>
      </c>
      <c r="L50">
        <v>1</v>
      </c>
      <c r="M50">
        <v>3.52781270002014</v>
      </c>
      <c r="N50" t="s">
        <v>51</v>
      </c>
      <c r="O50">
        <v>2</v>
      </c>
      <c r="P50">
        <v>8</v>
      </c>
      <c r="Q50">
        <v>48</v>
      </c>
      <c r="R50">
        <v>2</v>
      </c>
      <c r="S50">
        <v>74.671313600032505</v>
      </c>
      <c r="X50">
        <v>74.662876999995206</v>
      </c>
      <c r="Y50">
        <v>74.671313600032505</v>
      </c>
      <c r="Z50">
        <v>75.172367500024805</v>
      </c>
      <c r="AA50">
        <v>75.172367500024805</v>
      </c>
      <c r="AB50">
        <v>75.172367500024805</v>
      </c>
      <c r="AC50">
        <v>78.7083677000482</v>
      </c>
      <c r="AD50" t="s">
        <v>54</v>
      </c>
      <c r="AE50">
        <v>1</v>
      </c>
      <c r="AF50">
        <v>3.52781270002014</v>
      </c>
      <c r="AG50" t="s">
        <v>51</v>
      </c>
      <c r="AK50" t="s">
        <v>89</v>
      </c>
      <c r="AL50">
        <v>1</v>
      </c>
      <c r="AM50" t="s">
        <v>42</v>
      </c>
      <c r="AN50" t="s">
        <v>43</v>
      </c>
      <c r="AP50" t="s">
        <v>44</v>
      </c>
      <c r="AQ50">
        <v>59.778723070926397</v>
      </c>
      <c r="AR50" t="s">
        <v>45</v>
      </c>
    </row>
    <row r="51" spans="1:44" x14ac:dyDescent="0.3">
      <c r="A51" t="s">
        <v>69</v>
      </c>
      <c r="B51" t="s">
        <v>49</v>
      </c>
      <c r="C51" s="2" t="str">
        <f t="shared" si="0"/>
        <v>Emotional-I</v>
      </c>
      <c r="D51">
        <v>0.91597570001613304</v>
      </c>
      <c r="E51" t="s">
        <v>59</v>
      </c>
      <c r="F51" t="s">
        <v>56</v>
      </c>
      <c r="G51" t="s">
        <v>57</v>
      </c>
      <c r="H51">
        <v>49</v>
      </c>
      <c r="I51">
        <v>9</v>
      </c>
      <c r="J51">
        <v>2</v>
      </c>
      <c r="K51" t="s">
        <v>57</v>
      </c>
      <c r="L51">
        <v>1</v>
      </c>
      <c r="M51">
        <v>0.84053240000503104</v>
      </c>
      <c r="N51" t="s">
        <v>51</v>
      </c>
      <c r="O51">
        <v>2</v>
      </c>
      <c r="P51">
        <v>9</v>
      </c>
      <c r="Q51">
        <v>49</v>
      </c>
      <c r="R51">
        <v>5</v>
      </c>
      <c r="S51">
        <v>78.721379499998804</v>
      </c>
      <c r="X51">
        <v>78.7115793999983</v>
      </c>
      <c r="Y51">
        <v>78.721379499998804</v>
      </c>
      <c r="Z51">
        <v>79.221314500027802</v>
      </c>
      <c r="AA51">
        <v>79.221314500027802</v>
      </c>
      <c r="AB51">
        <v>79.221314500027802</v>
      </c>
      <c r="AC51">
        <v>80.076954699994502</v>
      </c>
      <c r="AD51" t="s">
        <v>57</v>
      </c>
      <c r="AE51">
        <v>1</v>
      </c>
      <c r="AF51">
        <v>0.84053240000503104</v>
      </c>
      <c r="AG51" t="s">
        <v>51</v>
      </c>
      <c r="AK51" t="s">
        <v>89</v>
      </c>
      <c r="AL51">
        <v>1</v>
      </c>
      <c r="AM51" t="s">
        <v>42</v>
      </c>
      <c r="AN51" t="s">
        <v>43</v>
      </c>
      <c r="AP51" t="s">
        <v>44</v>
      </c>
      <c r="AQ51">
        <v>59.778723070926397</v>
      </c>
      <c r="AR51" t="s">
        <v>45</v>
      </c>
    </row>
    <row r="52" spans="1:44" x14ac:dyDescent="0.3">
      <c r="A52" t="s">
        <v>71</v>
      </c>
      <c r="B52" t="s">
        <v>49</v>
      </c>
      <c r="C52" s="2" t="str">
        <f t="shared" si="0"/>
        <v>Neutral</v>
      </c>
      <c r="D52">
        <v>0.73868609999772095</v>
      </c>
      <c r="E52" t="s">
        <v>47</v>
      </c>
      <c r="F52" t="s">
        <v>48</v>
      </c>
      <c r="G52" t="s">
        <v>50</v>
      </c>
      <c r="H52">
        <v>50</v>
      </c>
      <c r="I52">
        <v>10</v>
      </c>
      <c r="J52">
        <v>2</v>
      </c>
      <c r="K52" t="s">
        <v>50</v>
      </c>
      <c r="L52">
        <v>1</v>
      </c>
      <c r="M52">
        <v>0.91597570001613304</v>
      </c>
      <c r="N52" t="s">
        <v>51</v>
      </c>
      <c r="O52">
        <v>2</v>
      </c>
      <c r="P52">
        <v>10</v>
      </c>
      <c r="Q52">
        <v>50</v>
      </c>
      <c r="R52">
        <v>15</v>
      </c>
      <c r="S52">
        <v>80.088736800011205</v>
      </c>
      <c r="X52">
        <v>80.0801708000362</v>
      </c>
      <c r="Y52">
        <v>80.088736800011205</v>
      </c>
      <c r="Z52">
        <v>80.588910699996603</v>
      </c>
      <c r="AA52">
        <v>80.588910699996603</v>
      </c>
      <c r="AB52">
        <v>80.588910699996603</v>
      </c>
      <c r="AC52">
        <v>81.508823800017097</v>
      </c>
      <c r="AD52" t="s">
        <v>50</v>
      </c>
      <c r="AE52">
        <v>1</v>
      </c>
      <c r="AF52">
        <v>0.91597570001613304</v>
      </c>
      <c r="AG52" t="s">
        <v>51</v>
      </c>
      <c r="AK52" t="s">
        <v>89</v>
      </c>
      <c r="AL52">
        <v>1</v>
      </c>
      <c r="AM52" t="s">
        <v>42</v>
      </c>
      <c r="AN52" t="s">
        <v>43</v>
      </c>
      <c r="AP52" t="s">
        <v>44</v>
      </c>
      <c r="AQ52">
        <v>59.778723070926397</v>
      </c>
      <c r="AR52" t="s">
        <v>45</v>
      </c>
    </row>
    <row r="53" spans="1:44" x14ac:dyDescent="0.3">
      <c r="A53" t="s">
        <v>66</v>
      </c>
      <c r="B53" t="s">
        <v>49</v>
      </c>
      <c r="C53" s="2" t="str">
        <f t="shared" si="0"/>
        <v>Neutral</v>
      </c>
      <c r="D53">
        <v>0.71549160004360601</v>
      </c>
      <c r="E53" t="s">
        <v>47</v>
      </c>
      <c r="F53" t="s">
        <v>61</v>
      </c>
      <c r="G53" t="s">
        <v>63</v>
      </c>
      <c r="H53">
        <v>51</v>
      </c>
      <c r="I53">
        <v>11</v>
      </c>
      <c r="J53">
        <v>2</v>
      </c>
      <c r="K53" t="s">
        <v>63</v>
      </c>
      <c r="L53">
        <v>1</v>
      </c>
      <c r="M53">
        <v>0.73868609999772095</v>
      </c>
      <c r="N53" t="s">
        <v>51</v>
      </c>
      <c r="O53">
        <v>2</v>
      </c>
      <c r="P53">
        <v>11</v>
      </c>
      <c r="Q53">
        <v>51</v>
      </c>
      <c r="R53">
        <v>12</v>
      </c>
      <c r="S53">
        <v>81.521163200028198</v>
      </c>
      <c r="X53">
        <v>81.512423000007402</v>
      </c>
      <c r="Y53">
        <v>81.521163200028198</v>
      </c>
      <c r="Z53">
        <v>82.021038900012996</v>
      </c>
      <c r="AA53">
        <v>82.021038900012996</v>
      </c>
      <c r="AB53">
        <v>82.021038900012996</v>
      </c>
      <c r="AC53">
        <v>82.775663700012899</v>
      </c>
      <c r="AD53" t="s">
        <v>63</v>
      </c>
      <c r="AE53">
        <v>1</v>
      </c>
      <c r="AF53">
        <v>0.73868609999772095</v>
      </c>
      <c r="AG53" t="s">
        <v>51</v>
      </c>
      <c r="AK53" t="s">
        <v>89</v>
      </c>
      <c r="AL53">
        <v>1</v>
      </c>
      <c r="AM53" t="s">
        <v>42</v>
      </c>
      <c r="AN53" t="s">
        <v>43</v>
      </c>
      <c r="AP53" t="s">
        <v>44</v>
      </c>
      <c r="AQ53">
        <v>59.778723070926397</v>
      </c>
      <c r="AR53" t="s">
        <v>45</v>
      </c>
    </row>
    <row r="54" spans="1:44" x14ac:dyDescent="0.3">
      <c r="A54" t="s">
        <v>55</v>
      </c>
      <c r="B54" t="s">
        <v>49</v>
      </c>
      <c r="C54" s="2" t="str">
        <f t="shared" si="0"/>
        <v>Neutral</v>
      </c>
      <c r="D54">
        <v>0.73290529998484999</v>
      </c>
      <c r="E54" t="s">
        <v>47</v>
      </c>
      <c r="F54" t="s">
        <v>56</v>
      </c>
      <c r="G54" t="s">
        <v>57</v>
      </c>
      <c r="H54">
        <v>52</v>
      </c>
      <c r="I54">
        <v>12</v>
      </c>
      <c r="J54">
        <v>2</v>
      </c>
      <c r="K54" t="s">
        <v>57</v>
      </c>
      <c r="L54">
        <v>1</v>
      </c>
      <c r="M54">
        <v>0.71549160004360601</v>
      </c>
      <c r="N54" t="s">
        <v>51</v>
      </c>
      <c r="O54">
        <v>2</v>
      </c>
      <c r="P54">
        <v>12</v>
      </c>
      <c r="Q54">
        <v>52</v>
      </c>
      <c r="R54">
        <v>13</v>
      </c>
      <c r="S54">
        <v>82.788273500045705</v>
      </c>
      <c r="X54">
        <v>82.778454500017602</v>
      </c>
      <c r="Y54">
        <v>82.788273500045705</v>
      </c>
      <c r="Z54">
        <v>83.287648500001495</v>
      </c>
      <c r="AA54">
        <v>83.287648500001495</v>
      </c>
      <c r="AB54">
        <v>83.287648500001495</v>
      </c>
      <c r="AC54">
        <v>84.008972700044893</v>
      </c>
      <c r="AD54" t="s">
        <v>57</v>
      </c>
      <c r="AE54">
        <v>1</v>
      </c>
      <c r="AF54">
        <v>0.71549160004360601</v>
      </c>
      <c r="AG54" t="s">
        <v>51</v>
      </c>
      <c r="AK54" t="s">
        <v>89</v>
      </c>
      <c r="AL54">
        <v>1</v>
      </c>
      <c r="AM54" t="s">
        <v>42</v>
      </c>
      <c r="AN54" t="s">
        <v>43</v>
      </c>
      <c r="AP54" t="s">
        <v>44</v>
      </c>
      <c r="AQ54">
        <v>59.778723070926397</v>
      </c>
      <c r="AR54" t="s">
        <v>45</v>
      </c>
    </row>
    <row r="55" spans="1:44" x14ac:dyDescent="0.3">
      <c r="A55" t="s">
        <v>67</v>
      </c>
      <c r="B55" t="s">
        <v>49</v>
      </c>
      <c r="C55" s="2" t="str">
        <f t="shared" si="0"/>
        <v>Neutral</v>
      </c>
      <c r="D55">
        <v>0.70075700001325403</v>
      </c>
      <c r="E55" t="s">
        <v>47</v>
      </c>
      <c r="F55" t="s">
        <v>53</v>
      </c>
      <c r="G55" t="s">
        <v>54</v>
      </c>
      <c r="H55">
        <v>53</v>
      </c>
      <c r="I55">
        <v>13</v>
      </c>
      <c r="J55">
        <v>2</v>
      </c>
      <c r="K55" t="s">
        <v>54</v>
      </c>
      <c r="L55">
        <v>1</v>
      </c>
      <c r="M55">
        <v>0.73290529998484999</v>
      </c>
      <c r="N55" t="s">
        <v>51</v>
      </c>
      <c r="O55">
        <v>2</v>
      </c>
      <c r="P55">
        <v>13</v>
      </c>
      <c r="Q55">
        <v>53</v>
      </c>
      <c r="R55">
        <v>10</v>
      </c>
      <c r="S55">
        <v>84.020908800011895</v>
      </c>
      <c r="X55">
        <v>84.012235600035595</v>
      </c>
      <c r="Y55">
        <v>84.020908800011895</v>
      </c>
      <c r="Z55">
        <v>84.521762699994696</v>
      </c>
      <c r="AA55">
        <v>84.521762699994696</v>
      </c>
      <c r="AB55">
        <v>84.521762699994696</v>
      </c>
      <c r="AC55">
        <v>85.259154900035298</v>
      </c>
      <c r="AD55" t="s">
        <v>54</v>
      </c>
      <c r="AE55">
        <v>1</v>
      </c>
      <c r="AF55">
        <v>0.73290529998484999</v>
      </c>
      <c r="AG55" t="s">
        <v>51</v>
      </c>
      <c r="AK55" t="s">
        <v>89</v>
      </c>
      <c r="AL55">
        <v>1</v>
      </c>
      <c r="AM55" t="s">
        <v>42</v>
      </c>
      <c r="AN55" t="s">
        <v>43</v>
      </c>
      <c r="AP55" t="s">
        <v>44</v>
      </c>
      <c r="AQ55">
        <v>59.778723070926397</v>
      </c>
      <c r="AR55" t="s">
        <v>45</v>
      </c>
    </row>
    <row r="56" spans="1:44" x14ac:dyDescent="0.3">
      <c r="A56" t="s">
        <v>77</v>
      </c>
      <c r="B56" t="s">
        <v>62</v>
      </c>
      <c r="C56" s="2" t="str">
        <f t="shared" si="0"/>
        <v>Emotional-C</v>
      </c>
      <c r="D56">
        <v>2.0791054999572198</v>
      </c>
      <c r="E56" t="s">
        <v>59</v>
      </c>
      <c r="F56" t="s">
        <v>61</v>
      </c>
      <c r="G56" t="s">
        <v>63</v>
      </c>
      <c r="H56">
        <v>54</v>
      </c>
      <c r="I56">
        <v>14</v>
      </c>
      <c r="J56">
        <v>2</v>
      </c>
      <c r="K56" t="s">
        <v>63</v>
      </c>
      <c r="L56">
        <v>1</v>
      </c>
      <c r="M56">
        <v>0.70075700001325403</v>
      </c>
      <c r="N56" t="s">
        <v>51</v>
      </c>
      <c r="O56">
        <v>2</v>
      </c>
      <c r="P56">
        <v>14</v>
      </c>
      <c r="Q56">
        <v>54</v>
      </c>
      <c r="R56">
        <v>4</v>
      </c>
      <c r="S56">
        <v>85.272787399997398</v>
      </c>
      <c r="X56">
        <v>85.262660700012901</v>
      </c>
      <c r="Y56">
        <v>85.272787399997398</v>
      </c>
      <c r="Z56">
        <v>85.770904000033596</v>
      </c>
      <c r="AA56">
        <v>85.770904000033596</v>
      </c>
      <c r="AB56">
        <v>85.770904000033596</v>
      </c>
      <c r="AC56">
        <v>86.475347200001096</v>
      </c>
      <c r="AD56" t="s">
        <v>63</v>
      </c>
      <c r="AE56">
        <v>1</v>
      </c>
      <c r="AF56">
        <v>0.70075700001325403</v>
      </c>
      <c r="AG56" t="s">
        <v>51</v>
      </c>
      <c r="AK56" t="s">
        <v>89</v>
      </c>
      <c r="AL56">
        <v>1</v>
      </c>
      <c r="AM56" t="s">
        <v>42</v>
      </c>
      <c r="AN56" t="s">
        <v>43</v>
      </c>
      <c r="AP56" t="s">
        <v>44</v>
      </c>
      <c r="AQ56">
        <v>59.778723070926397</v>
      </c>
      <c r="AR56" t="s">
        <v>45</v>
      </c>
    </row>
    <row r="57" spans="1:44" hidden="1" x14ac:dyDescent="0.3">
      <c r="A57" t="s">
        <v>74</v>
      </c>
      <c r="B57" t="s">
        <v>49</v>
      </c>
      <c r="C57" s="2" t="str">
        <f t="shared" si="0"/>
        <v>Neutral</v>
      </c>
      <c r="D57">
        <v>1.1079665000434</v>
      </c>
      <c r="E57" t="s">
        <v>47</v>
      </c>
      <c r="F57" t="s">
        <v>48</v>
      </c>
      <c r="G57" t="s">
        <v>50</v>
      </c>
      <c r="H57">
        <v>55</v>
      </c>
      <c r="I57">
        <v>15</v>
      </c>
      <c r="J57">
        <v>2</v>
      </c>
      <c r="K57" t="s">
        <v>57</v>
      </c>
      <c r="L57">
        <v>0</v>
      </c>
      <c r="M57">
        <v>0.59687959996517703</v>
      </c>
      <c r="N57" t="s">
        <v>51</v>
      </c>
      <c r="O57">
        <v>2</v>
      </c>
      <c r="P57">
        <v>15</v>
      </c>
      <c r="Q57">
        <v>55</v>
      </c>
      <c r="R57">
        <v>11</v>
      </c>
      <c r="S57">
        <v>86.488400800037198</v>
      </c>
      <c r="X57">
        <v>86.478497000003699</v>
      </c>
      <c r="Y57">
        <v>86.488400800037198</v>
      </c>
      <c r="Z57">
        <v>86.987920000043204</v>
      </c>
      <c r="AA57">
        <v>86.987920000043204</v>
      </c>
      <c r="AB57">
        <v>86.987920000043204</v>
      </c>
      <c r="AC57">
        <v>87.591250500001394</v>
      </c>
      <c r="AD57" t="s">
        <v>57</v>
      </c>
      <c r="AE57">
        <v>0</v>
      </c>
      <c r="AF57">
        <v>0.59687959996517703</v>
      </c>
      <c r="AG57" t="s">
        <v>51</v>
      </c>
      <c r="AK57" t="s">
        <v>89</v>
      </c>
      <c r="AL57">
        <v>1</v>
      </c>
      <c r="AM57" t="s">
        <v>42</v>
      </c>
      <c r="AN57" t="s">
        <v>43</v>
      </c>
      <c r="AP57" t="s">
        <v>44</v>
      </c>
      <c r="AQ57">
        <v>59.778723070926397</v>
      </c>
      <c r="AR57" t="s">
        <v>45</v>
      </c>
    </row>
    <row r="58" spans="1:44" x14ac:dyDescent="0.3">
      <c r="A58" t="s">
        <v>52</v>
      </c>
      <c r="B58" t="s">
        <v>49</v>
      </c>
      <c r="C58" s="2" t="str">
        <f t="shared" si="0"/>
        <v>Neutral</v>
      </c>
      <c r="D58">
        <v>1.0445674000075</v>
      </c>
      <c r="E58" t="s">
        <v>47</v>
      </c>
      <c r="F58" t="s">
        <v>53</v>
      </c>
      <c r="G58" t="s">
        <v>54</v>
      </c>
      <c r="H58">
        <v>56</v>
      </c>
      <c r="I58">
        <v>16</v>
      </c>
      <c r="J58">
        <v>2</v>
      </c>
      <c r="K58" t="s">
        <v>54</v>
      </c>
      <c r="L58">
        <v>1</v>
      </c>
      <c r="M58">
        <v>2.0791054999572198</v>
      </c>
      <c r="N58" t="s">
        <v>51</v>
      </c>
      <c r="O58">
        <v>2</v>
      </c>
      <c r="P58">
        <v>16</v>
      </c>
      <c r="Q58">
        <v>56</v>
      </c>
      <c r="R58">
        <v>14</v>
      </c>
      <c r="S58">
        <v>87.605404800036894</v>
      </c>
      <c r="X58">
        <v>87.594005900027696</v>
      </c>
      <c r="Y58">
        <v>87.605404800036894</v>
      </c>
      <c r="Z58">
        <v>88.105055499996496</v>
      </c>
      <c r="AA58">
        <v>88.105055499996496</v>
      </c>
      <c r="AB58">
        <v>88.105055499996496</v>
      </c>
      <c r="AC58">
        <v>90.192537299997596</v>
      </c>
      <c r="AD58" t="s">
        <v>54</v>
      </c>
      <c r="AE58">
        <v>1</v>
      </c>
      <c r="AF58">
        <v>2.0791054999572198</v>
      </c>
      <c r="AG58" t="s">
        <v>51</v>
      </c>
      <c r="AK58" t="s">
        <v>89</v>
      </c>
      <c r="AL58">
        <v>1</v>
      </c>
      <c r="AM58" t="s">
        <v>42</v>
      </c>
      <c r="AN58" t="s">
        <v>43</v>
      </c>
      <c r="AP58" t="s">
        <v>44</v>
      </c>
      <c r="AQ58">
        <v>59.778723070926397</v>
      </c>
      <c r="AR58" t="s">
        <v>45</v>
      </c>
    </row>
    <row r="59" spans="1:44" x14ac:dyDescent="0.3">
      <c r="A59" t="s">
        <v>76</v>
      </c>
      <c r="B59" t="s">
        <v>49</v>
      </c>
      <c r="C59" s="2" t="str">
        <f t="shared" si="0"/>
        <v>Emotional-I</v>
      </c>
      <c r="D59">
        <v>0.77238670003134702</v>
      </c>
      <c r="E59" t="s">
        <v>59</v>
      </c>
      <c r="F59" t="s">
        <v>48</v>
      </c>
      <c r="G59" t="s">
        <v>50</v>
      </c>
      <c r="H59">
        <v>57</v>
      </c>
      <c r="I59">
        <v>17</v>
      </c>
      <c r="J59">
        <v>2</v>
      </c>
      <c r="K59" t="s">
        <v>50</v>
      </c>
      <c r="L59">
        <v>1</v>
      </c>
      <c r="M59">
        <v>1.1079665000434</v>
      </c>
      <c r="N59" t="s">
        <v>51</v>
      </c>
      <c r="O59">
        <v>2</v>
      </c>
      <c r="P59">
        <v>17</v>
      </c>
      <c r="Q59">
        <v>57</v>
      </c>
      <c r="R59">
        <v>3</v>
      </c>
      <c r="S59">
        <v>90.204383300035204</v>
      </c>
      <c r="X59">
        <v>90.196062400005701</v>
      </c>
      <c r="Y59">
        <v>90.204383300035204</v>
      </c>
      <c r="Z59">
        <v>90.7048271000385</v>
      </c>
      <c r="AA59">
        <v>90.7048271000385</v>
      </c>
      <c r="AB59">
        <v>90.7048271000385</v>
      </c>
      <c r="AC59">
        <v>91.825408300035605</v>
      </c>
      <c r="AD59" t="s">
        <v>50</v>
      </c>
      <c r="AE59">
        <v>1</v>
      </c>
      <c r="AF59">
        <v>1.1079665000434</v>
      </c>
      <c r="AG59" t="s">
        <v>51</v>
      </c>
      <c r="AK59" t="s">
        <v>89</v>
      </c>
      <c r="AL59">
        <v>1</v>
      </c>
      <c r="AM59" t="s">
        <v>42</v>
      </c>
      <c r="AN59" t="s">
        <v>43</v>
      </c>
      <c r="AP59" t="s">
        <v>44</v>
      </c>
      <c r="AQ59">
        <v>59.778723070926397</v>
      </c>
      <c r="AR59" t="s">
        <v>45</v>
      </c>
    </row>
    <row r="60" spans="1:44" x14ac:dyDescent="0.3">
      <c r="A60" t="s">
        <v>58</v>
      </c>
      <c r="B60" t="s">
        <v>49</v>
      </c>
      <c r="C60" s="2" t="str">
        <f t="shared" si="0"/>
        <v>Emotional-I</v>
      </c>
      <c r="D60">
        <v>1.3039797000237701</v>
      </c>
      <c r="E60" t="s">
        <v>59</v>
      </c>
      <c r="F60" t="s">
        <v>48</v>
      </c>
      <c r="G60" t="s">
        <v>50</v>
      </c>
      <c r="H60">
        <v>58</v>
      </c>
      <c r="I60">
        <v>18</v>
      </c>
      <c r="J60">
        <v>2</v>
      </c>
      <c r="K60" t="s">
        <v>50</v>
      </c>
      <c r="L60">
        <v>1</v>
      </c>
      <c r="M60">
        <v>1.0445674000075</v>
      </c>
      <c r="N60" t="s">
        <v>51</v>
      </c>
      <c r="O60">
        <v>2</v>
      </c>
      <c r="P60">
        <v>18</v>
      </c>
      <c r="Q60">
        <v>58</v>
      </c>
      <c r="R60">
        <v>7</v>
      </c>
      <c r="S60">
        <v>91.8371914000017</v>
      </c>
      <c r="X60">
        <v>91.828449800028395</v>
      </c>
      <c r="Y60">
        <v>91.8371914000017</v>
      </c>
      <c r="Z60">
        <v>92.337367100000804</v>
      </c>
      <c r="AA60">
        <v>92.337367100000804</v>
      </c>
      <c r="AB60">
        <v>92.337367100000804</v>
      </c>
      <c r="AC60">
        <v>93.391291900013996</v>
      </c>
      <c r="AD60" t="s">
        <v>50</v>
      </c>
      <c r="AE60">
        <v>1</v>
      </c>
      <c r="AF60">
        <v>1.0445674000075</v>
      </c>
      <c r="AG60" t="s">
        <v>51</v>
      </c>
      <c r="AK60" t="s">
        <v>89</v>
      </c>
      <c r="AL60">
        <v>1</v>
      </c>
      <c r="AM60" t="s">
        <v>42</v>
      </c>
      <c r="AN60" t="s">
        <v>43</v>
      </c>
      <c r="AP60" t="s">
        <v>44</v>
      </c>
      <c r="AQ60">
        <v>59.778723070926397</v>
      </c>
      <c r="AR60" t="s">
        <v>45</v>
      </c>
    </row>
    <row r="61" spans="1:44" x14ac:dyDescent="0.3">
      <c r="A61" t="s">
        <v>73</v>
      </c>
      <c r="B61" t="s">
        <v>49</v>
      </c>
      <c r="C61" s="2" t="str">
        <f t="shared" si="0"/>
        <v>Emotional-I</v>
      </c>
      <c r="D61">
        <v>0.830294399987906</v>
      </c>
      <c r="E61" t="s">
        <v>59</v>
      </c>
      <c r="F61" t="s">
        <v>56</v>
      </c>
      <c r="G61" t="s">
        <v>57</v>
      </c>
      <c r="H61">
        <v>59</v>
      </c>
      <c r="I61">
        <v>19</v>
      </c>
      <c r="J61">
        <v>2</v>
      </c>
      <c r="K61" t="s">
        <v>57</v>
      </c>
      <c r="L61">
        <v>1</v>
      </c>
      <c r="M61">
        <v>0.77238670003134702</v>
      </c>
      <c r="N61" t="s">
        <v>51</v>
      </c>
      <c r="O61">
        <v>2</v>
      </c>
      <c r="P61">
        <v>19</v>
      </c>
      <c r="Q61">
        <v>59</v>
      </c>
      <c r="R61">
        <v>1</v>
      </c>
      <c r="S61">
        <v>93.403991100029003</v>
      </c>
      <c r="X61">
        <v>93.393998200015602</v>
      </c>
      <c r="Y61">
        <v>93.403991100029003</v>
      </c>
      <c r="Z61">
        <v>93.902928800031006</v>
      </c>
      <c r="AA61">
        <v>93.902928800031006</v>
      </c>
      <c r="AB61">
        <v>93.902928800031006</v>
      </c>
      <c r="AC61">
        <v>94.690341600042302</v>
      </c>
      <c r="AD61" t="s">
        <v>57</v>
      </c>
      <c r="AE61">
        <v>1</v>
      </c>
      <c r="AF61">
        <v>0.77238670003134702</v>
      </c>
      <c r="AG61" t="s">
        <v>51</v>
      </c>
      <c r="AK61" t="s">
        <v>89</v>
      </c>
      <c r="AL61">
        <v>1</v>
      </c>
      <c r="AM61" t="s">
        <v>42</v>
      </c>
      <c r="AN61" t="s">
        <v>43</v>
      </c>
      <c r="AP61" t="s">
        <v>44</v>
      </c>
      <c r="AQ61">
        <v>59.778723070926397</v>
      </c>
      <c r="AR61" t="s">
        <v>45</v>
      </c>
    </row>
    <row r="62" spans="1:44" x14ac:dyDescent="0.3">
      <c r="A62" t="s">
        <v>64</v>
      </c>
      <c r="B62" t="s">
        <v>49</v>
      </c>
      <c r="C62" s="2" t="str">
        <f t="shared" si="0"/>
        <v>Neutral</v>
      </c>
      <c r="D62">
        <v>1.08055549999699</v>
      </c>
      <c r="E62" t="s">
        <v>47</v>
      </c>
      <c r="F62" t="s">
        <v>53</v>
      </c>
      <c r="G62" t="s">
        <v>54</v>
      </c>
      <c r="H62">
        <v>60</v>
      </c>
      <c r="I62">
        <v>0</v>
      </c>
      <c r="J62">
        <v>3</v>
      </c>
      <c r="K62" t="s">
        <v>54</v>
      </c>
      <c r="L62">
        <v>1</v>
      </c>
      <c r="M62">
        <v>1.3039797000237701</v>
      </c>
      <c r="N62" t="s">
        <v>51</v>
      </c>
      <c r="O62">
        <v>3</v>
      </c>
      <c r="P62">
        <v>0</v>
      </c>
      <c r="Q62">
        <v>60</v>
      </c>
      <c r="R62">
        <v>18</v>
      </c>
      <c r="S62">
        <v>94.703216099995103</v>
      </c>
      <c r="X62">
        <v>94.692986100038894</v>
      </c>
      <c r="Y62">
        <v>94.703216099995103</v>
      </c>
      <c r="Z62">
        <v>95.203500800009294</v>
      </c>
      <c r="AA62">
        <v>95.203500800009294</v>
      </c>
      <c r="AB62">
        <v>95.203500800009294</v>
      </c>
      <c r="AC62">
        <v>96.523076200042794</v>
      </c>
      <c r="AD62" t="s">
        <v>54</v>
      </c>
      <c r="AE62">
        <v>1</v>
      </c>
      <c r="AF62">
        <v>1.3039797000237701</v>
      </c>
      <c r="AG62" t="s">
        <v>51</v>
      </c>
      <c r="AK62" t="s">
        <v>89</v>
      </c>
      <c r="AL62">
        <v>1</v>
      </c>
      <c r="AM62" t="s">
        <v>42</v>
      </c>
      <c r="AN62" t="s">
        <v>43</v>
      </c>
      <c r="AP62" t="s">
        <v>44</v>
      </c>
      <c r="AQ62">
        <v>59.778723070926397</v>
      </c>
      <c r="AR62" t="s">
        <v>45</v>
      </c>
    </row>
    <row r="63" spans="1:44" x14ac:dyDescent="0.3">
      <c r="A63" t="s">
        <v>73</v>
      </c>
      <c r="B63" t="s">
        <v>49</v>
      </c>
      <c r="C63" s="2" t="str">
        <f t="shared" si="0"/>
        <v>Emotional-I</v>
      </c>
      <c r="D63">
        <v>0.77397420001216199</v>
      </c>
      <c r="E63" t="s">
        <v>59</v>
      </c>
      <c r="F63" t="s">
        <v>56</v>
      </c>
      <c r="G63" t="s">
        <v>57</v>
      </c>
      <c r="H63">
        <v>61</v>
      </c>
      <c r="I63">
        <v>1</v>
      </c>
      <c r="J63">
        <v>3</v>
      </c>
      <c r="K63" t="s">
        <v>57</v>
      </c>
      <c r="L63">
        <v>1</v>
      </c>
      <c r="M63">
        <v>0.830294399987906</v>
      </c>
      <c r="N63" t="s">
        <v>51</v>
      </c>
      <c r="O63">
        <v>3</v>
      </c>
      <c r="P63">
        <v>1</v>
      </c>
      <c r="Q63">
        <v>61</v>
      </c>
      <c r="R63">
        <v>1</v>
      </c>
      <c r="S63">
        <v>96.536251200013794</v>
      </c>
      <c r="X63">
        <v>96.525140100042293</v>
      </c>
      <c r="Y63">
        <v>96.536251200013794</v>
      </c>
      <c r="Z63">
        <v>97.037165000045206</v>
      </c>
      <c r="AA63">
        <v>97.037165000045206</v>
      </c>
      <c r="AB63">
        <v>97.037165000045206</v>
      </c>
      <c r="AC63">
        <v>97.872903900046296</v>
      </c>
      <c r="AD63" t="s">
        <v>57</v>
      </c>
      <c r="AE63">
        <v>1</v>
      </c>
      <c r="AF63">
        <v>0.830294399987906</v>
      </c>
      <c r="AG63" t="s">
        <v>51</v>
      </c>
      <c r="AK63" t="s">
        <v>89</v>
      </c>
      <c r="AL63">
        <v>1</v>
      </c>
      <c r="AM63" t="s">
        <v>42</v>
      </c>
      <c r="AN63" t="s">
        <v>43</v>
      </c>
      <c r="AP63" t="s">
        <v>44</v>
      </c>
      <c r="AQ63">
        <v>59.778723070926397</v>
      </c>
      <c r="AR63" t="s">
        <v>45</v>
      </c>
    </row>
    <row r="64" spans="1:44" x14ac:dyDescent="0.3">
      <c r="A64" t="s">
        <v>67</v>
      </c>
      <c r="B64" t="s">
        <v>49</v>
      </c>
      <c r="C64" s="2" t="str">
        <f t="shared" si="0"/>
        <v>Neutral</v>
      </c>
      <c r="D64">
        <v>0.71493349998490796</v>
      </c>
      <c r="E64" t="s">
        <v>47</v>
      </c>
      <c r="F64" t="s">
        <v>53</v>
      </c>
      <c r="G64" t="s">
        <v>54</v>
      </c>
      <c r="H64">
        <v>62</v>
      </c>
      <c r="I64">
        <v>2</v>
      </c>
      <c r="J64">
        <v>3</v>
      </c>
      <c r="K64" t="s">
        <v>54</v>
      </c>
      <c r="L64">
        <v>1</v>
      </c>
      <c r="M64">
        <v>1.08055549999699</v>
      </c>
      <c r="N64" t="s">
        <v>51</v>
      </c>
      <c r="O64">
        <v>3</v>
      </c>
      <c r="P64">
        <v>2</v>
      </c>
      <c r="Q64">
        <v>62</v>
      </c>
      <c r="R64">
        <v>10</v>
      </c>
      <c r="S64">
        <v>97.886501800036001</v>
      </c>
      <c r="X64">
        <v>97.875290099997002</v>
      </c>
      <c r="Y64">
        <v>97.886501800036001</v>
      </c>
      <c r="Z64">
        <v>98.386309400026207</v>
      </c>
      <c r="AA64">
        <v>98.386309400026207</v>
      </c>
      <c r="AB64">
        <v>98.386309400026207</v>
      </c>
      <c r="AC64">
        <v>99.4748280000058</v>
      </c>
      <c r="AD64" t="s">
        <v>54</v>
      </c>
      <c r="AE64">
        <v>1</v>
      </c>
      <c r="AF64">
        <v>1.08055549999699</v>
      </c>
      <c r="AG64" t="s">
        <v>51</v>
      </c>
      <c r="AK64" t="s">
        <v>89</v>
      </c>
      <c r="AL64">
        <v>1</v>
      </c>
      <c r="AM64" t="s">
        <v>42</v>
      </c>
      <c r="AN64" t="s">
        <v>43</v>
      </c>
      <c r="AP64" t="s">
        <v>44</v>
      </c>
      <c r="AQ64">
        <v>59.778723070926397</v>
      </c>
      <c r="AR64" t="s">
        <v>45</v>
      </c>
    </row>
    <row r="65" spans="1:44" x14ac:dyDescent="0.3">
      <c r="A65" t="s">
        <v>69</v>
      </c>
      <c r="B65" t="s">
        <v>49</v>
      </c>
      <c r="C65" s="2" t="str">
        <f t="shared" si="0"/>
        <v>Emotional-I</v>
      </c>
      <c r="D65">
        <v>0.97530719998758197</v>
      </c>
      <c r="E65" t="s">
        <v>59</v>
      </c>
      <c r="F65" t="s">
        <v>56</v>
      </c>
      <c r="G65" t="s">
        <v>57</v>
      </c>
      <c r="H65">
        <v>63</v>
      </c>
      <c r="I65">
        <v>3</v>
      </c>
      <c r="J65">
        <v>3</v>
      </c>
      <c r="K65" t="s">
        <v>57</v>
      </c>
      <c r="L65">
        <v>1</v>
      </c>
      <c r="M65">
        <v>0.77397420001216199</v>
      </c>
      <c r="N65" t="s">
        <v>51</v>
      </c>
      <c r="O65">
        <v>3</v>
      </c>
      <c r="P65">
        <v>3</v>
      </c>
      <c r="Q65">
        <v>63</v>
      </c>
      <c r="R65">
        <v>5</v>
      </c>
      <c r="S65">
        <v>99.486757900041994</v>
      </c>
      <c r="X65">
        <v>99.478418000042396</v>
      </c>
      <c r="Y65">
        <v>99.486757900041994</v>
      </c>
      <c r="Z65">
        <v>99.986945300013701</v>
      </c>
      <c r="AA65">
        <v>99.986945300013701</v>
      </c>
      <c r="AB65">
        <v>99.986945300013701</v>
      </c>
      <c r="AC65">
        <v>100.77439199999201</v>
      </c>
      <c r="AD65" t="s">
        <v>57</v>
      </c>
      <c r="AE65">
        <v>1</v>
      </c>
      <c r="AF65">
        <v>0.77397420001216199</v>
      </c>
      <c r="AG65" t="s">
        <v>51</v>
      </c>
      <c r="AK65" t="s">
        <v>89</v>
      </c>
      <c r="AL65">
        <v>1</v>
      </c>
      <c r="AM65" t="s">
        <v>42</v>
      </c>
      <c r="AN65" t="s">
        <v>43</v>
      </c>
      <c r="AP65" t="s">
        <v>44</v>
      </c>
      <c r="AQ65">
        <v>59.778723070926397</v>
      </c>
      <c r="AR65" t="s">
        <v>45</v>
      </c>
    </row>
    <row r="66" spans="1:44" x14ac:dyDescent="0.3">
      <c r="A66" t="s">
        <v>72</v>
      </c>
      <c r="B66" t="s">
        <v>62</v>
      </c>
      <c r="C66" s="2" t="str">
        <f t="shared" ref="C66:C129" si="1">IF(E66="neutral","Neutral",
IF(AND(E66="emotional",B66="C"),"Emotional-C",
IF(AND(E66="emotional",B66="I"),"Emotional-I","")))</f>
        <v>Emotional-C</v>
      </c>
      <c r="D66">
        <v>0.95050129998708099</v>
      </c>
      <c r="E66" t="s">
        <v>59</v>
      </c>
      <c r="F66" t="s">
        <v>61</v>
      </c>
      <c r="G66" t="s">
        <v>63</v>
      </c>
      <c r="H66">
        <v>64</v>
      </c>
      <c r="I66">
        <v>4</v>
      </c>
      <c r="J66">
        <v>3</v>
      </c>
      <c r="K66" t="s">
        <v>63</v>
      </c>
      <c r="L66">
        <v>1</v>
      </c>
      <c r="M66">
        <v>0.71493349998490796</v>
      </c>
      <c r="N66" t="s">
        <v>51</v>
      </c>
      <c r="O66">
        <v>3</v>
      </c>
      <c r="P66">
        <v>4</v>
      </c>
      <c r="Q66">
        <v>64</v>
      </c>
      <c r="R66">
        <v>8</v>
      </c>
      <c r="S66">
        <v>100.78720070002601</v>
      </c>
      <c r="X66">
        <v>100.777318600041</v>
      </c>
      <c r="Y66">
        <v>100.78720070002601</v>
      </c>
      <c r="Z66">
        <v>101.28747999999899</v>
      </c>
      <c r="AA66">
        <v>101.28747999999899</v>
      </c>
      <c r="AB66">
        <v>101.28747999999899</v>
      </c>
      <c r="AC66">
        <v>102.00765430001699</v>
      </c>
      <c r="AD66" t="s">
        <v>63</v>
      </c>
      <c r="AE66">
        <v>1</v>
      </c>
      <c r="AF66">
        <v>0.71493349998490796</v>
      </c>
      <c r="AG66" t="s">
        <v>51</v>
      </c>
      <c r="AK66" t="s">
        <v>89</v>
      </c>
      <c r="AL66">
        <v>1</v>
      </c>
      <c r="AM66" t="s">
        <v>42</v>
      </c>
      <c r="AN66" t="s">
        <v>43</v>
      </c>
      <c r="AP66" t="s">
        <v>44</v>
      </c>
      <c r="AQ66">
        <v>59.778723070926397</v>
      </c>
      <c r="AR66" t="s">
        <v>45</v>
      </c>
    </row>
    <row r="67" spans="1:44" x14ac:dyDescent="0.3">
      <c r="A67" t="s">
        <v>71</v>
      </c>
      <c r="B67" t="s">
        <v>49</v>
      </c>
      <c r="C67" s="2" t="str">
        <f t="shared" si="1"/>
        <v>Neutral</v>
      </c>
      <c r="D67">
        <v>0.90535789995919902</v>
      </c>
      <c r="E67" t="s">
        <v>47</v>
      </c>
      <c r="F67" t="s">
        <v>48</v>
      </c>
      <c r="G67" t="s">
        <v>50</v>
      </c>
      <c r="H67">
        <v>65</v>
      </c>
      <c r="I67">
        <v>5</v>
      </c>
      <c r="J67">
        <v>3</v>
      </c>
      <c r="K67" t="s">
        <v>50</v>
      </c>
      <c r="L67">
        <v>1</v>
      </c>
      <c r="M67">
        <v>0.97530719998758197</v>
      </c>
      <c r="N67" t="s">
        <v>51</v>
      </c>
      <c r="O67">
        <v>3</v>
      </c>
      <c r="P67">
        <v>5</v>
      </c>
      <c r="Q67">
        <v>65</v>
      </c>
      <c r="R67">
        <v>15</v>
      </c>
      <c r="S67">
        <v>102.020629900041</v>
      </c>
      <c r="X67">
        <v>102.010892599995</v>
      </c>
      <c r="Y67">
        <v>102.020629900041</v>
      </c>
      <c r="Z67">
        <v>102.520542100013</v>
      </c>
      <c r="AA67">
        <v>102.520542100013</v>
      </c>
      <c r="AB67">
        <v>102.520542100013</v>
      </c>
      <c r="AC67">
        <v>103.507212700031</v>
      </c>
      <c r="AD67" t="s">
        <v>50</v>
      </c>
      <c r="AE67">
        <v>1</v>
      </c>
      <c r="AF67">
        <v>0.97530719998758197</v>
      </c>
      <c r="AG67" t="s">
        <v>51</v>
      </c>
      <c r="AK67" t="s">
        <v>89</v>
      </c>
      <c r="AL67">
        <v>1</v>
      </c>
      <c r="AM67" t="s">
        <v>42</v>
      </c>
      <c r="AN67" t="s">
        <v>43</v>
      </c>
      <c r="AP67" t="s">
        <v>44</v>
      </c>
      <c r="AQ67">
        <v>59.778723070926397</v>
      </c>
      <c r="AR67" t="s">
        <v>45</v>
      </c>
    </row>
    <row r="68" spans="1:44" x14ac:dyDescent="0.3">
      <c r="A68" t="s">
        <v>60</v>
      </c>
      <c r="B68" t="s">
        <v>62</v>
      </c>
      <c r="C68" s="2" t="str">
        <f t="shared" si="1"/>
        <v>Emotional-C</v>
      </c>
      <c r="D68">
        <v>0.70072650001384296</v>
      </c>
      <c r="E68" t="s">
        <v>59</v>
      </c>
      <c r="F68" t="s">
        <v>61</v>
      </c>
      <c r="G68" t="s">
        <v>63</v>
      </c>
      <c r="H68">
        <v>66</v>
      </c>
      <c r="I68">
        <v>6</v>
      </c>
      <c r="J68">
        <v>3</v>
      </c>
      <c r="K68" t="s">
        <v>63</v>
      </c>
      <c r="L68">
        <v>1</v>
      </c>
      <c r="M68">
        <v>0.95050129998708099</v>
      </c>
      <c r="N68" t="s">
        <v>51</v>
      </c>
      <c r="O68">
        <v>3</v>
      </c>
      <c r="P68">
        <v>6</v>
      </c>
      <c r="Q68">
        <v>66</v>
      </c>
      <c r="R68">
        <v>0</v>
      </c>
      <c r="S68">
        <v>103.520273500005</v>
      </c>
      <c r="X68">
        <v>103.510145900014</v>
      </c>
      <c r="Y68">
        <v>103.520273500005</v>
      </c>
      <c r="Z68">
        <v>104.020866600039</v>
      </c>
      <c r="AA68">
        <v>104.020866600039</v>
      </c>
      <c r="AB68">
        <v>104.020866600039</v>
      </c>
      <c r="AC68">
        <v>104.973938500043</v>
      </c>
      <c r="AD68" t="s">
        <v>63</v>
      </c>
      <c r="AE68">
        <v>1</v>
      </c>
      <c r="AF68">
        <v>0.95050129998708099</v>
      </c>
      <c r="AG68" t="s">
        <v>51</v>
      </c>
      <c r="AK68" t="s">
        <v>89</v>
      </c>
      <c r="AL68">
        <v>1</v>
      </c>
      <c r="AM68" t="s">
        <v>42</v>
      </c>
      <c r="AN68" t="s">
        <v>43</v>
      </c>
      <c r="AP68" t="s">
        <v>44</v>
      </c>
      <c r="AQ68">
        <v>59.778723070926397</v>
      </c>
      <c r="AR68" t="s">
        <v>45</v>
      </c>
    </row>
    <row r="69" spans="1:44" x14ac:dyDescent="0.3">
      <c r="A69" t="s">
        <v>58</v>
      </c>
      <c r="B69" t="s">
        <v>49</v>
      </c>
      <c r="C69" s="2" t="str">
        <f t="shared" si="1"/>
        <v>Emotional-I</v>
      </c>
      <c r="D69">
        <v>0.42737639998085702</v>
      </c>
      <c r="E69" t="s">
        <v>59</v>
      </c>
      <c r="F69" t="s">
        <v>48</v>
      </c>
      <c r="G69" t="s">
        <v>50</v>
      </c>
      <c r="H69">
        <v>67</v>
      </c>
      <c r="I69">
        <v>7</v>
      </c>
      <c r="J69">
        <v>3</v>
      </c>
      <c r="K69" t="s">
        <v>50</v>
      </c>
      <c r="L69">
        <v>1</v>
      </c>
      <c r="M69">
        <v>0.90535789995919902</v>
      </c>
      <c r="N69" t="s">
        <v>51</v>
      </c>
      <c r="O69">
        <v>3</v>
      </c>
      <c r="P69">
        <v>7</v>
      </c>
      <c r="Q69">
        <v>67</v>
      </c>
      <c r="R69">
        <v>7</v>
      </c>
      <c r="S69">
        <v>104.987468500039</v>
      </c>
      <c r="X69">
        <v>104.97750370000701</v>
      </c>
      <c r="Y69">
        <v>104.987468500039</v>
      </c>
      <c r="Z69">
        <v>105.488889300031</v>
      </c>
      <c r="AA69">
        <v>105.488889300031</v>
      </c>
      <c r="AB69">
        <v>105.488889300031</v>
      </c>
      <c r="AC69">
        <v>106.40764430002299</v>
      </c>
      <c r="AD69" t="s">
        <v>50</v>
      </c>
      <c r="AE69">
        <v>1</v>
      </c>
      <c r="AF69">
        <v>0.90535789995919902</v>
      </c>
      <c r="AG69" t="s">
        <v>51</v>
      </c>
      <c r="AK69" t="s">
        <v>89</v>
      </c>
      <c r="AL69">
        <v>1</v>
      </c>
      <c r="AM69" t="s">
        <v>42</v>
      </c>
      <c r="AN69" t="s">
        <v>43</v>
      </c>
      <c r="AP69" t="s">
        <v>44</v>
      </c>
      <c r="AQ69">
        <v>59.778723070926397</v>
      </c>
      <c r="AR69" t="s">
        <v>45</v>
      </c>
    </row>
    <row r="70" spans="1:44" x14ac:dyDescent="0.3">
      <c r="A70" t="s">
        <v>55</v>
      </c>
      <c r="B70" t="s">
        <v>49</v>
      </c>
      <c r="C70" s="2" t="str">
        <f t="shared" si="1"/>
        <v>Neutral</v>
      </c>
      <c r="D70">
        <v>0.824257800006307</v>
      </c>
      <c r="E70" t="s">
        <v>47</v>
      </c>
      <c r="F70" t="s">
        <v>56</v>
      </c>
      <c r="G70" t="s">
        <v>57</v>
      </c>
      <c r="H70">
        <v>68</v>
      </c>
      <c r="I70">
        <v>8</v>
      </c>
      <c r="J70">
        <v>3</v>
      </c>
      <c r="K70" t="s">
        <v>57</v>
      </c>
      <c r="L70">
        <v>1</v>
      </c>
      <c r="M70">
        <v>0.70072650001384296</v>
      </c>
      <c r="N70" t="s">
        <v>51</v>
      </c>
      <c r="O70">
        <v>3</v>
      </c>
      <c r="P70">
        <v>8</v>
      </c>
      <c r="Q70">
        <v>68</v>
      </c>
      <c r="R70">
        <v>13</v>
      </c>
      <c r="S70">
        <v>106.420130800048</v>
      </c>
      <c r="X70">
        <v>106.410905600001</v>
      </c>
      <c r="Y70">
        <v>106.420130800048</v>
      </c>
      <c r="Z70">
        <v>106.920296300027</v>
      </c>
      <c r="AA70">
        <v>106.920296300027</v>
      </c>
      <c r="AB70">
        <v>106.920296300027</v>
      </c>
      <c r="AC70">
        <v>107.624720300023</v>
      </c>
      <c r="AD70" t="s">
        <v>57</v>
      </c>
      <c r="AE70">
        <v>1</v>
      </c>
      <c r="AF70">
        <v>0.70072650001384296</v>
      </c>
      <c r="AG70" t="s">
        <v>51</v>
      </c>
      <c r="AK70" t="s">
        <v>89</v>
      </c>
      <c r="AL70">
        <v>1</v>
      </c>
      <c r="AM70" t="s">
        <v>42</v>
      </c>
      <c r="AN70" t="s">
        <v>43</v>
      </c>
      <c r="AP70" t="s">
        <v>44</v>
      </c>
      <c r="AQ70">
        <v>59.778723070926397</v>
      </c>
      <c r="AR70" t="s">
        <v>45</v>
      </c>
    </row>
    <row r="71" spans="1:44" x14ac:dyDescent="0.3">
      <c r="A71" t="s">
        <v>65</v>
      </c>
      <c r="B71" t="s">
        <v>49</v>
      </c>
      <c r="C71" s="2" t="str">
        <f t="shared" si="1"/>
        <v>Emotional-I</v>
      </c>
      <c r="D71">
        <v>0.65508340002270404</v>
      </c>
      <c r="E71" t="s">
        <v>59</v>
      </c>
      <c r="F71" t="s">
        <v>56</v>
      </c>
      <c r="G71" t="s">
        <v>57</v>
      </c>
      <c r="H71">
        <v>69</v>
      </c>
      <c r="I71">
        <v>9</v>
      </c>
      <c r="J71">
        <v>3</v>
      </c>
      <c r="K71" t="s">
        <v>57</v>
      </c>
      <c r="L71">
        <v>1</v>
      </c>
      <c r="M71">
        <v>0.42737639998085702</v>
      </c>
      <c r="N71" t="s">
        <v>51</v>
      </c>
      <c r="O71">
        <v>3</v>
      </c>
      <c r="P71">
        <v>9</v>
      </c>
      <c r="Q71">
        <v>69</v>
      </c>
      <c r="R71">
        <v>9</v>
      </c>
      <c r="S71">
        <v>107.636675900022</v>
      </c>
      <c r="X71">
        <v>107.62873400002699</v>
      </c>
      <c r="Y71">
        <v>107.636675900022</v>
      </c>
      <c r="Z71">
        <v>108.136855799995</v>
      </c>
      <c r="AA71">
        <v>108.136855799995</v>
      </c>
      <c r="AB71">
        <v>108.136855799995</v>
      </c>
      <c r="AC71">
        <v>108.573854100017</v>
      </c>
      <c r="AD71" t="s">
        <v>57</v>
      </c>
      <c r="AE71">
        <v>1</v>
      </c>
      <c r="AF71">
        <v>0.42737639998085702</v>
      </c>
      <c r="AG71" t="s">
        <v>51</v>
      </c>
      <c r="AK71" t="s">
        <v>89</v>
      </c>
      <c r="AL71">
        <v>1</v>
      </c>
      <c r="AM71" t="s">
        <v>42</v>
      </c>
      <c r="AN71" t="s">
        <v>43</v>
      </c>
      <c r="AP71" t="s">
        <v>44</v>
      </c>
      <c r="AQ71">
        <v>59.778723070926397</v>
      </c>
      <c r="AR71" t="s">
        <v>45</v>
      </c>
    </row>
    <row r="72" spans="1:44" x14ac:dyDescent="0.3">
      <c r="A72" t="s">
        <v>68</v>
      </c>
      <c r="B72" t="s">
        <v>49</v>
      </c>
      <c r="C72" s="2" t="str">
        <f t="shared" si="1"/>
        <v>Emotional-I</v>
      </c>
      <c r="D72">
        <v>0.68934410001384006</v>
      </c>
      <c r="E72" t="s">
        <v>59</v>
      </c>
      <c r="F72" t="s">
        <v>53</v>
      </c>
      <c r="G72" t="s">
        <v>54</v>
      </c>
      <c r="H72">
        <v>70</v>
      </c>
      <c r="I72">
        <v>10</v>
      </c>
      <c r="J72">
        <v>3</v>
      </c>
      <c r="K72" t="s">
        <v>54</v>
      </c>
      <c r="L72">
        <v>1</v>
      </c>
      <c r="M72">
        <v>0.824257800006307</v>
      </c>
      <c r="N72" t="s">
        <v>51</v>
      </c>
      <c r="O72">
        <v>3</v>
      </c>
      <c r="P72">
        <v>10</v>
      </c>
      <c r="Q72">
        <v>70</v>
      </c>
      <c r="R72">
        <v>6</v>
      </c>
      <c r="S72">
        <v>108.58661890000801</v>
      </c>
      <c r="X72">
        <v>108.57682280003699</v>
      </c>
      <c r="Y72">
        <v>108.58661890000801</v>
      </c>
      <c r="Z72">
        <v>109.087047000008</v>
      </c>
      <c r="AA72">
        <v>109.087047000008</v>
      </c>
      <c r="AB72">
        <v>109.087047000008</v>
      </c>
      <c r="AC72">
        <v>109.923533299996</v>
      </c>
      <c r="AD72" t="s">
        <v>54</v>
      </c>
      <c r="AE72">
        <v>1</v>
      </c>
      <c r="AF72">
        <v>0.824257800006307</v>
      </c>
      <c r="AG72" t="s">
        <v>51</v>
      </c>
      <c r="AK72" t="s">
        <v>89</v>
      </c>
      <c r="AL72">
        <v>1</v>
      </c>
      <c r="AM72" t="s">
        <v>42</v>
      </c>
      <c r="AN72" t="s">
        <v>43</v>
      </c>
      <c r="AP72" t="s">
        <v>44</v>
      </c>
      <c r="AQ72">
        <v>59.778723070926397</v>
      </c>
      <c r="AR72" t="s">
        <v>45</v>
      </c>
    </row>
    <row r="73" spans="1:44" x14ac:dyDescent="0.3">
      <c r="A73" t="s">
        <v>46</v>
      </c>
      <c r="B73" t="s">
        <v>49</v>
      </c>
      <c r="C73" s="2" t="str">
        <f t="shared" si="1"/>
        <v>Neutral</v>
      </c>
      <c r="D73">
        <v>0.59250299999257505</v>
      </c>
      <c r="E73" t="s">
        <v>47</v>
      </c>
      <c r="F73" t="s">
        <v>48</v>
      </c>
      <c r="G73" t="s">
        <v>50</v>
      </c>
      <c r="H73">
        <v>71</v>
      </c>
      <c r="I73">
        <v>11</v>
      </c>
      <c r="J73">
        <v>3</v>
      </c>
      <c r="K73" t="s">
        <v>50</v>
      </c>
      <c r="L73">
        <v>1</v>
      </c>
      <c r="M73">
        <v>0.65508340002270404</v>
      </c>
      <c r="N73" t="s">
        <v>51</v>
      </c>
      <c r="O73">
        <v>3</v>
      </c>
      <c r="P73">
        <v>11</v>
      </c>
      <c r="Q73">
        <v>71</v>
      </c>
      <c r="R73">
        <v>19</v>
      </c>
      <c r="S73">
        <v>109.93698420003</v>
      </c>
      <c r="X73">
        <v>109.926490000041</v>
      </c>
      <c r="Y73">
        <v>109.93698420003</v>
      </c>
      <c r="Z73">
        <v>110.437168600037</v>
      </c>
      <c r="AA73">
        <v>110.437168600037</v>
      </c>
      <c r="AB73">
        <v>110.437168600037</v>
      </c>
      <c r="AC73">
        <v>111.093107299995</v>
      </c>
      <c r="AD73" t="s">
        <v>50</v>
      </c>
      <c r="AE73">
        <v>1</v>
      </c>
      <c r="AF73">
        <v>0.65508340002270404</v>
      </c>
      <c r="AG73" t="s">
        <v>51</v>
      </c>
      <c r="AK73" t="s">
        <v>89</v>
      </c>
      <c r="AL73">
        <v>1</v>
      </c>
      <c r="AM73" t="s">
        <v>42</v>
      </c>
      <c r="AN73" t="s">
        <v>43</v>
      </c>
      <c r="AP73" t="s">
        <v>44</v>
      </c>
      <c r="AQ73">
        <v>59.778723070926397</v>
      </c>
      <c r="AR73" t="s">
        <v>45</v>
      </c>
    </row>
    <row r="74" spans="1:44" x14ac:dyDescent="0.3">
      <c r="A74" t="s">
        <v>78</v>
      </c>
      <c r="B74" t="s">
        <v>49</v>
      </c>
      <c r="C74" s="2" t="str">
        <f t="shared" si="1"/>
        <v>Neutral</v>
      </c>
      <c r="D74">
        <v>0.46937269996851599</v>
      </c>
      <c r="E74" t="s">
        <v>47</v>
      </c>
      <c r="F74" t="s">
        <v>56</v>
      </c>
      <c r="G74" t="s">
        <v>57</v>
      </c>
      <c r="H74">
        <v>72</v>
      </c>
      <c r="I74">
        <v>12</v>
      </c>
      <c r="J74">
        <v>3</v>
      </c>
      <c r="K74" t="s">
        <v>57</v>
      </c>
      <c r="L74">
        <v>1</v>
      </c>
      <c r="M74">
        <v>0.68934410001384006</v>
      </c>
      <c r="N74" t="s">
        <v>51</v>
      </c>
      <c r="O74">
        <v>3</v>
      </c>
      <c r="P74">
        <v>12</v>
      </c>
      <c r="Q74">
        <v>72</v>
      </c>
      <c r="R74">
        <v>17</v>
      </c>
      <c r="S74">
        <v>111.10344000003499</v>
      </c>
      <c r="X74">
        <v>111.096527700021</v>
      </c>
      <c r="Y74">
        <v>111.10344000003499</v>
      </c>
      <c r="Z74">
        <v>111.603672600002</v>
      </c>
      <c r="AA74">
        <v>111.603672600002</v>
      </c>
      <c r="AB74">
        <v>111.603672600002</v>
      </c>
      <c r="AC74">
        <v>112.306470600015</v>
      </c>
      <c r="AD74" t="s">
        <v>57</v>
      </c>
      <c r="AE74">
        <v>1</v>
      </c>
      <c r="AF74">
        <v>0.68934410001384006</v>
      </c>
      <c r="AG74" t="s">
        <v>51</v>
      </c>
      <c r="AK74" t="s">
        <v>89</v>
      </c>
      <c r="AL74">
        <v>1</v>
      </c>
      <c r="AM74" t="s">
        <v>42</v>
      </c>
      <c r="AN74" t="s">
        <v>43</v>
      </c>
      <c r="AP74" t="s">
        <v>44</v>
      </c>
      <c r="AQ74">
        <v>59.778723070926397</v>
      </c>
      <c r="AR74" t="s">
        <v>45</v>
      </c>
    </row>
    <row r="75" spans="1:44" x14ac:dyDescent="0.3">
      <c r="A75" t="s">
        <v>75</v>
      </c>
      <c r="B75" t="s">
        <v>49</v>
      </c>
      <c r="C75" s="2" t="str">
        <f t="shared" si="1"/>
        <v>Neutral</v>
      </c>
      <c r="D75">
        <v>1.4228159000049301</v>
      </c>
      <c r="E75" t="s">
        <v>47</v>
      </c>
      <c r="F75" t="s">
        <v>61</v>
      </c>
      <c r="G75" t="s">
        <v>63</v>
      </c>
      <c r="H75">
        <v>73</v>
      </c>
      <c r="I75">
        <v>13</v>
      </c>
      <c r="J75">
        <v>3</v>
      </c>
      <c r="K75" t="s">
        <v>63</v>
      </c>
      <c r="L75">
        <v>1</v>
      </c>
      <c r="M75">
        <v>0.59250299999257505</v>
      </c>
      <c r="N75" t="s">
        <v>51</v>
      </c>
      <c r="O75">
        <v>3</v>
      </c>
      <c r="P75">
        <v>13</v>
      </c>
      <c r="Q75">
        <v>73</v>
      </c>
      <c r="R75">
        <v>16</v>
      </c>
      <c r="S75">
        <v>112.319647299998</v>
      </c>
      <c r="X75">
        <v>112.3091671</v>
      </c>
      <c r="Y75">
        <v>112.319647299998</v>
      </c>
      <c r="Z75">
        <v>112.82039200002301</v>
      </c>
      <c r="AA75">
        <v>112.82039200002301</v>
      </c>
      <c r="AB75">
        <v>112.82039200002301</v>
      </c>
      <c r="AC75">
        <v>113.423616000043</v>
      </c>
      <c r="AD75" t="s">
        <v>63</v>
      </c>
      <c r="AE75">
        <v>1</v>
      </c>
      <c r="AF75">
        <v>0.59250299999257505</v>
      </c>
      <c r="AG75" t="s">
        <v>51</v>
      </c>
      <c r="AK75" t="s">
        <v>89</v>
      </c>
      <c r="AL75">
        <v>1</v>
      </c>
      <c r="AM75" t="s">
        <v>42</v>
      </c>
      <c r="AN75" t="s">
        <v>43</v>
      </c>
      <c r="AP75" t="s">
        <v>44</v>
      </c>
      <c r="AQ75">
        <v>59.778723070926397</v>
      </c>
      <c r="AR75" t="s">
        <v>45</v>
      </c>
    </row>
    <row r="76" spans="1:44" x14ac:dyDescent="0.3">
      <c r="A76" t="s">
        <v>66</v>
      </c>
      <c r="B76" t="s">
        <v>49</v>
      </c>
      <c r="C76" s="2" t="str">
        <f t="shared" si="1"/>
        <v>Neutral</v>
      </c>
      <c r="D76">
        <v>0.70803770003840305</v>
      </c>
      <c r="E76" t="s">
        <v>47</v>
      </c>
      <c r="F76" t="s">
        <v>61</v>
      </c>
      <c r="G76" t="s">
        <v>63</v>
      </c>
      <c r="H76">
        <v>74</v>
      </c>
      <c r="I76">
        <v>14</v>
      </c>
      <c r="J76">
        <v>3</v>
      </c>
      <c r="K76" t="s">
        <v>63</v>
      </c>
      <c r="L76">
        <v>1</v>
      </c>
      <c r="M76">
        <v>0.46937269996851599</v>
      </c>
      <c r="N76" t="s">
        <v>51</v>
      </c>
      <c r="O76">
        <v>3</v>
      </c>
      <c r="P76">
        <v>14</v>
      </c>
      <c r="Q76">
        <v>74</v>
      </c>
      <c r="R76">
        <v>12</v>
      </c>
      <c r="S76">
        <v>113.438349000003</v>
      </c>
      <c r="X76">
        <v>113.427419300016</v>
      </c>
      <c r="Y76">
        <v>113.438349000003</v>
      </c>
      <c r="Z76">
        <v>113.936391399998</v>
      </c>
      <c r="AA76">
        <v>113.936391399998</v>
      </c>
      <c r="AB76">
        <v>113.936391399998</v>
      </c>
      <c r="AC76">
        <v>114.42156069999299</v>
      </c>
      <c r="AD76" t="s">
        <v>63</v>
      </c>
      <c r="AE76">
        <v>1</v>
      </c>
      <c r="AF76">
        <v>0.46937269996851599</v>
      </c>
      <c r="AG76" t="s">
        <v>51</v>
      </c>
      <c r="AK76" t="s">
        <v>89</v>
      </c>
      <c r="AL76">
        <v>1</v>
      </c>
      <c r="AM76" t="s">
        <v>42</v>
      </c>
      <c r="AN76" t="s">
        <v>43</v>
      </c>
      <c r="AP76" t="s">
        <v>44</v>
      </c>
      <c r="AQ76">
        <v>59.778723070926397</v>
      </c>
      <c r="AR76" t="s">
        <v>45</v>
      </c>
    </row>
    <row r="77" spans="1:44" x14ac:dyDescent="0.3">
      <c r="A77" t="s">
        <v>52</v>
      </c>
      <c r="B77" t="s">
        <v>49</v>
      </c>
      <c r="C77" s="2" t="str">
        <f t="shared" si="1"/>
        <v>Neutral</v>
      </c>
      <c r="D77">
        <v>0.76081319997319896</v>
      </c>
      <c r="E77" t="s">
        <v>47</v>
      </c>
      <c r="F77" t="s">
        <v>53</v>
      </c>
      <c r="G77" t="s">
        <v>54</v>
      </c>
      <c r="H77">
        <v>75</v>
      </c>
      <c r="I77">
        <v>15</v>
      </c>
      <c r="J77">
        <v>3</v>
      </c>
      <c r="K77" t="s">
        <v>54</v>
      </c>
      <c r="L77">
        <v>1</v>
      </c>
      <c r="M77">
        <v>1.4228159000049301</v>
      </c>
      <c r="N77" t="s">
        <v>51</v>
      </c>
      <c r="O77">
        <v>3</v>
      </c>
      <c r="P77">
        <v>15</v>
      </c>
      <c r="Q77">
        <v>75</v>
      </c>
      <c r="R77">
        <v>14</v>
      </c>
      <c r="S77">
        <v>114.435580299992</v>
      </c>
      <c r="X77">
        <v>114.424169900012</v>
      </c>
      <c r="Y77">
        <v>114.435580299992</v>
      </c>
      <c r="Z77">
        <v>114.936322199995</v>
      </c>
      <c r="AA77">
        <v>114.936322199995</v>
      </c>
      <c r="AB77">
        <v>114.936322199995</v>
      </c>
      <c r="AC77">
        <v>116.374262600031</v>
      </c>
      <c r="AD77" t="s">
        <v>54</v>
      </c>
      <c r="AE77">
        <v>1</v>
      </c>
      <c r="AF77">
        <v>1.4228159000049301</v>
      </c>
      <c r="AG77" t="s">
        <v>51</v>
      </c>
      <c r="AK77" t="s">
        <v>89</v>
      </c>
      <c r="AL77">
        <v>1</v>
      </c>
      <c r="AM77" t="s">
        <v>42</v>
      </c>
      <c r="AN77" t="s">
        <v>43</v>
      </c>
      <c r="AP77" t="s">
        <v>44</v>
      </c>
      <c r="AQ77">
        <v>59.778723070926397</v>
      </c>
      <c r="AR77" t="s">
        <v>45</v>
      </c>
    </row>
    <row r="78" spans="1:44" x14ac:dyDescent="0.3">
      <c r="A78" t="s">
        <v>70</v>
      </c>
      <c r="B78" t="s">
        <v>49</v>
      </c>
      <c r="C78" s="2" t="str">
        <f t="shared" si="1"/>
        <v>Emotional-I</v>
      </c>
      <c r="D78">
        <v>0.94541769998613701</v>
      </c>
      <c r="E78" t="s">
        <v>59</v>
      </c>
      <c r="F78" t="s">
        <v>53</v>
      </c>
      <c r="G78" t="s">
        <v>54</v>
      </c>
      <c r="H78">
        <v>76</v>
      </c>
      <c r="I78">
        <v>16</v>
      </c>
      <c r="J78">
        <v>3</v>
      </c>
      <c r="K78" t="s">
        <v>54</v>
      </c>
      <c r="L78">
        <v>1</v>
      </c>
      <c r="M78">
        <v>0.70803770003840305</v>
      </c>
      <c r="N78" t="s">
        <v>51</v>
      </c>
      <c r="O78">
        <v>3</v>
      </c>
      <c r="P78">
        <v>16</v>
      </c>
      <c r="Q78">
        <v>76</v>
      </c>
      <c r="R78">
        <v>2</v>
      </c>
      <c r="S78">
        <v>116.386217500024</v>
      </c>
      <c r="X78">
        <v>116.377609000017</v>
      </c>
      <c r="Y78">
        <v>116.386217500024</v>
      </c>
      <c r="Z78">
        <v>116.886205699993</v>
      </c>
      <c r="AA78">
        <v>116.886205699993</v>
      </c>
      <c r="AB78">
        <v>116.886205699993</v>
      </c>
      <c r="AC78">
        <v>117.607256100047</v>
      </c>
      <c r="AD78" t="s">
        <v>54</v>
      </c>
      <c r="AE78">
        <v>1</v>
      </c>
      <c r="AF78">
        <v>0.70803770003840305</v>
      </c>
      <c r="AG78" t="s">
        <v>51</v>
      </c>
      <c r="AK78" t="s">
        <v>89</v>
      </c>
      <c r="AL78">
        <v>1</v>
      </c>
      <c r="AM78" t="s">
        <v>42</v>
      </c>
      <c r="AN78" t="s">
        <v>43</v>
      </c>
      <c r="AP78" t="s">
        <v>44</v>
      </c>
      <c r="AQ78">
        <v>59.778723070926397</v>
      </c>
      <c r="AR78" t="s">
        <v>45</v>
      </c>
    </row>
    <row r="79" spans="1:44" x14ac:dyDescent="0.3">
      <c r="A79" t="s">
        <v>77</v>
      </c>
      <c r="B79" t="s">
        <v>62</v>
      </c>
      <c r="C79" s="2" t="str">
        <f t="shared" si="1"/>
        <v>Emotional-C</v>
      </c>
      <c r="D79">
        <v>0.48774620000040098</v>
      </c>
      <c r="E79" t="s">
        <v>59</v>
      </c>
      <c r="F79" t="s">
        <v>61</v>
      </c>
      <c r="G79" t="s">
        <v>63</v>
      </c>
      <c r="H79">
        <v>77</v>
      </c>
      <c r="I79">
        <v>17</v>
      </c>
      <c r="J79">
        <v>3</v>
      </c>
      <c r="K79" t="s">
        <v>63</v>
      </c>
      <c r="L79">
        <v>1</v>
      </c>
      <c r="M79">
        <v>0.76081319997319896</v>
      </c>
      <c r="N79" t="s">
        <v>51</v>
      </c>
      <c r="O79">
        <v>3</v>
      </c>
      <c r="P79">
        <v>17</v>
      </c>
      <c r="Q79">
        <v>77</v>
      </c>
      <c r="R79">
        <v>4</v>
      </c>
      <c r="S79">
        <v>117.620208800013</v>
      </c>
      <c r="X79">
        <v>117.609906600031</v>
      </c>
      <c r="Y79">
        <v>117.620208800013</v>
      </c>
      <c r="Z79">
        <v>118.12007920001599</v>
      </c>
      <c r="AA79">
        <v>118.12007920001599</v>
      </c>
      <c r="AB79">
        <v>118.12007920001599</v>
      </c>
      <c r="AC79">
        <v>118.88984030002</v>
      </c>
      <c r="AD79" t="s">
        <v>63</v>
      </c>
      <c r="AE79">
        <v>1</v>
      </c>
      <c r="AF79">
        <v>0.76081319997319896</v>
      </c>
      <c r="AG79" t="s">
        <v>51</v>
      </c>
      <c r="AK79" t="s">
        <v>89</v>
      </c>
      <c r="AL79">
        <v>1</v>
      </c>
      <c r="AM79" t="s">
        <v>42</v>
      </c>
      <c r="AN79" t="s">
        <v>43</v>
      </c>
      <c r="AP79" t="s">
        <v>44</v>
      </c>
      <c r="AQ79">
        <v>59.778723070926397</v>
      </c>
      <c r="AR79" t="s">
        <v>45</v>
      </c>
    </row>
    <row r="80" spans="1:44" x14ac:dyDescent="0.3">
      <c r="A80" t="s">
        <v>74</v>
      </c>
      <c r="B80" t="s">
        <v>49</v>
      </c>
      <c r="C80" s="2" t="str">
        <f t="shared" si="1"/>
        <v>Neutral</v>
      </c>
      <c r="D80">
        <v>0.69880129996454299</v>
      </c>
      <c r="E80" t="s">
        <v>47</v>
      </c>
      <c r="F80" t="s">
        <v>48</v>
      </c>
      <c r="G80" t="s">
        <v>50</v>
      </c>
      <c r="H80">
        <v>78</v>
      </c>
      <c r="I80">
        <v>18</v>
      </c>
      <c r="J80">
        <v>3</v>
      </c>
      <c r="K80" t="s">
        <v>50</v>
      </c>
      <c r="L80">
        <v>1</v>
      </c>
      <c r="M80">
        <v>0.94541769998613701</v>
      </c>
      <c r="N80" t="s">
        <v>51</v>
      </c>
      <c r="O80">
        <v>3</v>
      </c>
      <c r="P80">
        <v>18</v>
      </c>
      <c r="Q80">
        <v>78</v>
      </c>
      <c r="R80">
        <v>11</v>
      </c>
      <c r="S80">
        <v>118.903106500045</v>
      </c>
      <c r="X80">
        <v>118.892471800034</v>
      </c>
      <c r="Y80">
        <v>118.903106500045</v>
      </c>
      <c r="Z80">
        <v>119.403406500001</v>
      </c>
      <c r="AA80">
        <v>119.403406500001</v>
      </c>
      <c r="AB80">
        <v>119.403406500001</v>
      </c>
      <c r="AC80">
        <v>120.35634520003801</v>
      </c>
      <c r="AD80" t="s">
        <v>50</v>
      </c>
      <c r="AE80">
        <v>1</v>
      </c>
      <c r="AF80">
        <v>0.94541769998613701</v>
      </c>
      <c r="AG80" t="s">
        <v>51</v>
      </c>
      <c r="AK80" t="s">
        <v>89</v>
      </c>
      <c r="AL80">
        <v>1</v>
      </c>
      <c r="AM80" t="s">
        <v>42</v>
      </c>
      <c r="AN80" t="s">
        <v>43</v>
      </c>
      <c r="AP80" t="s">
        <v>44</v>
      </c>
      <c r="AQ80">
        <v>59.778723070926397</v>
      </c>
      <c r="AR80" t="s">
        <v>45</v>
      </c>
    </row>
    <row r="81" spans="1:44" x14ac:dyDescent="0.3">
      <c r="A81" t="s">
        <v>76</v>
      </c>
      <c r="B81" t="s">
        <v>49</v>
      </c>
      <c r="C81" s="2" t="str">
        <f t="shared" si="1"/>
        <v>Emotional-I</v>
      </c>
      <c r="D81">
        <v>1.1959942000103101</v>
      </c>
      <c r="E81" t="s">
        <v>59</v>
      </c>
      <c r="F81" t="s">
        <v>48</v>
      </c>
      <c r="G81" t="s">
        <v>50</v>
      </c>
      <c r="H81">
        <v>79</v>
      </c>
      <c r="I81">
        <v>19</v>
      </c>
      <c r="J81">
        <v>3</v>
      </c>
      <c r="K81" t="s">
        <v>50</v>
      </c>
      <c r="L81">
        <v>1</v>
      </c>
      <c r="M81">
        <v>0.48774620000040098</v>
      </c>
      <c r="N81" t="s">
        <v>51</v>
      </c>
      <c r="O81">
        <v>3</v>
      </c>
      <c r="P81">
        <v>19</v>
      </c>
      <c r="Q81">
        <v>79</v>
      </c>
      <c r="R81">
        <v>3</v>
      </c>
      <c r="S81">
        <v>120.369377900031</v>
      </c>
      <c r="X81">
        <v>120.35958300001199</v>
      </c>
      <c r="Y81">
        <v>120.369377900031</v>
      </c>
      <c r="Z81">
        <v>120.87064530001901</v>
      </c>
      <c r="AA81">
        <v>120.87064530001901</v>
      </c>
      <c r="AB81">
        <v>120.87064530001901</v>
      </c>
      <c r="AC81">
        <v>121.374162700027</v>
      </c>
      <c r="AD81" t="s">
        <v>50</v>
      </c>
      <c r="AE81">
        <v>1</v>
      </c>
      <c r="AF81">
        <v>0.48774620000040098</v>
      </c>
      <c r="AG81" t="s">
        <v>51</v>
      </c>
      <c r="AK81" t="s">
        <v>89</v>
      </c>
      <c r="AL81">
        <v>1</v>
      </c>
      <c r="AM81" t="s">
        <v>42</v>
      </c>
      <c r="AN81" t="s">
        <v>43</v>
      </c>
      <c r="AP81" t="s">
        <v>44</v>
      </c>
      <c r="AQ81">
        <v>59.778723070926397</v>
      </c>
      <c r="AR81" t="s">
        <v>45</v>
      </c>
    </row>
    <row r="82" spans="1:44" x14ac:dyDescent="0.3">
      <c r="A82" t="s">
        <v>66</v>
      </c>
      <c r="B82" t="s">
        <v>49</v>
      </c>
      <c r="C82" s="2" t="str">
        <f t="shared" si="1"/>
        <v>Neutral</v>
      </c>
      <c r="D82">
        <v>0.745323200011625</v>
      </c>
      <c r="E82" t="s">
        <v>47</v>
      </c>
      <c r="F82" t="s">
        <v>61</v>
      </c>
      <c r="G82" t="s">
        <v>63</v>
      </c>
      <c r="H82">
        <v>80</v>
      </c>
      <c r="I82">
        <v>0</v>
      </c>
      <c r="J82">
        <v>4</v>
      </c>
      <c r="K82" t="s">
        <v>63</v>
      </c>
      <c r="L82">
        <v>1</v>
      </c>
      <c r="M82">
        <v>0.69880129996454299</v>
      </c>
      <c r="N82" t="s">
        <v>51</v>
      </c>
      <c r="O82">
        <v>4</v>
      </c>
      <c r="P82">
        <v>0</v>
      </c>
      <c r="Q82">
        <v>80</v>
      </c>
      <c r="R82">
        <v>12</v>
      </c>
      <c r="S82">
        <v>121.38610699999801</v>
      </c>
      <c r="X82">
        <v>121.377489600039</v>
      </c>
      <c r="Y82">
        <v>121.38610699999801</v>
      </c>
      <c r="Z82">
        <v>121.886069500003</v>
      </c>
      <c r="AA82">
        <v>121.886069500003</v>
      </c>
      <c r="AB82">
        <v>121.886069500003</v>
      </c>
      <c r="AC82">
        <v>122.590714100049</v>
      </c>
      <c r="AD82" t="s">
        <v>63</v>
      </c>
      <c r="AE82">
        <v>1</v>
      </c>
      <c r="AF82">
        <v>0.69880129996454299</v>
      </c>
      <c r="AG82" t="s">
        <v>51</v>
      </c>
      <c r="AK82" t="s">
        <v>89</v>
      </c>
      <c r="AL82">
        <v>1</v>
      </c>
      <c r="AM82" t="s">
        <v>42</v>
      </c>
      <c r="AN82" t="s">
        <v>43</v>
      </c>
      <c r="AP82" t="s">
        <v>44</v>
      </c>
      <c r="AQ82">
        <v>59.778723070926397</v>
      </c>
      <c r="AR82" t="s">
        <v>45</v>
      </c>
    </row>
    <row r="83" spans="1:44" x14ac:dyDescent="0.3">
      <c r="A83" t="s">
        <v>64</v>
      </c>
      <c r="B83" t="s">
        <v>49</v>
      </c>
      <c r="C83" s="2" t="str">
        <f t="shared" si="1"/>
        <v>Neutral</v>
      </c>
      <c r="D83">
        <v>1.16402389999711</v>
      </c>
      <c r="E83" t="s">
        <v>47</v>
      </c>
      <c r="F83" t="s">
        <v>53</v>
      </c>
      <c r="G83" t="s">
        <v>54</v>
      </c>
      <c r="H83">
        <v>81</v>
      </c>
      <c r="I83">
        <v>1</v>
      </c>
      <c r="J83">
        <v>4</v>
      </c>
      <c r="K83" t="s">
        <v>54</v>
      </c>
      <c r="L83">
        <v>1</v>
      </c>
      <c r="M83">
        <v>1.1959942000103101</v>
      </c>
      <c r="N83" t="s">
        <v>51</v>
      </c>
      <c r="O83">
        <v>4</v>
      </c>
      <c r="P83">
        <v>1</v>
      </c>
      <c r="Q83">
        <v>81</v>
      </c>
      <c r="R83">
        <v>18</v>
      </c>
      <c r="S83">
        <v>122.602806800045</v>
      </c>
      <c r="X83">
        <v>122.59361820004401</v>
      </c>
      <c r="Y83">
        <v>122.602806800045</v>
      </c>
      <c r="Z83">
        <v>123.103080500033</v>
      </c>
      <c r="AA83">
        <v>123.103080500033</v>
      </c>
      <c r="AB83">
        <v>123.103080500033</v>
      </c>
      <c r="AC83">
        <v>124.30691220000099</v>
      </c>
      <c r="AD83" t="s">
        <v>54</v>
      </c>
      <c r="AE83">
        <v>1</v>
      </c>
      <c r="AF83">
        <v>1.1959942000103101</v>
      </c>
      <c r="AG83" t="s">
        <v>51</v>
      </c>
      <c r="AK83" t="s">
        <v>89</v>
      </c>
      <c r="AL83">
        <v>1</v>
      </c>
      <c r="AM83" t="s">
        <v>42</v>
      </c>
      <c r="AN83" t="s">
        <v>43</v>
      </c>
      <c r="AP83" t="s">
        <v>44</v>
      </c>
      <c r="AQ83">
        <v>59.778723070926397</v>
      </c>
      <c r="AR83" t="s">
        <v>45</v>
      </c>
    </row>
    <row r="84" spans="1:44" x14ac:dyDescent="0.3">
      <c r="A84" t="s">
        <v>74</v>
      </c>
      <c r="B84" t="s">
        <v>49</v>
      </c>
      <c r="C84" s="2" t="str">
        <f t="shared" si="1"/>
        <v>Neutral</v>
      </c>
      <c r="D84">
        <v>0.842352100007701</v>
      </c>
      <c r="E84" t="s">
        <v>47</v>
      </c>
      <c r="F84" t="s">
        <v>48</v>
      </c>
      <c r="G84" t="s">
        <v>50</v>
      </c>
      <c r="H84">
        <v>82</v>
      </c>
      <c r="I84">
        <v>2</v>
      </c>
      <c r="J84">
        <v>4</v>
      </c>
      <c r="K84" t="s">
        <v>50</v>
      </c>
      <c r="L84">
        <v>1</v>
      </c>
      <c r="M84">
        <v>0.745323200011625</v>
      </c>
      <c r="N84" t="s">
        <v>51</v>
      </c>
      <c r="O84">
        <v>4</v>
      </c>
      <c r="P84">
        <v>2</v>
      </c>
      <c r="Q84">
        <v>82</v>
      </c>
      <c r="R84">
        <v>11</v>
      </c>
      <c r="S84">
        <v>124.319434200006</v>
      </c>
      <c r="X84">
        <v>124.309449899999</v>
      </c>
      <c r="Y84">
        <v>124.319434200006</v>
      </c>
      <c r="Z84">
        <v>124.81993650004701</v>
      </c>
      <c r="AA84">
        <v>124.81993650004701</v>
      </c>
      <c r="AB84">
        <v>124.81993650004701</v>
      </c>
      <c r="AC84">
        <v>125.57273810001701</v>
      </c>
      <c r="AD84" t="s">
        <v>50</v>
      </c>
      <c r="AE84">
        <v>1</v>
      </c>
      <c r="AF84">
        <v>0.745323200011625</v>
      </c>
      <c r="AG84" t="s">
        <v>51</v>
      </c>
      <c r="AK84" t="s">
        <v>89</v>
      </c>
      <c r="AL84">
        <v>1</v>
      </c>
      <c r="AM84" t="s">
        <v>42</v>
      </c>
      <c r="AN84" t="s">
        <v>43</v>
      </c>
      <c r="AP84" t="s">
        <v>44</v>
      </c>
      <c r="AQ84">
        <v>59.778723070926397</v>
      </c>
      <c r="AR84" t="s">
        <v>45</v>
      </c>
    </row>
    <row r="85" spans="1:44" x14ac:dyDescent="0.3">
      <c r="A85" t="s">
        <v>72</v>
      </c>
      <c r="B85" t="s">
        <v>62</v>
      </c>
      <c r="C85" s="2" t="str">
        <f t="shared" si="1"/>
        <v>Emotional-C</v>
      </c>
      <c r="D85">
        <v>0.72727630002191201</v>
      </c>
      <c r="E85" t="s">
        <v>59</v>
      </c>
      <c r="F85" t="s">
        <v>61</v>
      </c>
      <c r="G85" t="s">
        <v>63</v>
      </c>
      <c r="H85">
        <v>83</v>
      </c>
      <c r="I85">
        <v>3</v>
      </c>
      <c r="J85">
        <v>4</v>
      </c>
      <c r="K85" t="s">
        <v>63</v>
      </c>
      <c r="L85">
        <v>1</v>
      </c>
      <c r="M85">
        <v>1.16402389999711</v>
      </c>
      <c r="N85" t="s">
        <v>51</v>
      </c>
      <c r="O85">
        <v>4</v>
      </c>
      <c r="P85">
        <v>3</v>
      </c>
      <c r="Q85">
        <v>83</v>
      </c>
      <c r="R85">
        <v>8</v>
      </c>
      <c r="S85">
        <v>125.5863962</v>
      </c>
      <c r="X85">
        <v>125.575520200014</v>
      </c>
      <c r="Y85">
        <v>125.5863962</v>
      </c>
      <c r="Z85">
        <v>126.086324800038</v>
      </c>
      <c r="AA85">
        <v>126.086324800038</v>
      </c>
      <c r="AB85">
        <v>126.086324800038</v>
      </c>
      <c r="AC85">
        <v>127.256486800033</v>
      </c>
      <c r="AD85" t="s">
        <v>63</v>
      </c>
      <c r="AE85">
        <v>1</v>
      </c>
      <c r="AF85">
        <v>1.16402389999711</v>
      </c>
      <c r="AG85" t="s">
        <v>51</v>
      </c>
      <c r="AK85" t="s">
        <v>89</v>
      </c>
      <c r="AL85">
        <v>1</v>
      </c>
      <c r="AM85" t="s">
        <v>42</v>
      </c>
      <c r="AN85" t="s">
        <v>43</v>
      </c>
      <c r="AP85" t="s">
        <v>44</v>
      </c>
      <c r="AQ85">
        <v>59.778723070926397</v>
      </c>
      <c r="AR85" t="s">
        <v>45</v>
      </c>
    </row>
    <row r="86" spans="1:44" x14ac:dyDescent="0.3">
      <c r="A86" t="s">
        <v>70</v>
      </c>
      <c r="B86" t="s">
        <v>49</v>
      </c>
      <c r="C86" s="2" t="str">
        <f t="shared" si="1"/>
        <v>Emotional-I</v>
      </c>
      <c r="D86">
        <v>0.69933099998161197</v>
      </c>
      <c r="E86" t="s">
        <v>59</v>
      </c>
      <c r="F86" t="s">
        <v>53</v>
      </c>
      <c r="G86" t="s">
        <v>54</v>
      </c>
      <c r="H86">
        <v>84</v>
      </c>
      <c r="I86">
        <v>4</v>
      </c>
      <c r="J86">
        <v>4</v>
      </c>
      <c r="K86" t="s">
        <v>54</v>
      </c>
      <c r="L86">
        <v>1</v>
      </c>
      <c r="M86">
        <v>0.842352100007701</v>
      </c>
      <c r="N86" t="s">
        <v>51</v>
      </c>
      <c r="O86">
        <v>4</v>
      </c>
      <c r="P86">
        <v>4</v>
      </c>
      <c r="Q86">
        <v>84</v>
      </c>
      <c r="R86">
        <v>2</v>
      </c>
      <c r="S86">
        <v>127.269687600026</v>
      </c>
      <c r="X86">
        <v>127.259851400041</v>
      </c>
      <c r="Y86">
        <v>127.269687600026</v>
      </c>
      <c r="Z86">
        <v>127.77017770003199</v>
      </c>
      <c r="AA86">
        <v>127.77017770003199</v>
      </c>
      <c r="AB86">
        <v>127.77017770003199</v>
      </c>
      <c r="AC86">
        <v>128.62292970000999</v>
      </c>
      <c r="AD86" t="s">
        <v>54</v>
      </c>
      <c r="AE86">
        <v>1</v>
      </c>
      <c r="AF86">
        <v>0.842352100007701</v>
      </c>
      <c r="AG86" t="s">
        <v>51</v>
      </c>
      <c r="AK86" t="s">
        <v>89</v>
      </c>
      <c r="AL86">
        <v>1</v>
      </c>
      <c r="AM86" t="s">
        <v>42</v>
      </c>
      <c r="AN86" t="s">
        <v>43</v>
      </c>
      <c r="AP86" t="s">
        <v>44</v>
      </c>
      <c r="AQ86">
        <v>59.778723070926397</v>
      </c>
      <c r="AR86" t="s">
        <v>45</v>
      </c>
    </row>
    <row r="87" spans="1:44" x14ac:dyDescent="0.3">
      <c r="A87" t="s">
        <v>46</v>
      </c>
      <c r="B87" t="s">
        <v>49</v>
      </c>
      <c r="C87" s="2" t="str">
        <f t="shared" si="1"/>
        <v>Neutral</v>
      </c>
      <c r="D87">
        <v>0.39551030000438903</v>
      </c>
      <c r="E87" t="s">
        <v>47</v>
      </c>
      <c r="F87" t="s">
        <v>48</v>
      </c>
      <c r="G87" t="s">
        <v>50</v>
      </c>
      <c r="H87">
        <v>85</v>
      </c>
      <c r="I87">
        <v>5</v>
      </c>
      <c r="J87">
        <v>4</v>
      </c>
      <c r="K87" t="s">
        <v>50</v>
      </c>
      <c r="L87">
        <v>1</v>
      </c>
      <c r="M87">
        <v>0.72727630002191201</v>
      </c>
      <c r="N87" t="s">
        <v>51</v>
      </c>
      <c r="O87">
        <v>4</v>
      </c>
      <c r="P87">
        <v>5</v>
      </c>
      <c r="Q87">
        <v>85</v>
      </c>
      <c r="R87">
        <v>19</v>
      </c>
      <c r="S87">
        <v>128.63575469999299</v>
      </c>
      <c r="X87">
        <v>128.626751800009</v>
      </c>
      <c r="Y87">
        <v>128.63575469999299</v>
      </c>
      <c r="Z87">
        <v>129.13642680004699</v>
      </c>
      <c r="AA87">
        <v>129.13642680004699</v>
      </c>
      <c r="AB87">
        <v>129.13642680004699</v>
      </c>
      <c r="AC87">
        <v>129.87276460003301</v>
      </c>
      <c r="AD87" t="s">
        <v>50</v>
      </c>
      <c r="AE87">
        <v>1</v>
      </c>
      <c r="AF87">
        <v>0.72727630002191201</v>
      </c>
      <c r="AG87" t="s">
        <v>51</v>
      </c>
      <c r="AK87" t="s">
        <v>89</v>
      </c>
      <c r="AL87">
        <v>1</v>
      </c>
      <c r="AM87" t="s">
        <v>42</v>
      </c>
      <c r="AN87" t="s">
        <v>43</v>
      </c>
      <c r="AP87" t="s">
        <v>44</v>
      </c>
      <c r="AQ87">
        <v>59.778723070926397</v>
      </c>
      <c r="AR87" t="s">
        <v>45</v>
      </c>
    </row>
    <row r="88" spans="1:44" x14ac:dyDescent="0.3">
      <c r="A88" t="s">
        <v>69</v>
      </c>
      <c r="B88" t="s">
        <v>49</v>
      </c>
      <c r="C88" s="2" t="str">
        <f t="shared" si="1"/>
        <v>Emotional-I</v>
      </c>
      <c r="D88">
        <v>0.51300560001982298</v>
      </c>
      <c r="E88" t="s">
        <v>59</v>
      </c>
      <c r="F88" t="s">
        <v>56</v>
      </c>
      <c r="G88" t="s">
        <v>57</v>
      </c>
      <c r="H88">
        <v>86</v>
      </c>
      <c r="I88">
        <v>6</v>
      </c>
      <c r="J88">
        <v>4</v>
      </c>
      <c r="K88" t="s">
        <v>57</v>
      </c>
      <c r="L88">
        <v>1</v>
      </c>
      <c r="M88">
        <v>0.69933099998161197</v>
      </c>
      <c r="N88" t="s">
        <v>51</v>
      </c>
      <c r="O88">
        <v>4</v>
      </c>
      <c r="P88">
        <v>6</v>
      </c>
      <c r="Q88">
        <v>86</v>
      </c>
      <c r="R88">
        <v>5</v>
      </c>
      <c r="S88">
        <v>129.886023300001</v>
      </c>
      <c r="X88">
        <v>129.87546990002701</v>
      </c>
      <c r="Y88">
        <v>129.886023300001</v>
      </c>
      <c r="Z88">
        <v>130.38619910000099</v>
      </c>
      <c r="AA88">
        <v>130.38619910000099</v>
      </c>
      <c r="AB88">
        <v>130.38619910000099</v>
      </c>
      <c r="AC88">
        <v>131.089763100026</v>
      </c>
      <c r="AD88" t="s">
        <v>57</v>
      </c>
      <c r="AE88">
        <v>1</v>
      </c>
      <c r="AF88">
        <v>0.69933099998161197</v>
      </c>
      <c r="AG88" t="s">
        <v>51</v>
      </c>
      <c r="AK88" t="s">
        <v>89</v>
      </c>
      <c r="AL88">
        <v>1</v>
      </c>
      <c r="AM88" t="s">
        <v>42</v>
      </c>
      <c r="AN88" t="s">
        <v>43</v>
      </c>
      <c r="AP88" t="s">
        <v>44</v>
      </c>
      <c r="AQ88">
        <v>59.778723070926397</v>
      </c>
      <c r="AR88" t="s">
        <v>45</v>
      </c>
    </row>
    <row r="89" spans="1:44" x14ac:dyDescent="0.3">
      <c r="A89" t="s">
        <v>73</v>
      </c>
      <c r="B89" t="s">
        <v>49</v>
      </c>
      <c r="C89" s="2" t="str">
        <f t="shared" si="1"/>
        <v>Emotional-I</v>
      </c>
      <c r="D89">
        <v>0.83632080000825204</v>
      </c>
      <c r="E89" t="s">
        <v>59</v>
      </c>
      <c r="F89" t="s">
        <v>56</v>
      </c>
      <c r="G89" t="s">
        <v>57</v>
      </c>
      <c r="H89">
        <v>87</v>
      </c>
      <c r="I89">
        <v>7</v>
      </c>
      <c r="J89">
        <v>4</v>
      </c>
      <c r="K89" t="s">
        <v>57</v>
      </c>
      <c r="L89">
        <v>1</v>
      </c>
      <c r="M89">
        <v>0.39551030000438903</v>
      </c>
      <c r="N89" t="s">
        <v>51</v>
      </c>
      <c r="O89">
        <v>4</v>
      </c>
      <c r="P89">
        <v>7</v>
      </c>
      <c r="Q89">
        <v>87</v>
      </c>
      <c r="R89">
        <v>1</v>
      </c>
      <c r="S89">
        <v>131.10292490001299</v>
      </c>
      <c r="X89">
        <v>131.09241159999499</v>
      </c>
      <c r="Y89">
        <v>131.10292490001299</v>
      </c>
      <c r="Z89">
        <v>131.60260440001699</v>
      </c>
      <c r="AA89">
        <v>131.60260440001699</v>
      </c>
      <c r="AB89">
        <v>131.60260440001699</v>
      </c>
      <c r="AC89">
        <v>132.00765730003999</v>
      </c>
      <c r="AD89" t="s">
        <v>57</v>
      </c>
      <c r="AE89">
        <v>1</v>
      </c>
      <c r="AF89">
        <v>0.39551030000438903</v>
      </c>
      <c r="AG89" t="s">
        <v>51</v>
      </c>
      <c r="AK89" t="s">
        <v>89</v>
      </c>
      <c r="AL89">
        <v>1</v>
      </c>
      <c r="AM89" t="s">
        <v>42</v>
      </c>
      <c r="AN89" t="s">
        <v>43</v>
      </c>
      <c r="AP89" t="s">
        <v>44</v>
      </c>
      <c r="AQ89">
        <v>59.778723070926397</v>
      </c>
      <c r="AR89" t="s">
        <v>45</v>
      </c>
    </row>
    <row r="90" spans="1:44" x14ac:dyDescent="0.3">
      <c r="A90" t="s">
        <v>60</v>
      </c>
      <c r="B90" t="s">
        <v>62</v>
      </c>
      <c r="C90" s="2" t="str">
        <f t="shared" si="1"/>
        <v>Emotional-C</v>
      </c>
      <c r="D90">
        <v>0.51603649999015</v>
      </c>
      <c r="E90" t="s">
        <v>59</v>
      </c>
      <c r="F90" t="s">
        <v>61</v>
      </c>
      <c r="G90" t="s">
        <v>63</v>
      </c>
      <c r="H90">
        <v>88</v>
      </c>
      <c r="I90">
        <v>8</v>
      </c>
      <c r="J90">
        <v>4</v>
      </c>
      <c r="K90" t="s">
        <v>63</v>
      </c>
      <c r="L90">
        <v>1</v>
      </c>
      <c r="M90">
        <v>0.51300560001982298</v>
      </c>
      <c r="N90" t="s">
        <v>51</v>
      </c>
      <c r="O90">
        <v>4</v>
      </c>
      <c r="P90">
        <v>8</v>
      </c>
      <c r="Q90">
        <v>88</v>
      </c>
      <c r="R90">
        <v>0</v>
      </c>
      <c r="S90">
        <v>132.02021790004801</v>
      </c>
      <c r="X90">
        <v>132.011160199996</v>
      </c>
      <c r="Y90">
        <v>132.02021790004801</v>
      </c>
      <c r="Z90">
        <v>132.51889629999599</v>
      </c>
      <c r="AA90">
        <v>132.51889629999599</v>
      </c>
      <c r="AB90">
        <v>132.51889629999599</v>
      </c>
      <c r="AC90">
        <v>133.03951090003801</v>
      </c>
      <c r="AD90" t="s">
        <v>63</v>
      </c>
      <c r="AE90">
        <v>1</v>
      </c>
      <c r="AF90">
        <v>0.51300560001982298</v>
      </c>
      <c r="AG90" t="s">
        <v>51</v>
      </c>
      <c r="AK90" t="s">
        <v>89</v>
      </c>
      <c r="AL90">
        <v>1</v>
      </c>
      <c r="AM90" t="s">
        <v>42</v>
      </c>
      <c r="AN90" t="s">
        <v>43</v>
      </c>
      <c r="AP90" t="s">
        <v>44</v>
      </c>
      <c r="AQ90">
        <v>59.778723070926397</v>
      </c>
      <c r="AR90" t="s">
        <v>45</v>
      </c>
    </row>
    <row r="91" spans="1:44" x14ac:dyDescent="0.3">
      <c r="A91" t="s">
        <v>68</v>
      </c>
      <c r="B91" t="s">
        <v>49</v>
      </c>
      <c r="C91" s="2" t="str">
        <f t="shared" si="1"/>
        <v>Emotional-I</v>
      </c>
      <c r="D91">
        <v>0.58796049997908995</v>
      </c>
      <c r="E91" t="s">
        <v>59</v>
      </c>
      <c r="F91" t="s">
        <v>53</v>
      </c>
      <c r="G91" t="s">
        <v>54</v>
      </c>
      <c r="H91">
        <v>89</v>
      </c>
      <c r="I91">
        <v>9</v>
      </c>
      <c r="J91">
        <v>4</v>
      </c>
      <c r="K91" t="s">
        <v>54</v>
      </c>
      <c r="L91">
        <v>1</v>
      </c>
      <c r="M91">
        <v>0.83632080000825204</v>
      </c>
      <c r="N91" t="s">
        <v>51</v>
      </c>
      <c r="O91">
        <v>4</v>
      </c>
      <c r="P91">
        <v>9</v>
      </c>
      <c r="Q91">
        <v>89</v>
      </c>
      <c r="R91">
        <v>6</v>
      </c>
      <c r="S91">
        <v>133.05241230002099</v>
      </c>
      <c r="X91">
        <v>133.04308740003</v>
      </c>
      <c r="Y91">
        <v>133.05241230002099</v>
      </c>
      <c r="Z91">
        <v>133.55232990003401</v>
      </c>
      <c r="AA91">
        <v>133.55232990003401</v>
      </c>
      <c r="AB91">
        <v>133.55232990003401</v>
      </c>
      <c r="AC91">
        <v>134.389892300008</v>
      </c>
      <c r="AD91" t="s">
        <v>54</v>
      </c>
      <c r="AE91">
        <v>1</v>
      </c>
      <c r="AF91">
        <v>0.83632080000825204</v>
      </c>
      <c r="AG91" t="s">
        <v>51</v>
      </c>
      <c r="AK91" t="s">
        <v>89</v>
      </c>
      <c r="AL91">
        <v>1</v>
      </c>
      <c r="AM91" t="s">
        <v>42</v>
      </c>
      <c r="AN91" t="s">
        <v>43</v>
      </c>
      <c r="AP91" t="s">
        <v>44</v>
      </c>
      <c r="AQ91">
        <v>59.778723070926397</v>
      </c>
      <c r="AR91" t="s">
        <v>45</v>
      </c>
    </row>
    <row r="92" spans="1:44" x14ac:dyDescent="0.3">
      <c r="A92" t="s">
        <v>67</v>
      </c>
      <c r="B92" t="s">
        <v>49</v>
      </c>
      <c r="C92" s="2" t="str">
        <f t="shared" si="1"/>
        <v>Neutral</v>
      </c>
      <c r="D92">
        <v>0.73054070002399296</v>
      </c>
      <c r="E92" t="s">
        <v>47</v>
      </c>
      <c r="F92" t="s">
        <v>53</v>
      </c>
      <c r="G92" t="s">
        <v>54</v>
      </c>
      <c r="H92">
        <v>90</v>
      </c>
      <c r="I92">
        <v>10</v>
      </c>
      <c r="J92">
        <v>4</v>
      </c>
      <c r="K92" t="s">
        <v>54</v>
      </c>
      <c r="L92">
        <v>1</v>
      </c>
      <c r="M92">
        <v>0.51603649999015</v>
      </c>
      <c r="N92" t="s">
        <v>51</v>
      </c>
      <c r="O92">
        <v>4</v>
      </c>
      <c r="P92">
        <v>10</v>
      </c>
      <c r="Q92">
        <v>90</v>
      </c>
      <c r="R92">
        <v>10</v>
      </c>
      <c r="S92">
        <v>134.402251799998</v>
      </c>
      <c r="X92">
        <v>134.392558499996</v>
      </c>
      <c r="Y92">
        <v>134.402251799998</v>
      </c>
      <c r="Z92">
        <v>134.90226110001001</v>
      </c>
      <c r="AA92">
        <v>134.90226110001001</v>
      </c>
      <c r="AB92">
        <v>134.90226110001001</v>
      </c>
      <c r="AC92">
        <v>135.42413580004299</v>
      </c>
      <c r="AD92" t="s">
        <v>54</v>
      </c>
      <c r="AE92">
        <v>1</v>
      </c>
      <c r="AF92">
        <v>0.51603649999015</v>
      </c>
      <c r="AG92" t="s">
        <v>51</v>
      </c>
      <c r="AK92" t="s">
        <v>89</v>
      </c>
      <c r="AL92">
        <v>1</v>
      </c>
      <c r="AM92" t="s">
        <v>42</v>
      </c>
      <c r="AN92" t="s">
        <v>43</v>
      </c>
      <c r="AP92" t="s">
        <v>44</v>
      </c>
      <c r="AQ92">
        <v>59.778723070926397</v>
      </c>
      <c r="AR92" t="s">
        <v>45</v>
      </c>
    </row>
    <row r="93" spans="1:44" x14ac:dyDescent="0.3">
      <c r="A93" t="s">
        <v>52</v>
      </c>
      <c r="B93" t="s">
        <v>49</v>
      </c>
      <c r="C93" s="2" t="str">
        <f t="shared" si="1"/>
        <v>Neutral</v>
      </c>
      <c r="D93">
        <v>1.28341649996582</v>
      </c>
      <c r="E93" t="s">
        <v>47</v>
      </c>
      <c r="F93" t="s">
        <v>53</v>
      </c>
      <c r="G93" t="s">
        <v>54</v>
      </c>
      <c r="H93">
        <v>91</v>
      </c>
      <c r="I93">
        <v>11</v>
      </c>
      <c r="J93">
        <v>4</v>
      </c>
      <c r="K93" t="s">
        <v>54</v>
      </c>
      <c r="L93">
        <v>1</v>
      </c>
      <c r="M93">
        <v>0.58796049997908995</v>
      </c>
      <c r="N93" t="s">
        <v>51</v>
      </c>
      <c r="O93">
        <v>4</v>
      </c>
      <c r="P93">
        <v>11</v>
      </c>
      <c r="Q93">
        <v>91</v>
      </c>
      <c r="R93">
        <v>14</v>
      </c>
      <c r="S93">
        <v>135.435493200027</v>
      </c>
      <c r="X93">
        <v>135.428505200019</v>
      </c>
      <c r="Y93">
        <v>135.435493200027</v>
      </c>
      <c r="Z93">
        <v>135.93532380001801</v>
      </c>
      <c r="AA93">
        <v>135.93532380001801</v>
      </c>
      <c r="AB93">
        <v>135.93532380001801</v>
      </c>
      <c r="AC93">
        <v>136.53893390000999</v>
      </c>
      <c r="AD93" t="s">
        <v>54</v>
      </c>
      <c r="AE93">
        <v>1</v>
      </c>
      <c r="AF93">
        <v>0.58796049997908995</v>
      </c>
      <c r="AG93" t="s">
        <v>51</v>
      </c>
      <c r="AK93" t="s">
        <v>89</v>
      </c>
      <c r="AL93">
        <v>1</v>
      </c>
      <c r="AM93" t="s">
        <v>42</v>
      </c>
      <c r="AN93" t="s">
        <v>43</v>
      </c>
      <c r="AP93" t="s">
        <v>44</v>
      </c>
      <c r="AQ93">
        <v>59.778723070926397</v>
      </c>
      <c r="AR93" t="s">
        <v>45</v>
      </c>
    </row>
    <row r="94" spans="1:44" x14ac:dyDescent="0.3">
      <c r="A94" t="s">
        <v>65</v>
      </c>
      <c r="B94" t="s">
        <v>49</v>
      </c>
      <c r="C94" s="2" t="str">
        <f t="shared" si="1"/>
        <v>Emotional-I</v>
      </c>
      <c r="D94">
        <v>0.46275730000343102</v>
      </c>
      <c r="E94" t="s">
        <v>59</v>
      </c>
      <c r="F94" t="s">
        <v>56</v>
      </c>
      <c r="G94" t="s">
        <v>57</v>
      </c>
      <c r="H94">
        <v>92</v>
      </c>
      <c r="I94">
        <v>12</v>
      </c>
      <c r="J94">
        <v>4</v>
      </c>
      <c r="K94" t="s">
        <v>57</v>
      </c>
      <c r="L94">
        <v>1</v>
      </c>
      <c r="M94">
        <v>0.73054070002399296</v>
      </c>
      <c r="N94" t="s">
        <v>51</v>
      </c>
      <c r="O94">
        <v>4</v>
      </c>
      <c r="P94">
        <v>12</v>
      </c>
      <c r="Q94">
        <v>92</v>
      </c>
      <c r="R94">
        <v>9</v>
      </c>
      <c r="S94">
        <v>136.552103499998</v>
      </c>
      <c r="X94">
        <v>136.54193480004301</v>
      </c>
      <c r="Y94">
        <v>136.552103499998</v>
      </c>
      <c r="Z94">
        <v>137.052518500015</v>
      </c>
      <c r="AA94">
        <v>137.052518500015</v>
      </c>
      <c r="AB94">
        <v>137.052518500015</v>
      </c>
      <c r="AC94">
        <v>137.788951700029</v>
      </c>
      <c r="AD94" t="s">
        <v>57</v>
      </c>
      <c r="AE94">
        <v>1</v>
      </c>
      <c r="AF94">
        <v>0.73054070002399296</v>
      </c>
      <c r="AG94" t="s">
        <v>51</v>
      </c>
      <c r="AK94" t="s">
        <v>89</v>
      </c>
      <c r="AL94">
        <v>1</v>
      </c>
      <c r="AM94" t="s">
        <v>42</v>
      </c>
      <c r="AN94" t="s">
        <v>43</v>
      </c>
      <c r="AP94" t="s">
        <v>44</v>
      </c>
      <c r="AQ94">
        <v>59.778723070926397</v>
      </c>
      <c r="AR94" t="s">
        <v>45</v>
      </c>
    </row>
    <row r="95" spans="1:44" x14ac:dyDescent="0.3">
      <c r="A95" t="s">
        <v>58</v>
      </c>
      <c r="B95" t="s">
        <v>49</v>
      </c>
      <c r="C95" s="2" t="str">
        <f t="shared" si="1"/>
        <v>Emotional-I</v>
      </c>
      <c r="D95">
        <v>0.54670559999067303</v>
      </c>
      <c r="E95" t="s">
        <v>59</v>
      </c>
      <c r="F95" t="s">
        <v>48</v>
      </c>
      <c r="G95" t="s">
        <v>50</v>
      </c>
      <c r="H95">
        <v>93</v>
      </c>
      <c r="I95">
        <v>13</v>
      </c>
      <c r="J95">
        <v>4</v>
      </c>
      <c r="K95" t="s">
        <v>50</v>
      </c>
      <c r="L95">
        <v>1</v>
      </c>
      <c r="M95">
        <v>1.28341649996582</v>
      </c>
      <c r="N95" t="s">
        <v>51</v>
      </c>
      <c r="O95">
        <v>4</v>
      </c>
      <c r="P95">
        <v>13</v>
      </c>
      <c r="Q95">
        <v>93</v>
      </c>
      <c r="R95">
        <v>7</v>
      </c>
      <c r="S95">
        <v>137.80088080000101</v>
      </c>
      <c r="X95">
        <v>137.792140400037</v>
      </c>
      <c r="Y95">
        <v>137.80088080000101</v>
      </c>
      <c r="Z95">
        <v>138.30244600004499</v>
      </c>
      <c r="AA95">
        <v>138.30244600004499</v>
      </c>
      <c r="AB95">
        <v>138.30244600004499</v>
      </c>
      <c r="AC95">
        <v>139.589429600047</v>
      </c>
      <c r="AD95" t="s">
        <v>50</v>
      </c>
      <c r="AE95">
        <v>1</v>
      </c>
      <c r="AF95">
        <v>1.28341649996582</v>
      </c>
      <c r="AG95" t="s">
        <v>51</v>
      </c>
      <c r="AK95" t="s">
        <v>89</v>
      </c>
      <c r="AL95">
        <v>1</v>
      </c>
      <c r="AM95" t="s">
        <v>42</v>
      </c>
      <c r="AN95" t="s">
        <v>43</v>
      </c>
      <c r="AP95" t="s">
        <v>44</v>
      </c>
      <c r="AQ95">
        <v>59.778723070926397</v>
      </c>
      <c r="AR95" t="s">
        <v>45</v>
      </c>
    </row>
    <row r="96" spans="1:44" x14ac:dyDescent="0.3">
      <c r="A96" t="s">
        <v>71</v>
      </c>
      <c r="B96" t="s">
        <v>49</v>
      </c>
      <c r="C96" s="2" t="str">
        <f t="shared" si="1"/>
        <v>Neutral</v>
      </c>
      <c r="D96">
        <v>0.66056140000000596</v>
      </c>
      <c r="E96" t="s">
        <v>47</v>
      </c>
      <c r="F96" t="s">
        <v>48</v>
      </c>
      <c r="G96" t="s">
        <v>50</v>
      </c>
      <c r="H96">
        <v>94</v>
      </c>
      <c r="I96">
        <v>14</v>
      </c>
      <c r="J96">
        <v>4</v>
      </c>
      <c r="K96" t="s">
        <v>50</v>
      </c>
      <c r="L96">
        <v>1</v>
      </c>
      <c r="M96">
        <v>0.46275730000343102</v>
      </c>
      <c r="N96" t="s">
        <v>51</v>
      </c>
      <c r="O96">
        <v>4</v>
      </c>
      <c r="P96">
        <v>14</v>
      </c>
      <c r="Q96">
        <v>94</v>
      </c>
      <c r="R96">
        <v>15</v>
      </c>
      <c r="S96">
        <v>139.60276800003999</v>
      </c>
      <c r="X96">
        <v>139.59217750001699</v>
      </c>
      <c r="Y96">
        <v>139.60276800003999</v>
      </c>
      <c r="Z96">
        <v>140.102235800004</v>
      </c>
      <c r="AA96">
        <v>140.102235800004</v>
      </c>
      <c r="AB96">
        <v>140.102235800004</v>
      </c>
      <c r="AC96">
        <v>140.572663000028</v>
      </c>
      <c r="AD96" t="s">
        <v>50</v>
      </c>
      <c r="AE96">
        <v>1</v>
      </c>
      <c r="AF96">
        <v>0.46275730000343102</v>
      </c>
      <c r="AG96" t="s">
        <v>51</v>
      </c>
      <c r="AK96" t="s">
        <v>89</v>
      </c>
      <c r="AL96">
        <v>1</v>
      </c>
      <c r="AM96" t="s">
        <v>42</v>
      </c>
      <c r="AN96" t="s">
        <v>43</v>
      </c>
      <c r="AP96" t="s">
        <v>44</v>
      </c>
      <c r="AQ96">
        <v>59.778723070926397</v>
      </c>
      <c r="AR96" t="s">
        <v>45</v>
      </c>
    </row>
    <row r="97" spans="1:44" hidden="1" x14ac:dyDescent="0.3">
      <c r="A97" t="s">
        <v>78</v>
      </c>
      <c r="B97" t="s">
        <v>49</v>
      </c>
      <c r="C97" s="2" t="str">
        <f t="shared" si="1"/>
        <v>Neutral</v>
      </c>
      <c r="D97">
        <v>0.54249089997028899</v>
      </c>
      <c r="E97" t="s">
        <v>47</v>
      </c>
      <c r="F97" t="s">
        <v>56</v>
      </c>
      <c r="G97" t="s">
        <v>57</v>
      </c>
      <c r="H97">
        <v>95</v>
      </c>
      <c r="I97">
        <v>15</v>
      </c>
      <c r="J97">
        <v>4</v>
      </c>
      <c r="K97" t="s">
        <v>54</v>
      </c>
      <c r="L97">
        <v>0</v>
      </c>
      <c r="M97">
        <v>0.75049080001190305</v>
      </c>
      <c r="N97" t="s">
        <v>51</v>
      </c>
      <c r="O97">
        <v>4</v>
      </c>
      <c r="P97">
        <v>15</v>
      </c>
      <c r="Q97">
        <v>95</v>
      </c>
      <c r="R97">
        <v>17</v>
      </c>
      <c r="S97">
        <v>140.58554820000401</v>
      </c>
      <c r="X97">
        <v>140.575110100035</v>
      </c>
      <c r="Y97">
        <v>140.58554820000401</v>
      </c>
      <c r="Z97">
        <v>141.08573420002301</v>
      </c>
      <c r="AA97">
        <v>141.08573420002301</v>
      </c>
      <c r="AB97">
        <v>141.08573420002301</v>
      </c>
      <c r="AC97">
        <v>141.83853420003999</v>
      </c>
      <c r="AD97" t="s">
        <v>54</v>
      </c>
      <c r="AE97">
        <v>0</v>
      </c>
      <c r="AF97">
        <v>0.75049080001190305</v>
      </c>
      <c r="AG97" t="s">
        <v>51</v>
      </c>
      <c r="AK97" t="s">
        <v>89</v>
      </c>
      <c r="AL97">
        <v>1</v>
      </c>
      <c r="AM97" t="s">
        <v>42</v>
      </c>
      <c r="AN97" t="s">
        <v>43</v>
      </c>
      <c r="AP97" t="s">
        <v>44</v>
      </c>
      <c r="AQ97">
        <v>59.778723070926397</v>
      </c>
      <c r="AR97" t="s">
        <v>45</v>
      </c>
    </row>
    <row r="98" spans="1:44" hidden="1" x14ac:dyDescent="0.3">
      <c r="A98" t="s">
        <v>76</v>
      </c>
      <c r="B98" t="s">
        <v>49</v>
      </c>
      <c r="C98" s="2" t="str">
        <f t="shared" si="1"/>
        <v>Emotional-I</v>
      </c>
      <c r="D98">
        <v>0.69689520000247196</v>
      </c>
      <c r="E98" t="s">
        <v>59</v>
      </c>
      <c r="F98" t="s">
        <v>48</v>
      </c>
      <c r="G98" t="s">
        <v>50</v>
      </c>
      <c r="H98">
        <v>96</v>
      </c>
      <c r="I98">
        <v>16</v>
      </c>
      <c r="J98">
        <v>4</v>
      </c>
      <c r="K98" t="s">
        <v>63</v>
      </c>
      <c r="L98">
        <v>0</v>
      </c>
      <c r="M98">
        <v>1.45544639998115</v>
      </c>
      <c r="N98" t="s">
        <v>51</v>
      </c>
      <c r="O98">
        <v>4</v>
      </c>
      <c r="P98">
        <v>16</v>
      </c>
      <c r="Q98">
        <v>96</v>
      </c>
      <c r="R98">
        <v>3</v>
      </c>
      <c r="S98">
        <v>141.85223250003699</v>
      </c>
      <c r="X98">
        <v>141.84151739999601</v>
      </c>
      <c r="Y98">
        <v>141.85223250003699</v>
      </c>
      <c r="Z98">
        <v>142.352541900007</v>
      </c>
      <c r="AA98">
        <v>142.352541900007</v>
      </c>
      <c r="AB98">
        <v>142.352541900007</v>
      </c>
      <c r="AC98">
        <v>143.82282930001301</v>
      </c>
      <c r="AD98" t="s">
        <v>63</v>
      </c>
      <c r="AE98">
        <v>0</v>
      </c>
      <c r="AF98">
        <v>1.45544639998115</v>
      </c>
      <c r="AG98" t="s">
        <v>51</v>
      </c>
      <c r="AK98" t="s">
        <v>89</v>
      </c>
      <c r="AL98">
        <v>1</v>
      </c>
      <c r="AM98" t="s">
        <v>42</v>
      </c>
      <c r="AN98" t="s">
        <v>43</v>
      </c>
      <c r="AP98" t="s">
        <v>44</v>
      </c>
      <c r="AQ98">
        <v>59.778723070926397</v>
      </c>
      <c r="AR98" t="s">
        <v>45</v>
      </c>
    </row>
    <row r="99" spans="1:44" x14ac:dyDescent="0.3">
      <c r="A99" t="s">
        <v>75</v>
      </c>
      <c r="B99" t="s">
        <v>49</v>
      </c>
      <c r="C99" s="2" t="str">
        <f t="shared" si="1"/>
        <v>Neutral</v>
      </c>
      <c r="D99">
        <v>0.74782579997554399</v>
      </c>
      <c r="E99" t="s">
        <v>47</v>
      </c>
      <c r="F99" t="s">
        <v>61</v>
      </c>
      <c r="G99" t="s">
        <v>63</v>
      </c>
      <c r="H99">
        <v>97</v>
      </c>
      <c r="I99">
        <v>17</v>
      </c>
      <c r="J99">
        <v>4</v>
      </c>
      <c r="K99" t="s">
        <v>63</v>
      </c>
      <c r="L99">
        <v>1</v>
      </c>
      <c r="M99">
        <v>0.54670559999067303</v>
      </c>
      <c r="N99" t="s">
        <v>51</v>
      </c>
      <c r="O99">
        <v>4</v>
      </c>
      <c r="P99">
        <v>17</v>
      </c>
      <c r="Q99">
        <v>97</v>
      </c>
      <c r="R99">
        <v>16</v>
      </c>
      <c r="S99">
        <v>143.83553919999301</v>
      </c>
      <c r="X99">
        <v>143.826321700005</v>
      </c>
      <c r="Y99">
        <v>143.83553919999301</v>
      </c>
      <c r="Z99">
        <v>144.33563260000599</v>
      </c>
      <c r="AA99">
        <v>144.33563260000599</v>
      </c>
      <c r="AB99">
        <v>144.33563260000599</v>
      </c>
      <c r="AC99">
        <v>144.88862360000999</v>
      </c>
      <c r="AD99" t="s">
        <v>63</v>
      </c>
      <c r="AE99">
        <v>1</v>
      </c>
      <c r="AF99">
        <v>0.54670559999067303</v>
      </c>
      <c r="AG99" t="s">
        <v>51</v>
      </c>
      <c r="AK99" t="s">
        <v>89</v>
      </c>
      <c r="AL99">
        <v>1</v>
      </c>
      <c r="AM99" t="s">
        <v>42</v>
      </c>
      <c r="AN99" t="s">
        <v>43</v>
      </c>
      <c r="AP99" t="s">
        <v>44</v>
      </c>
      <c r="AQ99">
        <v>59.778723070926397</v>
      </c>
      <c r="AR99" t="s">
        <v>45</v>
      </c>
    </row>
    <row r="100" spans="1:44" x14ac:dyDescent="0.3">
      <c r="A100" t="s">
        <v>77</v>
      </c>
      <c r="B100" t="s">
        <v>62</v>
      </c>
      <c r="C100" s="2" t="str">
        <f t="shared" si="1"/>
        <v>Emotional-C</v>
      </c>
      <c r="D100">
        <v>1.07828470005188</v>
      </c>
      <c r="E100" t="s">
        <v>59</v>
      </c>
      <c r="F100" t="s">
        <v>61</v>
      </c>
      <c r="G100" t="s">
        <v>63</v>
      </c>
      <c r="H100">
        <v>98</v>
      </c>
      <c r="I100">
        <v>18</v>
      </c>
      <c r="J100">
        <v>4</v>
      </c>
      <c r="K100" t="s">
        <v>63</v>
      </c>
      <c r="L100">
        <v>1</v>
      </c>
      <c r="M100">
        <v>0.66056140000000596</v>
      </c>
      <c r="N100" t="s">
        <v>51</v>
      </c>
      <c r="O100">
        <v>4</v>
      </c>
      <c r="P100">
        <v>18</v>
      </c>
      <c r="Q100">
        <v>98</v>
      </c>
      <c r="R100">
        <v>4</v>
      </c>
      <c r="S100">
        <v>144.90179220004899</v>
      </c>
      <c r="X100">
        <v>144.89189150003901</v>
      </c>
      <c r="Y100">
        <v>144.90179220004899</v>
      </c>
      <c r="Z100">
        <v>145.40272420004399</v>
      </c>
      <c r="AA100">
        <v>145.40272420004399</v>
      </c>
      <c r="AB100">
        <v>145.40272420004399</v>
      </c>
      <c r="AC100">
        <v>146.07186490000399</v>
      </c>
      <c r="AD100" t="s">
        <v>63</v>
      </c>
      <c r="AE100">
        <v>1</v>
      </c>
      <c r="AF100">
        <v>0.66056140000000596</v>
      </c>
      <c r="AG100" t="s">
        <v>51</v>
      </c>
      <c r="AK100" t="s">
        <v>89</v>
      </c>
      <c r="AL100">
        <v>1</v>
      </c>
      <c r="AM100" t="s">
        <v>42</v>
      </c>
      <c r="AN100" t="s">
        <v>43</v>
      </c>
      <c r="AP100" t="s">
        <v>44</v>
      </c>
      <c r="AQ100">
        <v>59.778723070926397</v>
      </c>
      <c r="AR100" t="s">
        <v>45</v>
      </c>
    </row>
    <row r="101" spans="1:44" x14ac:dyDescent="0.3">
      <c r="A101" t="s">
        <v>55</v>
      </c>
      <c r="B101" t="s">
        <v>49</v>
      </c>
      <c r="C101" s="2" t="str">
        <f t="shared" si="1"/>
        <v>Neutral</v>
      </c>
      <c r="D101">
        <v>0.67897949996404305</v>
      </c>
      <c r="E101" t="s">
        <v>47</v>
      </c>
      <c r="F101" t="s">
        <v>56</v>
      </c>
      <c r="G101" t="s">
        <v>57</v>
      </c>
      <c r="H101">
        <v>99</v>
      </c>
      <c r="I101">
        <v>19</v>
      </c>
      <c r="J101">
        <v>4</v>
      </c>
      <c r="K101" t="s">
        <v>57</v>
      </c>
      <c r="L101">
        <v>1</v>
      </c>
      <c r="M101">
        <v>0.54249089997028899</v>
      </c>
      <c r="N101" t="s">
        <v>51</v>
      </c>
      <c r="O101">
        <v>4</v>
      </c>
      <c r="P101">
        <v>19</v>
      </c>
      <c r="Q101">
        <v>99</v>
      </c>
      <c r="R101">
        <v>13</v>
      </c>
      <c r="S101">
        <v>146.085374300018</v>
      </c>
      <c r="X101">
        <v>146.07497970003101</v>
      </c>
      <c r="Y101">
        <v>146.085374300018</v>
      </c>
      <c r="Z101">
        <v>146.58521170000299</v>
      </c>
      <c r="AA101">
        <v>146.58521170000299</v>
      </c>
      <c r="AB101">
        <v>146.58521170000299</v>
      </c>
      <c r="AC101">
        <v>147.14145960000999</v>
      </c>
      <c r="AD101" t="s">
        <v>57</v>
      </c>
      <c r="AE101">
        <v>1</v>
      </c>
      <c r="AF101">
        <v>0.54249089997028899</v>
      </c>
      <c r="AG101" t="s">
        <v>51</v>
      </c>
      <c r="AK101" t="s">
        <v>89</v>
      </c>
      <c r="AL101">
        <v>1</v>
      </c>
      <c r="AM101" t="s">
        <v>42</v>
      </c>
      <c r="AN101" t="s">
        <v>43</v>
      </c>
      <c r="AP101" t="s">
        <v>44</v>
      </c>
      <c r="AQ101">
        <v>59.778723070926397</v>
      </c>
      <c r="AR101" t="s">
        <v>45</v>
      </c>
    </row>
    <row r="102" spans="1:44" x14ac:dyDescent="0.3">
      <c r="A102" t="s">
        <v>67</v>
      </c>
      <c r="B102" t="s">
        <v>49</v>
      </c>
      <c r="C102" s="2" t="str">
        <f t="shared" si="1"/>
        <v>Neutral</v>
      </c>
      <c r="D102">
        <v>0.61929329996928495</v>
      </c>
      <c r="E102" t="s">
        <v>47</v>
      </c>
      <c r="F102" t="s">
        <v>53</v>
      </c>
      <c r="G102" t="s">
        <v>54</v>
      </c>
      <c r="H102">
        <v>100</v>
      </c>
      <c r="I102">
        <v>0</v>
      </c>
      <c r="J102">
        <v>5</v>
      </c>
      <c r="K102" t="s">
        <v>54</v>
      </c>
      <c r="L102">
        <v>1</v>
      </c>
      <c r="M102">
        <v>0.69689520000247196</v>
      </c>
      <c r="N102" t="s">
        <v>51</v>
      </c>
      <c r="O102">
        <v>5</v>
      </c>
      <c r="P102">
        <v>0</v>
      </c>
      <c r="Q102">
        <v>100</v>
      </c>
      <c r="R102">
        <v>10</v>
      </c>
      <c r="S102">
        <v>147.167705900035</v>
      </c>
      <c r="X102">
        <v>147.14886710001099</v>
      </c>
      <c r="Y102">
        <v>147.167705900035</v>
      </c>
      <c r="Z102">
        <v>147.651680300012</v>
      </c>
      <c r="AA102">
        <v>147.651680300012</v>
      </c>
      <c r="AB102">
        <v>147.651680300012</v>
      </c>
      <c r="AC102">
        <v>148.356016600038</v>
      </c>
      <c r="AD102" t="s">
        <v>54</v>
      </c>
      <c r="AE102">
        <v>1</v>
      </c>
      <c r="AF102">
        <v>0.69689520000247196</v>
      </c>
      <c r="AG102" t="s">
        <v>51</v>
      </c>
      <c r="AK102" t="s">
        <v>89</v>
      </c>
      <c r="AL102">
        <v>1</v>
      </c>
      <c r="AM102" t="s">
        <v>42</v>
      </c>
      <c r="AN102" t="s">
        <v>43</v>
      </c>
      <c r="AP102" t="s">
        <v>44</v>
      </c>
      <c r="AQ102">
        <v>59.778723070926397</v>
      </c>
      <c r="AR102" t="s">
        <v>45</v>
      </c>
    </row>
    <row r="103" spans="1:44" x14ac:dyDescent="0.3">
      <c r="A103" t="s">
        <v>73</v>
      </c>
      <c r="B103" t="s">
        <v>49</v>
      </c>
      <c r="C103" s="2" t="str">
        <f t="shared" si="1"/>
        <v>Emotional-I</v>
      </c>
      <c r="D103">
        <v>0.49040900002000798</v>
      </c>
      <c r="E103" t="s">
        <v>59</v>
      </c>
      <c r="F103" t="s">
        <v>56</v>
      </c>
      <c r="G103" t="s">
        <v>57</v>
      </c>
      <c r="H103">
        <v>101</v>
      </c>
      <c r="I103">
        <v>1</v>
      </c>
      <c r="J103">
        <v>5</v>
      </c>
      <c r="K103" t="s">
        <v>57</v>
      </c>
      <c r="L103">
        <v>1</v>
      </c>
      <c r="M103">
        <v>0.74782579997554399</v>
      </c>
      <c r="N103" t="s">
        <v>51</v>
      </c>
      <c r="O103">
        <v>5</v>
      </c>
      <c r="P103">
        <v>1</v>
      </c>
      <c r="Q103">
        <v>101</v>
      </c>
      <c r="R103">
        <v>1</v>
      </c>
      <c r="S103">
        <v>148.36872339999499</v>
      </c>
      <c r="X103">
        <v>148.358975400042</v>
      </c>
      <c r="Y103">
        <v>148.36872339999499</v>
      </c>
      <c r="Z103">
        <v>148.868304400006</v>
      </c>
      <c r="AA103">
        <v>148.868304400006</v>
      </c>
      <c r="AB103">
        <v>148.868304400006</v>
      </c>
      <c r="AC103">
        <v>149.62224860000401</v>
      </c>
      <c r="AD103" t="s">
        <v>57</v>
      </c>
      <c r="AE103">
        <v>1</v>
      </c>
      <c r="AF103">
        <v>0.74782579997554399</v>
      </c>
      <c r="AG103" t="s">
        <v>51</v>
      </c>
      <c r="AK103" t="s">
        <v>89</v>
      </c>
      <c r="AL103">
        <v>1</v>
      </c>
      <c r="AM103" t="s">
        <v>42</v>
      </c>
      <c r="AN103" t="s">
        <v>43</v>
      </c>
      <c r="AP103" t="s">
        <v>44</v>
      </c>
      <c r="AQ103">
        <v>59.778723070926397</v>
      </c>
      <c r="AR103" t="s">
        <v>45</v>
      </c>
    </row>
    <row r="104" spans="1:44" x14ac:dyDescent="0.3">
      <c r="A104" t="s">
        <v>52</v>
      </c>
      <c r="B104" t="s">
        <v>49</v>
      </c>
      <c r="C104" s="2" t="str">
        <f t="shared" si="1"/>
        <v>Neutral</v>
      </c>
      <c r="D104">
        <v>1.20928200002526</v>
      </c>
      <c r="E104" t="s">
        <v>47</v>
      </c>
      <c r="F104" t="s">
        <v>53</v>
      </c>
      <c r="G104" t="s">
        <v>54</v>
      </c>
      <c r="H104">
        <v>102</v>
      </c>
      <c r="I104">
        <v>2</v>
      </c>
      <c r="J104">
        <v>5</v>
      </c>
      <c r="K104" t="s">
        <v>54</v>
      </c>
      <c r="L104">
        <v>1</v>
      </c>
      <c r="M104">
        <v>1.07828470005188</v>
      </c>
      <c r="N104" t="s">
        <v>51</v>
      </c>
      <c r="O104">
        <v>5</v>
      </c>
      <c r="P104">
        <v>2</v>
      </c>
      <c r="Q104">
        <v>102</v>
      </c>
      <c r="R104">
        <v>14</v>
      </c>
      <c r="S104">
        <v>149.63509819999999</v>
      </c>
      <c r="X104">
        <v>149.62531880004099</v>
      </c>
      <c r="Y104">
        <v>149.63509819999999</v>
      </c>
      <c r="Z104">
        <v>150.13516679999799</v>
      </c>
      <c r="AA104">
        <v>150.13516679999799</v>
      </c>
      <c r="AB104">
        <v>150.13516679999799</v>
      </c>
      <c r="AC104">
        <v>151.221825100015</v>
      </c>
      <c r="AD104" t="s">
        <v>54</v>
      </c>
      <c r="AE104">
        <v>1</v>
      </c>
      <c r="AF104">
        <v>1.07828470005188</v>
      </c>
      <c r="AG104" t="s">
        <v>51</v>
      </c>
      <c r="AK104" t="s">
        <v>89</v>
      </c>
      <c r="AL104">
        <v>1</v>
      </c>
      <c r="AM104" t="s">
        <v>42</v>
      </c>
      <c r="AN104" t="s">
        <v>43</v>
      </c>
      <c r="AP104" t="s">
        <v>44</v>
      </c>
      <c r="AQ104">
        <v>59.778723070926397</v>
      </c>
      <c r="AR104" t="s">
        <v>45</v>
      </c>
    </row>
    <row r="105" spans="1:44" x14ac:dyDescent="0.3">
      <c r="A105" t="s">
        <v>78</v>
      </c>
      <c r="B105" t="s">
        <v>49</v>
      </c>
      <c r="C105" s="2" t="str">
        <f t="shared" si="1"/>
        <v>Neutral</v>
      </c>
      <c r="D105">
        <v>0.48967300000367597</v>
      </c>
      <c r="E105" t="s">
        <v>47</v>
      </c>
      <c r="F105" t="s">
        <v>56</v>
      </c>
      <c r="G105" t="s">
        <v>57</v>
      </c>
      <c r="H105">
        <v>103</v>
      </c>
      <c r="I105">
        <v>3</v>
      </c>
      <c r="J105">
        <v>5</v>
      </c>
      <c r="K105" t="s">
        <v>57</v>
      </c>
      <c r="L105">
        <v>1</v>
      </c>
      <c r="M105">
        <v>0.67897949996404305</v>
      </c>
      <c r="N105" t="s">
        <v>51</v>
      </c>
      <c r="O105">
        <v>5</v>
      </c>
      <c r="P105">
        <v>3</v>
      </c>
      <c r="Q105">
        <v>103</v>
      </c>
      <c r="R105">
        <v>17</v>
      </c>
      <c r="S105">
        <v>151.23495489999101</v>
      </c>
      <c r="X105">
        <v>151.225646900013</v>
      </c>
      <c r="Y105">
        <v>151.23495489999101</v>
      </c>
      <c r="Z105">
        <v>151.73544410004899</v>
      </c>
      <c r="AA105">
        <v>151.73544410004899</v>
      </c>
      <c r="AB105">
        <v>151.73544410004899</v>
      </c>
      <c r="AC105">
        <v>152.422432299994</v>
      </c>
      <c r="AD105" t="s">
        <v>57</v>
      </c>
      <c r="AE105">
        <v>1</v>
      </c>
      <c r="AF105">
        <v>0.67897949996404305</v>
      </c>
      <c r="AG105" t="s">
        <v>51</v>
      </c>
      <c r="AK105" t="s">
        <v>89</v>
      </c>
      <c r="AL105">
        <v>1</v>
      </c>
      <c r="AM105" t="s">
        <v>42</v>
      </c>
      <c r="AN105" t="s">
        <v>43</v>
      </c>
      <c r="AP105" t="s">
        <v>44</v>
      </c>
      <c r="AQ105">
        <v>59.778723070926397</v>
      </c>
      <c r="AR105" t="s">
        <v>45</v>
      </c>
    </row>
    <row r="106" spans="1:44" x14ac:dyDescent="0.3">
      <c r="A106" t="s">
        <v>65</v>
      </c>
      <c r="B106" t="s">
        <v>49</v>
      </c>
      <c r="C106" s="2" t="str">
        <f t="shared" si="1"/>
        <v>Emotional-I</v>
      </c>
      <c r="D106">
        <v>0.73989969998365201</v>
      </c>
      <c r="E106" t="s">
        <v>59</v>
      </c>
      <c r="F106" t="s">
        <v>56</v>
      </c>
      <c r="G106" t="s">
        <v>57</v>
      </c>
      <c r="H106">
        <v>104</v>
      </c>
      <c r="I106">
        <v>4</v>
      </c>
      <c r="J106">
        <v>5</v>
      </c>
      <c r="K106" t="s">
        <v>57</v>
      </c>
      <c r="L106">
        <v>1</v>
      </c>
      <c r="M106">
        <v>0.61929329996928495</v>
      </c>
      <c r="N106" t="s">
        <v>51</v>
      </c>
      <c r="O106">
        <v>5</v>
      </c>
      <c r="P106">
        <v>4</v>
      </c>
      <c r="Q106">
        <v>104</v>
      </c>
      <c r="R106">
        <v>9</v>
      </c>
      <c r="S106">
        <v>152.435578500037</v>
      </c>
      <c r="X106">
        <v>152.42594859999301</v>
      </c>
      <c r="Y106">
        <v>152.435578500037</v>
      </c>
      <c r="Z106">
        <v>152.935350000043</v>
      </c>
      <c r="AA106">
        <v>152.935350000043</v>
      </c>
      <c r="AB106">
        <v>152.935350000043</v>
      </c>
      <c r="AC106">
        <v>153.55572320002801</v>
      </c>
      <c r="AD106" t="s">
        <v>57</v>
      </c>
      <c r="AE106">
        <v>1</v>
      </c>
      <c r="AF106">
        <v>0.61929329996928495</v>
      </c>
      <c r="AG106" t="s">
        <v>51</v>
      </c>
      <c r="AK106" t="s">
        <v>89</v>
      </c>
      <c r="AL106">
        <v>1</v>
      </c>
      <c r="AM106" t="s">
        <v>42</v>
      </c>
      <c r="AN106" t="s">
        <v>43</v>
      </c>
      <c r="AP106" t="s">
        <v>44</v>
      </c>
      <c r="AQ106">
        <v>59.778723070926397</v>
      </c>
      <c r="AR106" t="s">
        <v>45</v>
      </c>
    </row>
    <row r="107" spans="1:44" x14ac:dyDescent="0.3">
      <c r="A107" t="s">
        <v>55</v>
      </c>
      <c r="B107" t="s">
        <v>49</v>
      </c>
      <c r="C107" s="2" t="str">
        <f t="shared" si="1"/>
        <v>Neutral</v>
      </c>
      <c r="D107">
        <v>0.56732679996639401</v>
      </c>
      <c r="E107" t="s">
        <v>47</v>
      </c>
      <c r="F107" t="s">
        <v>56</v>
      </c>
      <c r="G107" t="s">
        <v>57</v>
      </c>
      <c r="H107">
        <v>105</v>
      </c>
      <c r="I107">
        <v>5</v>
      </c>
      <c r="J107">
        <v>5</v>
      </c>
      <c r="K107" t="s">
        <v>57</v>
      </c>
      <c r="L107">
        <v>1</v>
      </c>
      <c r="M107">
        <v>0.49040900002000798</v>
      </c>
      <c r="N107" t="s">
        <v>51</v>
      </c>
      <c r="O107">
        <v>5</v>
      </c>
      <c r="P107">
        <v>5</v>
      </c>
      <c r="Q107">
        <v>105</v>
      </c>
      <c r="R107">
        <v>13</v>
      </c>
      <c r="S107">
        <v>153.567991900024</v>
      </c>
      <c r="X107">
        <v>153.559165200043</v>
      </c>
      <c r="Y107">
        <v>153.567991900024</v>
      </c>
      <c r="Z107">
        <v>154.067972100048</v>
      </c>
      <c r="AA107">
        <v>154.067972100048</v>
      </c>
      <c r="AB107">
        <v>154.067972100048</v>
      </c>
      <c r="AC107">
        <v>154.57181220000999</v>
      </c>
      <c r="AD107" t="s">
        <v>57</v>
      </c>
      <c r="AE107">
        <v>1</v>
      </c>
      <c r="AF107">
        <v>0.49040900002000798</v>
      </c>
      <c r="AG107" t="s">
        <v>51</v>
      </c>
      <c r="AK107" t="s">
        <v>89</v>
      </c>
      <c r="AL107">
        <v>1</v>
      </c>
      <c r="AM107" t="s">
        <v>42</v>
      </c>
      <c r="AN107" t="s">
        <v>43</v>
      </c>
      <c r="AP107" t="s">
        <v>44</v>
      </c>
      <c r="AQ107">
        <v>59.778723070926397</v>
      </c>
      <c r="AR107" t="s">
        <v>45</v>
      </c>
    </row>
    <row r="108" spans="1:44" x14ac:dyDescent="0.3">
      <c r="A108" t="s">
        <v>70</v>
      </c>
      <c r="B108" t="s">
        <v>49</v>
      </c>
      <c r="C108" s="2" t="str">
        <f t="shared" si="1"/>
        <v>Emotional-I</v>
      </c>
      <c r="D108">
        <v>1.1206388000282399</v>
      </c>
      <c r="E108" t="s">
        <v>59</v>
      </c>
      <c r="F108" t="s">
        <v>53</v>
      </c>
      <c r="G108" t="s">
        <v>54</v>
      </c>
      <c r="H108">
        <v>106</v>
      </c>
      <c r="I108">
        <v>6</v>
      </c>
      <c r="J108">
        <v>5</v>
      </c>
      <c r="K108" t="s">
        <v>54</v>
      </c>
      <c r="L108">
        <v>1</v>
      </c>
      <c r="M108">
        <v>1.20928200002526</v>
      </c>
      <c r="N108" t="s">
        <v>51</v>
      </c>
      <c r="O108">
        <v>5</v>
      </c>
      <c r="P108">
        <v>6</v>
      </c>
      <c r="Q108">
        <v>106</v>
      </c>
      <c r="R108">
        <v>2</v>
      </c>
      <c r="S108">
        <v>154.58520920004199</v>
      </c>
      <c r="X108">
        <v>154.57447480002801</v>
      </c>
      <c r="Y108">
        <v>154.58520920004199</v>
      </c>
      <c r="Z108">
        <v>155.08471830002901</v>
      </c>
      <c r="AA108">
        <v>155.08471830002901</v>
      </c>
      <c r="AB108">
        <v>155.08471830002901</v>
      </c>
      <c r="AC108">
        <v>156.305655300035</v>
      </c>
      <c r="AD108" t="s">
        <v>54</v>
      </c>
      <c r="AE108">
        <v>1</v>
      </c>
      <c r="AF108">
        <v>1.20928200002526</v>
      </c>
      <c r="AG108" t="s">
        <v>51</v>
      </c>
      <c r="AK108" t="s">
        <v>89</v>
      </c>
      <c r="AL108">
        <v>1</v>
      </c>
      <c r="AM108" t="s">
        <v>42</v>
      </c>
      <c r="AN108" t="s">
        <v>43</v>
      </c>
      <c r="AP108" t="s">
        <v>44</v>
      </c>
      <c r="AQ108">
        <v>59.778723070926397</v>
      </c>
      <c r="AR108" t="s">
        <v>45</v>
      </c>
    </row>
    <row r="109" spans="1:44" x14ac:dyDescent="0.3">
      <c r="A109" t="s">
        <v>68</v>
      </c>
      <c r="B109" t="s">
        <v>49</v>
      </c>
      <c r="C109" s="2" t="str">
        <f t="shared" si="1"/>
        <v>Emotional-I</v>
      </c>
      <c r="D109">
        <v>1.0149754000012701</v>
      </c>
      <c r="E109" t="s">
        <v>59</v>
      </c>
      <c r="F109" t="s">
        <v>53</v>
      </c>
      <c r="G109" t="s">
        <v>54</v>
      </c>
      <c r="H109">
        <v>107</v>
      </c>
      <c r="I109">
        <v>7</v>
      </c>
      <c r="J109">
        <v>5</v>
      </c>
      <c r="K109" t="s">
        <v>54</v>
      </c>
      <c r="L109">
        <v>1</v>
      </c>
      <c r="M109">
        <v>0.48967300000367597</v>
      </c>
      <c r="N109" t="s">
        <v>51</v>
      </c>
      <c r="O109">
        <v>5</v>
      </c>
      <c r="P109">
        <v>7</v>
      </c>
      <c r="Q109">
        <v>107</v>
      </c>
      <c r="R109">
        <v>6</v>
      </c>
      <c r="S109">
        <v>156.31861000001601</v>
      </c>
      <c r="X109">
        <v>156.30841580004099</v>
      </c>
      <c r="Y109">
        <v>156.31861000001601</v>
      </c>
      <c r="Z109">
        <v>156.81831270002201</v>
      </c>
      <c r="AA109">
        <v>156.81831270002201</v>
      </c>
      <c r="AB109">
        <v>156.81831270002201</v>
      </c>
      <c r="AC109">
        <v>157.322101700003</v>
      </c>
      <c r="AD109" t="s">
        <v>54</v>
      </c>
      <c r="AE109">
        <v>1</v>
      </c>
      <c r="AF109">
        <v>0.48967300000367597</v>
      </c>
      <c r="AG109" t="s">
        <v>51</v>
      </c>
      <c r="AK109" t="s">
        <v>89</v>
      </c>
      <c r="AL109">
        <v>1</v>
      </c>
      <c r="AM109" t="s">
        <v>42</v>
      </c>
      <c r="AN109" t="s">
        <v>43</v>
      </c>
      <c r="AP109" t="s">
        <v>44</v>
      </c>
      <c r="AQ109">
        <v>59.778723070926397</v>
      </c>
      <c r="AR109" t="s">
        <v>45</v>
      </c>
    </row>
    <row r="110" spans="1:44" x14ac:dyDescent="0.3">
      <c r="A110" t="s">
        <v>74</v>
      </c>
      <c r="B110" t="s">
        <v>49</v>
      </c>
      <c r="C110" s="2" t="str">
        <f t="shared" si="1"/>
        <v>Neutral</v>
      </c>
      <c r="D110">
        <v>0.52194730000337497</v>
      </c>
      <c r="E110" t="s">
        <v>47</v>
      </c>
      <c r="F110" t="s">
        <v>48</v>
      </c>
      <c r="G110" t="s">
        <v>50</v>
      </c>
      <c r="H110">
        <v>108</v>
      </c>
      <c r="I110">
        <v>8</v>
      </c>
      <c r="J110">
        <v>5</v>
      </c>
      <c r="K110" t="s">
        <v>50</v>
      </c>
      <c r="L110">
        <v>1</v>
      </c>
      <c r="M110">
        <v>0.73989969998365201</v>
      </c>
      <c r="N110" t="s">
        <v>51</v>
      </c>
      <c r="O110">
        <v>5</v>
      </c>
      <c r="P110">
        <v>8</v>
      </c>
      <c r="Q110">
        <v>108</v>
      </c>
      <c r="R110">
        <v>11</v>
      </c>
      <c r="S110">
        <v>157.33506860001901</v>
      </c>
      <c r="X110">
        <v>157.32486350002</v>
      </c>
      <c r="Y110">
        <v>157.33506860001901</v>
      </c>
      <c r="Z110">
        <v>157.83432399999501</v>
      </c>
      <c r="AA110">
        <v>157.83432399999501</v>
      </c>
      <c r="AB110">
        <v>157.83432399999501</v>
      </c>
      <c r="AC110">
        <v>158.58906260004699</v>
      </c>
      <c r="AD110" t="s">
        <v>50</v>
      </c>
      <c r="AE110">
        <v>1</v>
      </c>
      <c r="AF110">
        <v>0.73989969998365201</v>
      </c>
      <c r="AG110" t="s">
        <v>51</v>
      </c>
      <c r="AK110" t="s">
        <v>89</v>
      </c>
      <c r="AL110">
        <v>1</v>
      </c>
      <c r="AM110" t="s">
        <v>42</v>
      </c>
      <c r="AN110" t="s">
        <v>43</v>
      </c>
      <c r="AP110" t="s">
        <v>44</v>
      </c>
      <c r="AQ110">
        <v>59.778723070926397</v>
      </c>
      <c r="AR110" t="s">
        <v>45</v>
      </c>
    </row>
    <row r="111" spans="1:44" x14ac:dyDescent="0.3">
      <c r="A111" t="s">
        <v>72</v>
      </c>
      <c r="B111" t="s">
        <v>62</v>
      </c>
      <c r="C111" s="2" t="str">
        <f t="shared" si="1"/>
        <v>Emotional-C</v>
      </c>
      <c r="D111">
        <v>0.55611109995515995</v>
      </c>
      <c r="E111" t="s">
        <v>59</v>
      </c>
      <c r="F111" t="s">
        <v>61</v>
      </c>
      <c r="G111" t="s">
        <v>63</v>
      </c>
      <c r="H111">
        <v>109</v>
      </c>
      <c r="I111">
        <v>9</v>
      </c>
      <c r="J111">
        <v>5</v>
      </c>
      <c r="K111" t="s">
        <v>63</v>
      </c>
      <c r="L111">
        <v>1</v>
      </c>
      <c r="M111">
        <v>0.56732679996639401</v>
      </c>
      <c r="N111" t="s">
        <v>51</v>
      </c>
      <c r="O111">
        <v>5</v>
      </c>
      <c r="P111">
        <v>9</v>
      </c>
      <c r="Q111">
        <v>109</v>
      </c>
      <c r="R111">
        <v>8</v>
      </c>
      <c r="S111">
        <v>158.60146710002999</v>
      </c>
      <c r="X111">
        <v>158.591720200027</v>
      </c>
      <c r="Y111">
        <v>158.60146710002999</v>
      </c>
      <c r="Z111">
        <v>159.10156440001401</v>
      </c>
      <c r="AA111">
        <v>159.10156440001401</v>
      </c>
      <c r="AB111">
        <v>159.10156440001401</v>
      </c>
      <c r="AC111">
        <v>159.67255060002199</v>
      </c>
      <c r="AD111" t="s">
        <v>63</v>
      </c>
      <c r="AE111">
        <v>1</v>
      </c>
      <c r="AF111">
        <v>0.56732679996639401</v>
      </c>
      <c r="AG111" t="s">
        <v>51</v>
      </c>
      <c r="AK111" t="s">
        <v>89</v>
      </c>
      <c r="AL111">
        <v>1</v>
      </c>
      <c r="AM111" t="s">
        <v>42</v>
      </c>
      <c r="AN111" t="s">
        <v>43</v>
      </c>
      <c r="AP111" t="s">
        <v>44</v>
      </c>
      <c r="AQ111">
        <v>59.778723070926397</v>
      </c>
      <c r="AR111" t="s">
        <v>45</v>
      </c>
    </row>
    <row r="112" spans="1:44" hidden="1" x14ac:dyDescent="0.3">
      <c r="A112" t="s">
        <v>76</v>
      </c>
      <c r="B112" t="s">
        <v>49</v>
      </c>
      <c r="C112" s="2" t="str">
        <f t="shared" si="1"/>
        <v>Emotional-I</v>
      </c>
      <c r="D112">
        <v>0.80952399998204705</v>
      </c>
      <c r="E112" t="s">
        <v>59</v>
      </c>
      <c r="F112" t="s">
        <v>48</v>
      </c>
      <c r="G112" t="s">
        <v>50</v>
      </c>
      <c r="H112">
        <v>110</v>
      </c>
      <c r="I112">
        <v>10</v>
      </c>
      <c r="J112">
        <v>5</v>
      </c>
      <c r="K112" t="s">
        <v>54</v>
      </c>
      <c r="L112">
        <v>0</v>
      </c>
      <c r="M112">
        <v>0.87173250003252101</v>
      </c>
      <c r="N112" t="s">
        <v>51</v>
      </c>
      <c r="O112">
        <v>5</v>
      </c>
      <c r="P112">
        <v>10</v>
      </c>
      <c r="Q112">
        <v>110</v>
      </c>
      <c r="R112">
        <v>3</v>
      </c>
      <c r="S112">
        <v>159.684763199999</v>
      </c>
      <c r="X112">
        <v>159.67585870000701</v>
      </c>
      <c r="Y112">
        <v>159.684763199999</v>
      </c>
      <c r="Z112">
        <v>160.18494000000601</v>
      </c>
      <c r="AA112">
        <v>160.18494000000601</v>
      </c>
      <c r="AB112">
        <v>160.18494000000601</v>
      </c>
      <c r="AC112">
        <v>161.071619299997</v>
      </c>
      <c r="AD112" t="s">
        <v>54</v>
      </c>
      <c r="AE112">
        <v>0</v>
      </c>
      <c r="AF112">
        <v>0.87173250003252101</v>
      </c>
      <c r="AG112" t="s">
        <v>51</v>
      </c>
      <c r="AK112" t="s">
        <v>89</v>
      </c>
      <c r="AL112">
        <v>1</v>
      </c>
      <c r="AM112" t="s">
        <v>42</v>
      </c>
      <c r="AN112" t="s">
        <v>43</v>
      </c>
      <c r="AP112" t="s">
        <v>44</v>
      </c>
      <c r="AQ112">
        <v>59.778723070926397</v>
      </c>
      <c r="AR112" t="s">
        <v>45</v>
      </c>
    </row>
    <row r="113" spans="1:44" x14ac:dyDescent="0.3">
      <c r="A113" t="s">
        <v>71</v>
      </c>
      <c r="B113" t="s">
        <v>49</v>
      </c>
      <c r="C113" s="2" t="str">
        <f t="shared" si="1"/>
        <v>Neutral</v>
      </c>
      <c r="D113">
        <v>0.67167849995894302</v>
      </c>
      <c r="E113" t="s">
        <v>47</v>
      </c>
      <c r="F113" t="s">
        <v>48</v>
      </c>
      <c r="G113" t="s">
        <v>50</v>
      </c>
      <c r="H113">
        <v>111</v>
      </c>
      <c r="I113">
        <v>11</v>
      </c>
      <c r="J113">
        <v>5</v>
      </c>
      <c r="K113" t="s">
        <v>50</v>
      </c>
      <c r="L113">
        <v>1</v>
      </c>
      <c r="M113">
        <v>1.1206388000282399</v>
      </c>
      <c r="N113" t="s">
        <v>51</v>
      </c>
      <c r="O113">
        <v>5</v>
      </c>
      <c r="P113">
        <v>11</v>
      </c>
      <c r="Q113">
        <v>111</v>
      </c>
      <c r="R113">
        <v>15</v>
      </c>
      <c r="S113">
        <v>161.08469940000199</v>
      </c>
      <c r="X113">
        <v>161.07476370001601</v>
      </c>
      <c r="Y113">
        <v>161.08469940000199</v>
      </c>
      <c r="Z113">
        <v>161.585063100035</v>
      </c>
      <c r="AA113">
        <v>161.585063100035</v>
      </c>
      <c r="AB113">
        <v>161.585063100035</v>
      </c>
      <c r="AC113">
        <v>162.72171180002599</v>
      </c>
      <c r="AD113" t="s">
        <v>50</v>
      </c>
      <c r="AE113">
        <v>1</v>
      </c>
      <c r="AF113">
        <v>1.1206388000282399</v>
      </c>
      <c r="AG113" t="s">
        <v>51</v>
      </c>
      <c r="AK113" t="s">
        <v>89</v>
      </c>
      <c r="AL113">
        <v>1</v>
      </c>
      <c r="AM113" t="s">
        <v>42</v>
      </c>
      <c r="AN113" t="s">
        <v>43</v>
      </c>
      <c r="AP113" t="s">
        <v>44</v>
      </c>
      <c r="AQ113">
        <v>59.778723070926397</v>
      </c>
      <c r="AR113" t="s">
        <v>45</v>
      </c>
    </row>
    <row r="114" spans="1:44" x14ac:dyDescent="0.3">
      <c r="A114" t="s">
        <v>69</v>
      </c>
      <c r="B114" t="s">
        <v>49</v>
      </c>
      <c r="C114" s="2" t="str">
        <f t="shared" si="1"/>
        <v>Emotional-I</v>
      </c>
      <c r="D114">
        <v>0.83411669998895299</v>
      </c>
      <c r="E114" t="s">
        <v>59</v>
      </c>
      <c r="F114" t="s">
        <v>56</v>
      </c>
      <c r="G114" t="s">
        <v>57</v>
      </c>
      <c r="H114">
        <v>112</v>
      </c>
      <c r="I114">
        <v>12</v>
      </c>
      <c r="J114">
        <v>5</v>
      </c>
      <c r="K114" t="s">
        <v>57</v>
      </c>
      <c r="L114">
        <v>1</v>
      </c>
      <c r="M114">
        <v>1.0149754000012701</v>
      </c>
      <c r="N114" t="s">
        <v>51</v>
      </c>
      <c r="O114">
        <v>5</v>
      </c>
      <c r="P114">
        <v>12</v>
      </c>
      <c r="Q114">
        <v>112</v>
      </c>
      <c r="R114">
        <v>5</v>
      </c>
      <c r="S114">
        <v>162.734922100033</v>
      </c>
      <c r="X114">
        <v>162.72438389999999</v>
      </c>
      <c r="Y114">
        <v>162.734922100033</v>
      </c>
      <c r="Z114">
        <v>163.23510490002801</v>
      </c>
      <c r="AA114">
        <v>163.23510490002801</v>
      </c>
      <c r="AB114">
        <v>163.23510490002801</v>
      </c>
      <c r="AC114">
        <v>164.255432600039</v>
      </c>
      <c r="AD114" t="s">
        <v>57</v>
      </c>
      <c r="AE114">
        <v>1</v>
      </c>
      <c r="AF114">
        <v>1.0149754000012701</v>
      </c>
      <c r="AG114" t="s">
        <v>51</v>
      </c>
      <c r="AK114" t="s">
        <v>89</v>
      </c>
      <c r="AL114">
        <v>1</v>
      </c>
      <c r="AM114" t="s">
        <v>42</v>
      </c>
      <c r="AN114" t="s">
        <v>43</v>
      </c>
      <c r="AP114" t="s">
        <v>44</v>
      </c>
      <c r="AQ114">
        <v>59.778723070926397</v>
      </c>
      <c r="AR114" t="s">
        <v>45</v>
      </c>
    </row>
    <row r="115" spans="1:44" x14ac:dyDescent="0.3">
      <c r="A115" t="s">
        <v>60</v>
      </c>
      <c r="B115" t="s">
        <v>62</v>
      </c>
      <c r="C115" s="2" t="str">
        <f t="shared" si="1"/>
        <v>Emotional-C</v>
      </c>
      <c r="D115">
        <v>0.64601340005174201</v>
      </c>
      <c r="E115" t="s">
        <v>59</v>
      </c>
      <c r="F115" t="s">
        <v>61</v>
      </c>
      <c r="G115" t="s">
        <v>63</v>
      </c>
      <c r="H115">
        <v>113</v>
      </c>
      <c r="I115">
        <v>13</v>
      </c>
      <c r="J115">
        <v>5</v>
      </c>
      <c r="K115" t="s">
        <v>63</v>
      </c>
      <c r="L115">
        <v>1</v>
      </c>
      <c r="M115">
        <v>0.52194730000337497</v>
      </c>
      <c r="N115" t="s">
        <v>51</v>
      </c>
      <c r="O115">
        <v>5</v>
      </c>
      <c r="P115">
        <v>13</v>
      </c>
      <c r="Q115">
        <v>113</v>
      </c>
      <c r="R115">
        <v>0</v>
      </c>
      <c r="S115">
        <v>164.26783110003399</v>
      </c>
      <c r="X115">
        <v>164.25867930002201</v>
      </c>
      <c r="Y115">
        <v>164.26783110003399</v>
      </c>
      <c r="Z115">
        <v>164.76778789999599</v>
      </c>
      <c r="AA115">
        <v>164.76778789999599</v>
      </c>
      <c r="AB115">
        <v>164.76778789999599</v>
      </c>
      <c r="AC115">
        <v>165.30479110003199</v>
      </c>
      <c r="AD115" t="s">
        <v>63</v>
      </c>
      <c r="AE115">
        <v>1</v>
      </c>
      <c r="AF115">
        <v>0.52194730000337497</v>
      </c>
      <c r="AG115" t="s">
        <v>51</v>
      </c>
      <c r="AK115" t="s">
        <v>89</v>
      </c>
      <c r="AL115">
        <v>1</v>
      </c>
      <c r="AM115" t="s">
        <v>42</v>
      </c>
      <c r="AN115" t="s">
        <v>43</v>
      </c>
      <c r="AP115" t="s">
        <v>44</v>
      </c>
      <c r="AQ115">
        <v>59.778723070926397</v>
      </c>
      <c r="AR115" t="s">
        <v>45</v>
      </c>
    </row>
    <row r="116" spans="1:44" x14ac:dyDescent="0.3">
      <c r="A116" t="s">
        <v>77</v>
      </c>
      <c r="B116" t="s">
        <v>62</v>
      </c>
      <c r="C116" s="2" t="str">
        <f t="shared" si="1"/>
        <v>Emotional-C</v>
      </c>
      <c r="D116">
        <v>0.79142189997946799</v>
      </c>
      <c r="E116" t="s">
        <v>59</v>
      </c>
      <c r="F116" t="s">
        <v>61</v>
      </c>
      <c r="G116" t="s">
        <v>63</v>
      </c>
      <c r="H116">
        <v>114</v>
      </c>
      <c r="I116">
        <v>14</v>
      </c>
      <c r="J116">
        <v>5</v>
      </c>
      <c r="K116" t="s">
        <v>63</v>
      </c>
      <c r="L116">
        <v>1</v>
      </c>
      <c r="M116">
        <v>0.55611109995515995</v>
      </c>
      <c r="N116" t="s">
        <v>51</v>
      </c>
      <c r="O116">
        <v>5</v>
      </c>
      <c r="P116">
        <v>14</v>
      </c>
      <c r="Q116">
        <v>114</v>
      </c>
      <c r="R116">
        <v>4</v>
      </c>
      <c r="S116">
        <v>165.31847080000401</v>
      </c>
      <c r="X116">
        <v>165.307658600038</v>
      </c>
      <c r="Y116">
        <v>165.31847080000401</v>
      </c>
      <c r="Z116">
        <v>165.8177594</v>
      </c>
      <c r="AA116">
        <v>165.8177594</v>
      </c>
      <c r="AB116">
        <v>165.8177594</v>
      </c>
      <c r="AC116">
        <v>166.388302600011</v>
      </c>
      <c r="AD116" t="s">
        <v>63</v>
      </c>
      <c r="AE116">
        <v>1</v>
      </c>
      <c r="AF116">
        <v>0.55611109995515995</v>
      </c>
      <c r="AG116" t="s">
        <v>51</v>
      </c>
      <c r="AK116" t="s">
        <v>89</v>
      </c>
      <c r="AL116">
        <v>1</v>
      </c>
      <c r="AM116" t="s">
        <v>42</v>
      </c>
      <c r="AN116" t="s">
        <v>43</v>
      </c>
      <c r="AP116" t="s">
        <v>44</v>
      </c>
      <c r="AQ116">
        <v>59.778723070926397</v>
      </c>
      <c r="AR116" t="s">
        <v>45</v>
      </c>
    </row>
    <row r="117" spans="1:44" x14ac:dyDescent="0.3">
      <c r="A117" t="s">
        <v>58</v>
      </c>
      <c r="B117" t="s">
        <v>49</v>
      </c>
      <c r="C117" s="2" t="str">
        <f t="shared" si="1"/>
        <v>Emotional-I</v>
      </c>
      <c r="D117">
        <v>0.63352019997546405</v>
      </c>
      <c r="E117" t="s">
        <v>59</v>
      </c>
      <c r="F117" t="s">
        <v>48</v>
      </c>
      <c r="G117" t="s">
        <v>50</v>
      </c>
      <c r="H117">
        <v>115</v>
      </c>
      <c r="I117">
        <v>15</v>
      </c>
      <c r="J117">
        <v>5</v>
      </c>
      <c r="K117" t="s">
        <v>50</v>
      </c>
      <c r="L117">
        <v>1</v>
      </c>
      <c r="M117">
        <v>0.80952399998204705</v>
      </c>
      <c r="N117" t="s">
        <v>51</v>
      </c>
      <c r="O117">
        <v>5</v>
      </c>
      <c r="P117">
        <v>15</v>
      </c>
      <c r="Q117">
        <v>115</v>
      </c>
      <c r="R117">
        <v>7</v>
      </c>
      <c r="S117">
        <v>166.401678599999</v>
      </c>
      <c r="X117">
        <v>166.391047400014</v>
      </c>
      <c r="Y117">
        <v>166.401678599999</v>
      </c>
      <c r="Z117">
        <v>166.90111870004301</v>
      </c>
      <c r="AA117">
        <v>166.90111870004301</v>
      </c>
      <c r="AB117">
        <v>166.90111870004301</v>
      </c>
      <c r="AC117">
        <v>167.721065599995</v>
      </c>
      <c r="AD117" t="s">
        <v>50</v>
      </c>
      <c r="AE117">
        <v>1</v>
      </c>
      <c r="AF117">
        <v>0.80952399998204705</v>
      </c>
      <c r="AG117" t="s">
        <v>51</v>
      </c>
      <c r="AK117" t="s">
        <v>89</v>
      </c>
      <c r="AL117">
        <v>1</v>
      </c>
      <c r="AM117" t="s">
        <v>42</v>
      </c>
      <c r="AN117" t="s">
        <v>43</v>
      </c>
      <c r="AP117" t="s">
        <v>44</v>
      </c>
      <c r="AQ117">
        <v>59.778723070926397</v>
      </c>
      <c r="AR117" t="s">
        <v>45</v>
      </c>
    </row>
    <row r="118" spans="1:44" x14ac:dyDescent="0.3">
      <c r="A118" t="s">
        <v>75</v>
      </c>
      <c r="B118" t="s">
        <v>49</v>
      </c>
      <c r="C118" s="2" t="str">
        <f t="shared" si="1"/>
        <v>Neutral</v>
      </c>
      <c r="D118">
        <v>0.98542450001696102</v>
      </c>
      <c r="E118" t="s">
        <v>47</v>
      </c>
      <c r="F118" t="s">
        <v>61</v>
      </c>
      <c r="G118" t="s">
        <v>63</v>
      </c>
      <c r="H118">
        <v>116</v>
      </c>
      <c r="I118">
        <v>16</v>
      </c>
      <c r="J118">
        <v>5</v>
      </c>
      <c r="K118" t="s">
        <v>63</v>
      </c>
      <c r="L118">
        <v>1</v>
      </c>
      <c r="M118">
        <v>0.67167849995894302</v>
      </c>
      <c r="N118" t="s">
        <v>51</v>
      </c>
      <c r="O118">
        <v>5</v>
      </c>
      <c r="P118">
        <v>16</v>
      </c>
      <c r="Q118">
        <v>116</v>
      </c>
      <c r="R118">
        <v>16</v>
      </c>
      <c r="S118">
        <v>167.734437400009</v>
      </c>
      <c r="X118">
        <v>167.72418370004701</v>
      </c>
      <c r="Y118">
        <v>167.734437400009</v>
      </c>
      <c r="Z118">
        <v>168.23434830002901</v>
      </c>
      <c r="AA118">
        <v>168.23434830002901</v>
      </c>
      <c r="AB118">
        <v>168.23434830002901</v>
      </c>
      <c r="AC118">
        <v>168.92117710004001</v>
      </c>
      <c r="AD118" t="s">
        <v>63</v>
      </c>
      <c r="AE118">
        <v>1</v>
      </c>
      <c r="AF118">
        <v>0.67167849995894302</v>
      </c>
      <c r="AG118" t="s">
        <v>51</v>
      </c>
      <c r="AK118" t="s">
        <v>89</v>
      </c>
      <c r="AL118">
        <v>1</v>
      </c>
      <c r="AM118" t="s">
        <v>42</v>
      </c>
      <c r="AN118" t="s">
        <v>43</v>
      </c>
      <c r="AP118" t="s">
        <v>44</v>
      </c>
      <c r="AQ118">
        <v>59.778723070926397</v>
      </c>
      <c r="AR118" t="s">
        <v>45</v>
      </c>
    </row>
    <row r="119" spans="1:44" x14ac:dyDescent="0.3">
      <c r="A119" t="s">
        <v>64</v>
      </c>
      <c r="B119" t="s">
        <v>49</v>
      </c>
      <c r="C119" s="2" t="str">
        <f t="shared" si="1"/>
        <v>Neutral</v>
      </c>
      <c r="D119">
        <v>0.89361460000509396</v>
      </c>
      <c r="E119" t="s">
        <v>47</v>
      </c>
      <c r="F119" t="s">
        <v>53</v>
      </c>
      <c r="G119" t="s">
        <v>54</v>
      </c>
      <c r="H119">
        <v>117</v>
      </c>
      <c r="I119">
        <v>17</v>
      </c>
      <c r="J119">
        <v>5</v>
      </c>
      <c r="K119" t="s">
        <v>54</v>
      </c>
      <c r="L119">
        <v>1</v>
      </c>
      <c r="M119">
        <v>0.83411669998895299</v>
      </c>
      <c r="N119" t="s">
        <v>51</v>
      </c>
      <c r="O119">
        <v>5</v>
      </c>
      <c r="P119">
        <v>17</v>
      </c>
      <c r="Q119">
        <v>117</v>
      </c>
      <c r="R119">
        <v>18</v>
      </c>
      <c r="S119">
        <v>168.93403679999699</v>
      </c>
      <c r="X119">
        <v>168.92454060003999</v>
      </c>
      <c r="Y119">
        <v>168.93403679999699</v>
      </c>
      <c r="Z119">
        <v>169.43428780004601</v>
      </c>
      <c r="AA119">
        <v>169.43428780004601</v>
      </c>
      <c r="AB119">
        <v>169.43428780004601</v>
      </c>
      <c r="AC119">
        <v>170.27146730001499</v>
      </c>
      <c r="AD119" t="s">
        <v>54</v>
      </c>
      <c r="AE119">
        <v>1</v>
      </c>
      <c r="AF119">
        <v>0.83411669998895299</v>
      </c>
      <c r="AG119" t="s">
        <v>51</v>
      </c>
      <c r="AK119" t="s">
        <v>89</v>
      </c>
      <c r="AL119">
        <v>1</v>
      </c>
      <c r="AM119" t="s">
        <v>42</v>
      </c>
      <c r="AN119" t="s">
        <v>43</v>
      </c>
      <c r="AP119" t="s">
        <v>44</v>
      </c>
      <c r="AQ119">
        <v>59.778723070926397</v>
      </c>
      <c r="AR119" t="s">
        <v>45</v>
      </c>
    </row>
    <row r="120" spans="1:44" x14ac:dyDescent="0.3">
      <c r="A120" t="s">
        <v>66</v>
      </c>
      <c r="B120" t="s">
        <v>49</v>
      </c>
      <c r="C120" s="2" t="str">
        <f t="shared" si="1"/>
        <v>Neutral</v>
      </c>
      <c r="D120">
        <v>0.53272519999882195</v>
      </c>
      <c r="E120" t="s">
        <v>47</v>
      </c>
      <c r="F120" t="s">
        <v>61</v>
      </c>
      <c r="G120" t="s">
        <v>63</v>
      </c>
      <c r="H120">
        <v>118</v>
      </c>
      <c r="I120">
        <v>18</v>
      </c>
      <c r="J120">
        <v>5</v>
      </c>
      <c r="K120" t="s">
        <v>63</v>
      </c>
      <c r="L120">
        <v>1</v>
      </c>
      <c r="M120">
        <v>0.64601340005174201</v>
      </c>
      <c r="N120" t="s">
        <v>51</v>
      </c>
      <c r="O120">
        <v>5</v>
      </c>
      <c r="P120">
        <v>18</v>
      </c>
      <c r="Q120">
        <v>118</v>
      </c>
      <c r="R120">
        <v>12</v>
      </c>
      <c r="S120">
        <v>170.28417150000999</v>
      </c>
      <c r="X120">
        <v>170.27473910001501</v>
      </c>
      <c r="Y120">
        <v>170.28417150000999</v>
      </c>
      <c r="Z120">
        <v>170.78391850000401</v>
      </c>
      <c r="AA120">
        <v>170.78391850000401</v>
      </c>
      <c r="AB120">
        <v>170.78391850000401</v>
      </c>
      <c r="AC120">
        <v>171.44054770004001</v>
      </c>
      <c r="AD120" t="s">
        <v>63</v>
      </c>
      <c r="AE120">
        <v>1</v>
      </c>
      <c r="AF120">
        <v>0.64601340005174201</v>
      </c>
      <c r="AG120" t="s">
        <v>51</v>
      </c>
      <c r="AK120" t="s">
        <v>89</v>
      </c>
      <c r="AL120">
        <v>1</v>
      </c>
      <c r="AM120" t="s">
        <v>42</v>
      </c>
      <c r="AN120" t="s">
        <v>43</v>
      </c>
      <c r="AP120" t="s">
        <v>44</v>
      </c>
      <c r="AQ120">
        <v>59.778723070926397</v>
      </c>
      <c r="AR120" t="s">
        <v>45</v>
      </c>
    </row>
    <row r="121" spans="1:44" x14ac:dyDescent="0.3">
      <c r="A121" t="s">
        <v>46</v>
      </c>
      <c r="B121" t="s">
        <v>49</v>
      </c>
      <c r="C121" s="2" t="str">
        <f t="shared" si="1"/>
        <v>Neutral</v>
      </c>
      <c r="D121">
        <v>0.80168599996250101</v>
      </c>
      <c r="E121" t="s">
        <v>47</v>
      </c>
      <c r="F121" t="s">
        <v>48</v>
      </c>
      <c r="G121" t="s">
        <v>50</v>
      </c>
      <c r="H121">
        <v>119</v>
      </c>
      <c r="I121">
        <v>19</v>
      </c>
      <c r="J121">
        <v>5</v>
      </c>
      <c r="K121" t="s">
        <v>50</v>
      </c>
      <c r="L121">
        <v>1</v>
      </c>
      <c r="M121">
        <v>0.79142189997946799</v>
      </c>
      <c r="N121" t="s">
        <v>51</v>
      </c>
      <c r="O121">
        <v>5</v>
      </c>
      <c r="P121">
        <v>19</v>
      </c>
      <c r="Q121">
        <v>119</v>
      </c>
      <c r="R121">
        <v>19</v>
      </c>
      <c r="S121">
        <v>171.46733790001599</v>
      </c>
      <c r="X121">
        <v>171.44613870000401</v>
      </c>
      <c r="Y121">
        <v>171.46733790001599</v>
      </c>
      <c r="Z121">
        <v>171.95051059999901</v>
      </c>
      <c r="AA121">
        <v>171.95051059999901</v>
      </c>
      <c r="AB121">
        <v>171.95051059999901</v>
      </c>
      <c r="AC121">
        <v>172.75523860001701</v>
      </c>
      <c r="AD121" t="s">
        <v>50</v>
      </c>
      <c r="AE121">
        <v>1</v>
      </c>
      <c r="AF121">
        <v>0.79142189997946799</v>
      </c>
      <c r="AG121" t="s">
        <v>51</v>
      </c>
      <c r="AK121" t="s">
        <v>89</v>
      </c>
      <c r="AL121">
        <v>1</v>
      </c>
      <c r="AM121" t="s">
        <v>42</v>
      </c>
      <c r="AN121" t="s">
        <v>43</v>
      </c>
      <c r="AP121" t="s">
        <v>44</v>
      </c>
      <c r="AQ121">
        <v>59.778723070926397</v>
      </c>
      <c r="AR121" t="s">
        <v>45</v>
      </c>
    </row>
    <row r="122" spans="1:44" x14ac:dyDescent="0.3">
      <c r="A122" t="s">
        <v>74</v>
      </c>
      <c r="B122" t="s">
        <v>49</v>
      </c>
      <c r="C122" s="2" t="str">
        <f t="shared" si="1"/>
        <v>Neutral</v>
      </c>
      <c r="D122">
        <v>0.48007930000312599</v>
      </c>
      <c r="E122" t="s">
        <v>47</v>
      </c>
      <c r="F122" t="s">
        <v>48</v>
      </c>
      <c r="G122" t="s">
        <v>50</v>
      </c>
      <c r="H122">
        <v>120</v>
      </c>
      <c r="I122">
        <v>0</v>
      </c>
      <c r="J122">
        <v>6</v>
      </c>
      <c r="K122" t="s">
        <v>50</v>
      </c>
      <c r="L122">
        <v>1</v>
      </c>
      <c r="M122">
        <v>0.63352019997546405</v>
      </c>
      <c r="N122" t="s">
        <v>51</v>
      </c>
      <c r="O122">
        <v>6</v>
      </c>
      <c r="P122">
        <v>0</v>
      </c>
      <c r="Q122">
        <v>120</v>
      </c>
      <c r="R122">
        <v>11</v>
      </c>
      <c r="S122">
        <v>172.76731630001399</v>
      </c>
      <c r="X122">
        <v>172.75848100002599</v>
      </c>
      <c r="Y122">
        <v>172.76731630001399</v>
      </c>
      <c r="Z122">
        <v>173.26771879999399</v>
      </c>
      <c r="AA122">
        <v>173.26771879999399</v>
      </c>
      <c r="AB122">
        <v>173.26771879999399</v>
      </c>
      <c r="AC122">
        <v>173.90492510003901</v>
      </c>
      <c r="AD122" t="s">
        <v>50</v>
      </c>
      <c r="AE122">
        <v>1</v>
      </c>
      <c r="AF122">
        <v>0.63352019997546405</v>
      </c>
      <c r="AG122" t="s">
        <v>51</v>
      </c>
      <c r="AK122" t="s">
        <v>89</v>
      </c>
      <c r="AL122">
        <v>1</v>
      </c>
      <c r="AM122" t="s">
        <v>42</v>
      </c>
      <c r="AN122" t="s">
        <v>43</v>
      </c>
      <c r="AP122" t="s">
        <v>44</v>
      </c>
      <c r="AQ122">
        <v>59.778723070926397</v>
      </c>
      <c r="AR122" t="s">
        <v>45</v>
      </c>
    </row>
    <row r="123" spans="1:44" x14ac:dyDescent="0.3">
      <c r="A123" t="s">
        <v>60</v>
      </c>
      <c r="B123" t="s">
        <v>62</v>
      </c>
      <c r="C123" s="2" t="str">
        <f t="shared" si="1"/>
        <v>Emotional-C</v>
      </c>
      <c r="D123">
        <v>0.72655669995583505</v>
      </c>
      <c r="E123" t="s">
        <v>59</v>
      </c>
      <c r="F123" t="s">
        <v>61</v>
      </c>
      <c r="G123" t="s">
        <v>63</v>
      </c>
      <c r="H123">
        <v>121</v>
      </c>
      <c r="I123">
        <v>1</v>
      </c>
      <c r="J123">
        <v>6</v>
      </c>
      <c r="K123" t="s">
        <v>63</v>
      </c>
      <c r="L123">
        <v>1</v>
      </c>
      <c r="M123">
        <v>0.98542450001696102</v>
      </c>
      <c r="N123" t="s">
        <v>51</v>
      </c>
      <c r="O123">
        <v>6</v>
      </c>
      <c r="P123">
        <v>1</v>
      </c>
      <c r="Q123">
        <v>121</v>
      </c>
      <c r="R123">
        <v>0</v>
      </c>
      <c r="S123">
        <v>173.917603600013</v>
      </c>
      <c r="X123">
        <v>173.908365500043</v>
      </c>
      <c r="Y123">
        <v>173.917603600013</v>
      </c>
      <c r="Z123">
        <v>174.417095100041</v>
      </c>
      <c r="AA123">
        <v>174.417095100041</v>
      </c>
      <c r="AB123">
        <v>174.417095100041</v>
      </c>
      <c r="AC123">
        <v>175.40483410004501</v>
      </c>
      <c r="AD123" t="s">
        <v>63</v>
      </c>
      <c r="AE123">
        <v>1</v>
      </c>
      <c r="AF123">
        <v>0.98542450001696102</v>
      </c>
      <c r="AG123" t="s">
        <v>51</v>
      </c>
      <c r="AK123" t="s">
        <v>89</v>
      </c>
      <c r="AL123">
        <v>1</v>
      </c>
      <c r="AM123" t="s">
        <v>42</v>
      </c>
      <c r="AN123" t="s">
        <v>43</v>
      </c>
      <c r="AP123" t="s">
        <v>44</v>
      </c>
      <c r="AQ123">
        <v>59.778723070926397</v>
      </c>
      <c r="AR123" t="s">
        <v>45</v>
      </c>
    </row>
    <row r="124" spans="1:44" x14ac:dyDescent="0.3">
      <c r="A124" t="s">
        <v>46</v>
      </c>
      <c r="B124" t="s">
        <v>49</v>
      </c>
      <c r="C124" s="2" t="str">
        <f t="shared" si="1"/>
        <v>Neutral</v>
      </c>
      <c r="D124">
        <v>2.3770707999938101</v>
      </c>
      <c r="E124" t="s">
        <v>47</v>
      </c>
      <c r="F124" t="s">
        <v>48</v>
      </c>
      <c r="G124" t="s">
        <v>50</v>
      </c>
      <c r="H124">
        <v>122</v>
      </c>
      <c r="I124">
        <v>2</v>
      </c>
      <c r="J124">
        <v>6</v>
      </c>
      <c r="K124" t="s">
        <v>50</v>
      </c>
      <c r="L124">
        <v>1</v>
      </c>
      <c r="M124">
        <v>0.89361460000509396</v>
      </c>
      <c r="N124" t="s">
        <v>51</v>
      </c>
      <c r="O124">
        <v>6</v>
      </c>
      <c r="P124">
        <v>2</v>
      </c>
      <c r="Q124">
        <v>122</v>
      </c>
      <c r="R124">
        <v>19</v>
      </c>
      <c r="S124">
        <v>175.418034400034</v>
      </c>
      <c r="X124">
        <v>175.40758920001099</v>
      </c>
      <c r="Y124">
        <v>175.418034400034</v>
      </c>
      <c r="Z124">
        <v>175.916914700006</v>
      </c>
      <c r="AA124">
        <v>175.916914700006</v>
      </c>
      <c r="AB124">
        <v>175.916914700006</v>
      </c>
      <c r="AC124">
        <v>176.82099350000499</v>
      </c>
      <c r="AD124" t="s">
        <v>50</v>
      </c>
      <c r="AE124">
        <v>1</v>
      </c>
      <c r="AF124">
        <v>0.89361460000509396</v>
      </c>
      <c r="AG124" t="s">
        <v>51</v>
      </c>
      <c r="AK124" t="s">
        <v>89</v>
      </c>
      <c r="AL124">
        <v>1</v>
      </c>
      <c r="AM124" t="s">
        <v>42</v>
      </c>
      <c r="AN124" t="s">
        <v>43</v>
      </c>
      <c r="AP124" t="s">
        <v>44</v>
      </c>
      <c r="AQ124">
        <v>59.778723070926397</v>
      </c>
      <c r="AR124" t="s">
        <v>45</v>
      </c>
    </row>
    <row r="125" spans="1:44" x14ac:dyDescent="0.3">
      <c r="A125" t="s">
        <v>58</v>
      </c>
      <c r="B125" t="s">
        <v>49</v>
      </c>
      <c r="C125" s="2" t="str">
        <f t="shared" si="1"/>
        <v>Emotional-I</v>
      </c>
      <c r="D125">
        <v>3.0393885000376</v>
      </c>
      <c r="E125" t="s">
        <v>59</v>
      </c>
      <c r="F125" t="s">
        <v>48</v>
      </c>
      <c r="G125" t="s">
        <v>50</v>
      </c>
      <c r="H125">
        <v>123</v>
      </c>
      <c r="I125">
        <v>3</v>
      </c>
      <c r="J125">
        <v>6</v>
      </c>
      <c r="K125" t="s">
        <v>50</v>
      </c>
      <c r="L125">
        <v>1</v>
      </c>
      <c r="M125">
        <v>0.53272519999882195</v>
      </c>
      <c r="N125" t="s">
        <v>51</v>
      </c>
      <c r="O125">
        <v>6</v>
      </c>
      <c r="P125">
        <v>3</v>
      </c>
      <c r="Q125">
        <v>123</v>
      </c>
      <c r="R125">
        <v>7</v>
      </c>
      <c r="S125">
        <v>176.83396479999601</v>
      </c>
      <c r="X125">
        <v>176.823917100031</v>
      </c>
      <c r="Y125">
        <v>176.83396479999601</v>
      </c>
      <c r="Z125">
        <v>177.333663900033</v>
      </c>
      <c r="AA125">
        <v>177.333663900033</v>
      </c>
      <c r="AB125">
        <v>177.333663900033</v>
      </c>
      <c r="AC125">
        <v>177.87089429999401</v>
      </c>
      <c r="AD125" t="s">
        <v>50</v>
      </c>
      <c r="AE125">
        <v>1</v>
      </c>
      <c r="AF125">
        <v>0.53272519999882195</v>
      </c>
      <c r="AG125" t="s">
        <v>51</v>
      </c>
      <c r="AK125" t="s">
        <v>89</v>
      </c>
      <c r="AL125">
        <v>1</v>
      </c>
      <c r="AM125" t="s">
        <v>42</v>
      </c>
      <c r="AN125" t="s">
        <v>43</v>
      </c>
      <c r="AP125" t="s">
        <v>44</v>
      </c>
      <c r="AQ125">
        <v>59.778723070926397</v>
      </c>
      <c r="AR125" t="s">
        <v>45</v>
      </c>
    </row>
    <row r="126" spans="1:44" x14ac:dyDescent="0.3">
      <c r="A126" t="s">
        <v>73</v>
      </c>
      <c r="B126" t="s">
        <v>49</v>
      </c>
      <c r="C126" s="2" t="str">
        <f t="shared" si="1"/>
        <v>Emotional-I</v>
      </c>
      <c r="D126">
        <v>0.71556460001738698</v>
      </c>
      <c r="E126" t="s">
        <v>59</v>
      </c>
      <c r="F126" t="s">
        <v>56</v>
      </c>
      <c r="G126" t="s">
        <v>57</v>
      </c>
      <c r="H126">
        <v>124</v>
      </c>
      <c r="I126">
        <v>4</v>
      </c>
      <c r="J126">
        <v>6</v>
      </c>
      <c r="K126" t="s">
        <v>57</v>
      </c>
      <c r="L126">
        <v>1</v>
      </c>
      <c r="M126">
        <v>0.80168599996250101</v>
      </c>
      <c r="N126" t="s">
        <v>51</v>
      </c>
      <c r="O126">
        <v>6</v>
      </c>
      <c r="P126">
        <v>4</v>
      </c>
      <c r="Q126">
        <v>124</v>
      </c>
      <c r="R126">
        <v>1</v>
      </c>
      <c r="S126">
        <v>177.88416740001401</v>
      </c>
      <c r="X126">
        <v>177.87404260004399</v>
      </c>
      <c r="Y126">
        <v>177.88416740001401</v>
      </c>
      <c r="Z126">
        <v>178.383925400034</v>
      </c>
      <c r="AA126">
        <v>178.383925400034</v>
      </c>
      <c r="AB126">
        <v>178.383925400034</v>
      </c>
      <c r="AC126">
        <v>179.187555900018</v>
      </c>
      <c r="AD126" t="s">
        <v>57</v>
      </c>
      <c r="AE126">
        <v>1</v>
      </c>
      <c r="AF126">
        <v>0.80168599996250101</v>
      </c>
      <c r="AG126" t="s">
        <v>51</v>
      </c>
      <c r="AK126" t="s">
        <v>89</v>
      </c>
      <c r="AL126">
        <v>1</v>
      </c>
      <c r="AM126" t="s">
        <v>42</v>
      </c>
      <c r="AN126" t="s">
        <v>43</v>
      </c>
      <c r="AP126" t="s">
        <v>44</v>
      </c>
      <c r="AQ126">
        <v>59.778723070926397</v>
      </c>
      <c r="AR126" t="s">
        <v>45</v>
      </c>
    </row>
    <row r="127" spans="1:44" x14ac:dyDescent="0.3">
      <c r="A127" t="s">
        <v>78</v>
      </c>
      <c r="B127" t="s">
        <v>49</v>
      </c>
      <c r="C127" s="2" t="str">
        <f t="shared" si="1"/>
        <v>Neutral</v>
      </c>
      <c r="D127">
        <v>0.727942399971652</v>
      </c>
      <c r="E127" t="s">
        <v>47</v>
      </c>
      <c r="F127" t="s">
        <v>56</v>
      </c>
      <c r="G127" t="s">
        <v>57</v>
      </c>
      <c r="H127">
        <v>125</v>
      </c>
      <c r="I127">
        <v>5</v>
      </c>
      <c r="J127">
        <v>6</v>
      </c>
      <c r="K127" t="s">
        <v>57</v>
      </c>
      <c r="L127">
        <v>1</v>
      </c>
      <c r="M127">
        <v>0.48007930000312599</v>
      </c>
      <c r="N127" t="s">
        <v>51</v>
      </c>
      <c r="O127">
        <v>6</v>
      </c>
      <c r="P127">
        <v>5</v>
      </c>
      <c r="Q127">
        <v>125</v>
      </c>
      <c r="R127">
        <v>17</v>
      </c>
      <c r="S127">
        <v>179.20049210003299</v>
      </c>
      <c r="X127">
        <v>179.18998389999601</v>
      </c>
      <c r="Y127">
        <v>179.20049210003299</v>
      </c>
      <c r="Z127">
        <v>179.70030349999399</v>
      </c>
      <c r="AA127">
        <v>179.70030349999399</v>
      </c>
      <c r="AB127">
        <v>179.70030349999399</v>
      </c>
      <c r="AC127">
        <v>180.18897170003001</v>
      </c>
      <c r="AD127" t="s">
        <v>57</v>
      </c>
      <c r="AE127">
        <v>1</v>
      </c>
      <c r="AF127">
        <v>0.48007930000312599</v>
      </c>
      <c r="AG127" t="s">
        <v>51</v>
      </c>
      <c r="AK127" t="s">
        <v>89</v>
      </c>
      <c r="AL127">
        <v>1</v>
      </c>
      <c r="AM127" t="s">
        <v>42</v>
      </c>
      <c r="AN127" t="s">
        <v>43</v>
      </c>
      <c r="AP127" t="s">
        <v>44</v>
      </c>
      <c r="AQ127">
        <v>59.778723070926397</v>
      </c>
      <c r="AR127" t="s">
        <v>45</v>
      </c>
    </row>
    <row r="128" spans="1:44" hidden="1" x14ac:dyDescent="0.3">
      <c r="A128" t="s">
        <v>68</v>
      </c>
      <c r="B128" t="s">
        <v>49</v>
      </c>
      <c r="C128" s="2" t="str">
        <f t="shared" si="1"/>
        <v>Emotional-I</v>
      </c>
      <c r="D128">
        <v>0.38544420001562602</v>
      </c>
      <c r="E128" t="s">
        <v>59</v>
      </c>
      <c r="F128" t="s">
        <v>53</v>
      </c>
      <c r="G128" t="s">
        <v>54</v>
      </c>
      <c r="H128">
        <v>126</v>
      </c>
      <c r="I128">
        <v>6</v>
      </c>
      <c r="J128">
        <v>6</v>
      </c>
      <c r="K128" t="s">
        <v>63</v>
      </c>
      <c r="L128">
        <v>0</v>
      </c>
      <c r="M128">
        <v>0.72498229995835495</v>
      </c>
      <c r="N128" t="s">
        <v>51</v>
      </c>
      <c r="O128">
        <v>6</v>
      </c>
      <c r="P128">
        <v>6</v>
      </c>
      <c r="Q128">
        <v>126</v>
      </c>
      <c r="R128">
        <v>6</v>
      </c>
      <c r="S128">
        <v>180.20071830000899</v>
      </c>
      <c r="X128">
        <v>180.192884400021</v>
      </c>
      <c r="Y128">
        <v>180.20071830000899</v>
      </c>
      <c r="Z128">
        <v>180.70084170001701</v>
      </c>
      <c r="AA128">
        <v>180.70084170001701</v>
      </c>
      <c r="AB128">
        <v>180.70084170001701</v>
      </c>
      <c r="AC128">
        <v>181.437537399993</v>
      </c>
      <c r="AD128" t="s">
        <v>63</v>
      </c>
      <c r="AE128">
        <v>0</v>
      </c>
      <c r="AF128">
        <v>0.72498229995835495</v>
      </c>
      <c r="AG128" t="s">
        <v>51</v>
      </c>
      <c r="AK128" t="s">
        <v>89</v>
      </c>
      <c r="AL128">
        <v>1</v>
      </c>
      <c r="AM128" t="s">
        <v>42</v>
      </c>
      <c r="AN128" t="s">
        <v>43</v>
      </c>
      <c r="AP128" t="s">
        <v>44</v>
      </c>
      <c r="AQ128">
        <v>59.778723070926397</v>
      </c>
      <c r="AR128" t="s">
        <v>45</v>
      </c>
    </row>
    <row r="129" spans="1:44" x14ac:dyDescent="0.3">
      <c r="A129" t="s">
        <v>70</v>
      </c>
      <c r="B129" t="s">
        <v>49</v>
      </c>
      <c r="C129" s="2" t="str">
        <f t="shared" si="1"/>
        <v>Emotional-I</v>
      </c>
      <c r="D129">
        <v>0.52516269998159204</v>
      </c>
      <c r="E129" t="s">
        <v>59</v>
      </c>
      <c r="F129" t="s">
        <v>53</v>
      </c>
      <c r="G129" t="s">
        <v>54</v>
      </c>
      <c r="H129">
        <v>127</v>
      </c>
      <c r="I129">
        <v>7</v>
      </c>
      <c r="J129">
        <v>6</v>
      </c>
      <c r="K129" t="s">
        <v>54</v>
      </c>
      <c r="L129">
        <v>1</v>
      </c>
      <c r="M129">
        <v>0.72655669995583505</v>
      </c>
      <c r="N129" t="s">
        <v>51</v>
      </c>
      <c r="O129">
        <v>6</v>
      </c>
      <c r="P129">
        <v>7</v>
      </c>
      <c r="Q129">
        <v>127</v>
      </c>
      <c r="R129">
        <v>2</v>
      </c>
      <c r="S129">
        <v>181.45048759999901</v>
      </c>
      <c r="X129">
        <v>181.44016220001501</v>
      </c>
      <c r="Y129">
        <v>181.45048759999901</v>
      </c>
      <c r="Z129">
        <v>181.950569700042</v>
      </c>
      <c r="AA129">
        <v>181.950569700042</v>
      </c>
      <c r="AB129">
        <v>181.950569700042</v>
      </c>
      <c r="AC129">
        <v>182.68728420004399</v>
      </c>
      <c r="AD129" t="s">
        <v>54</v>
      </c>
      <c r="AE129">
        <v>1</v>
      </c>
      <c r="AF129">
        <v>0.72655669995583505</v>
      </c>
      <c r="AG129" t="s">
        <v>51</v>
      </c>
      <c r="AK129" t="s">
        <v>89</v>
      </c>
      <c r="AL129">
        <v>1</v>
      </c>
      <c r="AM129" t="s">
        <v>42</v>
      </c>
      <c r="AN129" t="s">
        <v>43</v>
      </c>
      <c r="AP129" t="s">
        <v>44</v>
      </c>
      <c r="AQ129">
        <v>59.778723070926397</v>
      </c>
      <c r="AR129" t="s">
        <v>45</v>
      </c>
    </row>
    <row r="130" spans="1:44" x14ac:dyDescent="0.3">
      <c r="A130" t="s">
        <v>76</v>
      </c>
      <c r="B130" t="s">
        <v>49</v>
      </c>
      <c r="C130" s="2" t="str">
        <f t="shared" ref="C130:C193" si="2">IF(E130="neutral","Neutral",
IF(AND(E130="emotional",B130="C"),"Emotional-C",
IF(AND(E130="emotional",B130="I"),"Emotional-I","")))</f>
        <v>Emotional-I</v>
      </c>
      <c r="D130">
        <v>1.69538559997454</v>
      </c>
      <c r="E130" t="s">
        <v>59</v>
      </c>
      <c r="F130" t="s">
        <v>48</v>
      </c>
      <c r="G130" t="s">
        <v>50</v>
      </c>
      <c r="H130">
        <v>128</v>
      </c>
      <c r="I130">
        <v>8</v>
      </c>
      <c r="J130">
        <v>6</v>
      </c>
      <c r="K130" t="s">
        <v>50</v>
      </c>
      <c r="L130">
        <v>1</v>
      </c>
      <c r="M130">
        <v>2.3770707999938101</v>
      </c>
      <c r="N130" t="s">
        <v>51</v>
      </c>
      <c r="O130">
        <v>6</v>
      </c>
      <c r="P130">
        <v>8</v>
      </c>
      <c r="Q130">
        <v>128</v>
      </c>
      <c r="R130">
        <v>3</v>
      </c>
      <c r="S130">
        <v>182.70041440002299</v>
      </c>
      <c r="X130">
        <v>182.69015330000499</v>
      </c>
      <c r="Y130">
        <v>182.70041440002299</v>
      </c>
      <c r="Z130">
        <v>183.20057450002</v>
      </c>
      <c r="AA130">
        <v>183.20057450002</v>
      </c>
      <c r="AB130">
        <v>183.20057450002</v>
      </c>
      <c r="AC130">
        <v>185.58693730004501</v>
      </c>
      <c r="AD130" t="s">
        <v>50</v>
      </c>
      <c r="AE130">
        <v>1</v>
      </c>
      <c r="AF130">
        <v>2.3770707999938101</v>
      </c>
      <c r="AG130" t="s">
        <v>51</v>
      </c>
      <c r="AK130" t="s">
        <v>89</v>
      </c>
      <c r="AL130">
        <v>1</v>
      </c>
      <c r="AM130" t="s">
        <v>42</v>
      </c>
      <c r="AN130" t="s">
        <v>43</v>
      </c>
      <c r="AP130" t="s">
        <v>44</v>
      </c>
      <c r="AQ130">
        <v>59.778723070926397</v>
      </c>
      <c r="AR130" t="s">
        <v>45</v>
      </c>
    </row>
    <row r="131" spans="1:44" x14ac:dyDescent="0.3">
      <c r="A131" t="s">
        <v>66</v>
      </c>
      <c r="B131" t="s">
        <v>49</v>
      </c>
      <c r="C131" s="2" t="str">
        <f t="shared" si="2"/>
        <v>Neutral</v>
      </c>
      <c r="D131">
        <v>0.54264460003469095</v>
      </c>
      <c r="E131" t="s">
        <v>47</v>
      </c>
      <c r="F131" t="s">
        <v>61</v>
      </c>
      <c r="G131" t="s">
        <v>63</v>
      </c>
      <c r="H131">
        <v>129</v>
      </c>
      <c r="I131">
        <v>9</v>
      </c>
      <c r="J131">
        <v>6</v>
      </c>
      <c r="K131" t="s">
        <v>63</v>
      </c>
      <c r="L131">
        <v>1</v>
      </c>
      <c r="M131">
        <v>3.0393885000376</v>
      </c>
      <c r="N131" t="s">
        <v>51</v>
      </c>
      <c r="O131">
        <v>6</v>
      </c>
      <c r="P131">
        <v>9</v>
      </c>
      <c r="Q131">
        <v>129</v>
      </c>
      <c r="R131">
        <v>12</v>
      </c>
      <c r="S131">
        <v>185.60024460003399</v>
      </c>
      <c r="X131">
        <v>185.589961900026</v>
      </c>
      <c r="Y131">
        <v>185.60024460003399</v>
      </c>
      <c r="Z131">
        <v>186.10042000003099</v>
      </c>
      <c r="AA131">
        <v>186.10042000003099</v>
      </c>
      <c r="AB131">
        <v>186.10042000003099</v>
      </c>
      <c r="AC131">
        <v>189.15415560000099</v>
      </c>
      <c r="AD131" t="s">
        <v>63</v>
      </c>
      <c r="AE131">
        <v>1</v>
      </c>
      <c r="AF131">
        <v>3.0393885000376</v>
      </c>
      <c r="AG131" t="s">
        <v>51</v>
      </c>
      <c r="AK131" t="s">
        <v>89</v>
      </c>
      <c r="AL131">
        <v>1</v>
      </c>
      <c r="AM131" t="s">
        <v>42</v>
      </c>
      <c r="AN131" t="s">
        <v>43</v>
      </c>
      <c r="AP131" t="s">
        <v>44</v>
      </c>
      <c r="AQ131">
        <v>59.778723070926397</v>
      </c>
      <c r="AR131" t="s">
        <v>45</v>
      </c>
    </row>
    <row r="132" spans="1:44" x14ac:dyDescent="0.3">
      <c r="A132" t="s">
        <v>69</v>
      </c>
      <c r="B132" t="s">
        <v>49</v>
      </c>
      <c r="C132" s="2" t="str">
        <f t="shared" si="2"/>
        <v>Emotional-I</v>
      </c>
      <c r="D132">
        <v>0.59062159998575203</v>
      </c>
      <c r="E132" t="s">
        <v>59</v>
      </c>
      <c r="F132" t="s">
        <v>56</v>
      </c>
      <c r="G132" t="s">
        <v>57</v>
      </c>
      <c r="H132">
        <v>130</v>
      </c>
      <c r="I132">
        <v>10</v>
      </c>
      <c r="J132">
        <v>6</v>
      </c>
      <c r="K132" t="s">
        <v>57</v>
      </c>
      <c r="L132">
        <v>1</v>
      </c>
      <c r="M132">
        <v>0.71556460001738698</v>
      </c>
      <c r="N132" t="s">
        <v>51</v>
      </c>
      <c r="O132">
        <v>6</v>
      </c>
      <c r="P132">
        <v>10</v>
      </c>
      <c r="Q132">
        <v>130</v>
      </c>
      <c r="R132">
        <v>5</v>
      </c>
      <c r="S132">
        <v>189.16771589999499</v>
      </c>
      <c r="X132">
        <v>189.157059100049</v>
      </c>
      <c r="Y132">
        <v>189.16771589999499</v>
      </c>
      <c r="Z132">
        <v>189.66694870003201</v>
      </c>
      <c r="AA132">
        <v>189.66694870003201</v>
      </c>
      <c r="AB132">
        <v>189.66694870003201</v>
      </c>
      <c r="AC132">
        <v>190.38781410001599</v>
      </c>
      <c r="AD132" t="s">
        <v>57</v>
      </c>
      <c r="AE132">
        <v>1</v>
      </c>
      <c r="AF132">
        <v>0.71556460001738698</v>
      </c>
      <c r="AG132" t="s">
        <v>51</v>
      </c>
      <c r="AK132" t="s">
        <v>89</v>
      </c>
      <c r="AL132">
        <v>1</v>
      </c>
      <c r="AM132" t="s">
        <v>42</v>
      </c>
      <c r="AN132" t="s">
        <v>43</v>
      </c>
      <c r="AP132" t="s">
        <v>44</v>
      </c>
      <c r="AQ132">
        <v>59.778723070926397</v>
      </c>
      <c r="AR132" t="s">
        <v>45</v>
      </c>
    </row>
    <row r="133" spans="1:44" x14ac:dyDescent="0.3">
      <c r="A133" t="s">
        <v>55</v>
      </c>
      <c r="B133" t="s">
        <v>49</v>
      </c>
      <c r="C133" s="2" t="str">
        <f t="shared" si="2"/>
        <v>Neutral</v>
      </c>
      <c r="D133">
        <v>0.43310649995692002</v>
      </c>
      <c r="E133" t="s">
        <v>47</v>
      </c>
      <c r="F133" t="s">
        <v>56</v>
      </c>
      <c r="G133" t="s">
        <v>57</v>
      </c>
      <c r="H133">
        <v>131</v>
      </c>
      <c r="I133">
        <v>11</v>
      </c>
      <c r="J133">
        <v>6</v>
      </c>
      <c r="K133" t="s">
        <v>57</v>
      </c>
      <c r="L133">
        <v>1</v>
      </c>
      <c r="M133">
        <v>0.727942399971652</v>
      </c>
      <c r="N133" t="s">
        <v>51</v>
      </c>
      <c r="O133">
        <v>6</v>
      </c>
      <c r="P133">
        <v>11</v>
      </c>
      <c r="Q133">
        <v>131</v>
      </c>
      <c r="R133">
        <v>13</v>
      </c>
      <c r="S133">
        <v>190.40010420000101</v>
      </c>
      <c r="X133">
        <v>190.39044700004101</v>
      </c>
      <c r="Y133">
        <v>190.40010420000101</v>
      </c>
      <c r="Z133">
        <v>190.900114800024</v>
      </c>
      <c r="AA133">
        <v>190.900114800024</v>
      </c>
      <c r="AB133">
        <v>190.900114800024</v>
      </c>
      <c r="AC133">
        <v>191.63676080002901</v>
      </c>
      <c r="AD133" t="s">
        <v>57</v>
      </c>
      <c r="AE133">
        <v>1</v>
      </c>
      <c r="AF133">
        <v>0.727942399971652</v>
      </c>
      <c r="AG133" t="s">
        <v>51</v>
      </c>
      <c r="AK133" t="s">
        <v>89</v>
      </c>
      <c r="AL133">
        <v>1</v>
      </c>
      <c r="AM133" t="s">
        <v>42</v>
      </c>
      <c r="AN133" t="s">
        <v>43</v>
      </c>
      <c r="AP133" t="s">
        <v>44</v>
      </c>
      <c r="AQ133">
        <v>59.778723070926397</v>
      </c>
      <c r="AR133" t="s">
        <v>45</v>
      </c>
    </row>
    <row r="134" spans="1:44" x14ac:dyDescent="0.3">
      <c r="A134" t="s">
        <v>65</v>
      </c>
      <c r="B134" t="s">
        <v>49</v>
      </c>
      <c r="C134" s="2" t="str">
        <f t="shared" si="2"/>
        <v>Emotional-I</v>
      </c>
      <c r="D134">
        <v>0.58311539998976503</v>
      </c>
      <c r="E134" t="s">
        <v>59</v>
      </c>
      <c r="F134" t="s">
        <v>56</v>
      </c>
      <c r="G134" t="s">
        <v>57</v>
      </c>
      <c r="H134">
        <v>132</v>
      </c>
      <c r="I134">
        <v>12</v>
      </c>
      <c r="J134">
        <v>6</v>
      </c>
      <c r="K134" t="s">
        <v>57</v>
      </c>
      <c r="L134">
        <v>1</v>
      </c>
      <c r="M134">
        <v>0.38544420001562602</v>
      </c>
      <c r="N134" t="s">
        <v>51</v>
      </c>
      <c r="O134">
        <v>6</v>
      </c>
      <c r="P134">
        <v>12</v>
      </c>
      <c r="Q134">
        <v>132</v>
      </c>
      <c r="R134">
        <v>9</v>
      </c>
      <c r="S134">
        <v>191.64993080002</v>
      </c>
      <c r="X134">
        <v>191.63944370002699</v>
      </c>
      <c r="Y134">
        <v>191.64993080002</v>
      </c>
      <c r="Z134">
        <v>192.149879300035</v>
      </c>
      <c r="AA134">
        <v>192.149879300035</v>
      </c>
      <c r="AB134">
        <v>192.149879300035</v>
      </c>
      <c r="AC134">
        <v>192.536932000017</v>
      </c>
      <c r="AD134" t="s">
        <v>57</v>
      </c>
      <c r="AE134">
        <v>1</v>
      </c>
      <c r="AF134">
        <v>0.38544420001562602</v>
      </c>
      <c r="AG134" t="s">
        <v>51</v>
      </c>
      <c r="AK134" t="s">
        <v>89</v>
      </c>
      <c r="AL134">
        <v>1</v>
      </c>
      <c r="AM134" t="s">
        <v>42</v>
      </c>
      <c r="AN134" t="s">
        <v>43</v>
      </c>
      <c r="AP134" t="s">
        <v>44</v>
      </c>
      <c r="AQ134">
        <v>59.778723070926397</v>
      </c>
      <c r="AR134" t="s">
        <v>45</v>
      </c>
    </row>
    <row r="135" spans="1:44" x14ac:dyDescent="0.3">
      <c r="A135" t="s">
        <v>77</v>
      </c>
      <c r="B135" t="s">
        <v>62</v>
      </c>
      <c r="C135" s="2" t="str">
        <f t="shared" si="2"/>
        <v>Emotional-C</v>
      </c>
      <c r="D135">
        <v>0.59185959998285398</v>
      </c>
      <c r="E135" t="s">
        <v>59</v>
      </c>
      <c r="F135" t="s">
        <v>61</v>
      </c>
      <c r="G135" t="s">
        <v>63</v>
      </c>
      <c r="H135">
        <v>133</v>
      </c>
      <c r="I135">
        <v>13</v>
      </c>
      <c r="J135">
        <v>6</v>
      </c>
      <c r="K135" t="s">
        <v>63</v>
      </c>
      <c r="L135">
        <v>1</v>
      </c>
      <c r="M135">
        <v>0.52516269998159204</v>
      </c>
      <c r="N135" t="s">
        <v>51</v>
      </c>
      <c r="O135">
        <v>6</v>
      </c>
      <c r="P135">
        <v>13</v>
      </c>
      <c r="Q135">
        <v>133</v>
      </c>
      <c r="R135">
        <v>4</v>
      </c>
      <c r="S135">
        <v>192.550215099996</v>
      </c>
      <c r="X135">
        <v>192.53971660003299</v>
      </c>
      <c r="Y135">
        <v>192.550215099996</v>
      </c>
      <c r="Z135">
        <v>193.05023960000801</v>
      </c>
      <c r="AA135">
        <v>193.05023960000801</v>
      </c>
      <c r="AB135">
        <v>193.05023960000801</v>
      </c>
      <c r="AC135">
        <v>193.58650610002201</v>
      </c>
      <c r="AD135" t="s">
        <v>63</v>
      </c>
      <c r="AE135">
        <v>1</v>
      </c>
      <c r="AF135">
        <v>0.52516269998159204</v>
      </c>
      <c r="AG135" t="s">
        <v>51</v>
      </c>
      <c r="AK135" t="s">
        <v>89</v>
      </c>
      <c r="AL135">
        <v>1</v>
      </c>
      <c r="AM135" t="s">
        <v>42</v>
      </c>
      <c r="AN135" t="s">
        <v>43</v>
      </c>
      <c r="AP135" t="s">
        <v>44</v>
      </c>
      <c r="AQ135">
        <v>59.778723070926397</v>
      </c>
      <c r="AR135" t="s">
        <v>45</v>
      </c>
    </row>
    <row r="136" spans="1:44" x14ac:dyDescent="0.3">
      <c r="A136" t="s">
        <v>64</v>
      </c>
      <c r="B136" t="s">
        <v>49</v>
      </c>
      <c r="C136" s="2" t="str">
        <f t="shared" si="2"/>
        <v>Neutral</v>
      </c>
      <c r="D136">
        <v>0.459200799989048</v>
      </c>
      <c r="E136" t="s">
        <v>47</v>
      </c>
      <c r="F136" t="s">
        <v>53</v>
      </c>
      <c r="G136" t="s">
        <v>54</v>
      </c>
      <c r="H136">
        <v>134</v>
      </c>
      <c r="I136">
        <v>14</v>
      </c>
      <c r="J136">
        <v>6</v>
      </c>
      <c r="K136" t="s">
        <v>54</v>
      </c>
      <c r="L136">
        <v>1</v>
      </c>
      <c r="M136">
        <v>1.69538559997454</v>
      </c>
      <c r="N136" t="s">
        <v>51</v>
      </c>
      <c r="O136">
        <v>6</v>
      </c>
      <c r="P136">
        <v>14</v>
      </c>
      <c r="Q136">
        <v>134</v>
      </c>
      <c r="R136">
        <v>18</v>
      </c>
      <c r="S136">
        <v>193.59969980001901</v>
      </c>
      <c r="X136">
        <v>193.58942400000501</v>
      </c>
      <c r="Y136">
        <v>193.59969980001901</v>
      </c>
      <c r="Z136">
        <v>194.100248700007</v>
      </c>
      <c r="AA136">
        <v>194.100248700007</v>
      </c>
      <c r="AB136">
        <v>194.100248700007</v>
      </c>
      <c r="AC136">
        <v>195.804339500027</v>
      </c>
      <c r="AD136" t="s">
        <v>54</v>
      </c>
      <c r="AE136">
        <v>1</v>
      </c>
      <c r="AF136">
        <v>1.69538559997454</v>
      </c>
      <c r="AG136" t="s">
        <v>51</v>
      </c>
      <c r="AK136" t="s">
        <v>89</v>
      </c>
      <c r="AL136">
        <v>1</v>
      </c>
      <c r="AM136" t="s">
        <v>42</v>
      </c>
      <c r="AN136" t="s">
        <v>43</v>
      </c>
      <c r="AP136" t="s">
        <v>44</v>
      </c>
      <c r="AQ136">
        <v>59.778723070926397</v>
      </c>
      <c r="AR136" t="s">
        <v>45</v>
      </c>
    </row>
    <row r="137" spans="1:44" x14ac:dyDescent="0.3">
      <c r="A137" t="s">
        <v>67</v>
      </c>
      <c r="B137" t="s">
        <v>49</v>
      </c>
      <c r="C137" s="2" t="str">
        <f t="shared" si="2"/>
        <v>Neutral</v>
      </c>
      <c r="D137">
        <v>0.71242890000576098</v>
      </c>
      <c r="E137" t="s">
        <v>47</v>
      </c>
      <c r="F137" t="s">
        <v>53</v>
      </c>
      <c r="G137" t="s">
        <v>54</v>
      </c>
      <c r="H137">
        <v>135</v>
      </c>
      <c r="I137">
        <v>15</v>
      </c>
      <c r="J137">
        <v>6</v>
      </c>
      <c r="K137" t="s">
        <v>54</v>
      </c>
      <c r="L137">
        <v>1</v>
      </c>
      <c r="M137">
        <v>0.54264460003469095</v>
      </c>
      <c r="N137" t="s">
        <v>51</v>
      </c>
      <c r="O137">
        <v>6</v>
      </c>
      <c r="P137">
        <v>15</v>
      </c>
      <c r="Q137">
        <v>135</v>
      </c>
      <c r="R137">
        <v>10</v>
      </c>
      <c r="S137">
        <v>195.81852950004301</v>
      </c>
      <c r="X137">
        <v>195.80730440001901</v>
      </c>
      <c r="Y137">
        <v>195.81852950004301</v>
      </c>
      <c r="Z137">
        <v>196.316880600003</v>
      </c>
      <c r="AA137">
        <v>196.316880600003</v>
      </c>
      <c r="AB137">
        <v>196.316880600003</v>
      </c>
      <c r="AC137">
        <v>196.870486800035</v>
      </c>
      <c r="AD137" t="s">
        <v>54</v>
      </c>
      <c r="AE137">
        <v>1</v>
      </c>
      <c r="AF137">
        <v>0.54264460003469095</v>
      </c>
      <c r="AG137" t="s">
        <v>51</v>
      </c>
      <c r="AK137" t="s">
        <v>89</v>
      </c>
      <c r="AL137">
        <v>1</v>
      </c>
      <c r="AM137" t="s">
        <v>42</v>
      </c>
      <c r="AN137" t="s">
        <v>43</v>
      </c>
      <c r="AP137" t="s">
        <v>44</v>
      </c>
      <c r="AQ137">
        <v>59.778723070926397</v>
      </c>
      <c r="AR137" t="s">
        <v>45</v>
      </c>
    </row>
    <row r="138" spans="1:44" x14ac:dyDescent="0.3">
      <c r="A138" t="s">
        <v>72</v>
      </c>
      <c r="B138" t="s">
        <v>62</v>
      </c>
      <c r="C138" s="2" t="str">
        <f t="shared" si="2"/>
        <v>Emotional-C</v>
      </c>
      <c r="D138">
        <v>2.11026889999629</v>
      </c>
      <c r="E138" t="s">
        <v>59</v>
      </c>
      <c r="F138" t="s">
        <v>61</v>
      </c>
      <c r="G138" t="s">
        <v>63</v>
      </c>
      <c r="H138">
        <v>136</v>
      </c>
      <c r="I138">
        <v>16</v>
      </c>
      <c r="J138">
        <v>6</v>
      </c>
      <c r="K138" t="s">
        <v>63</v>
      </c>
      <c r="L138">
        <v>1</v>
      </c>
      <c r="M138">
        <v>0.59062159998575203</v>
      </c>
      <c r="N138" t="s">
        <v>51</v>
      </c>
      <c r="O138">
        <v>6</v>
      </c>
      <c r="P138">
        <v>16</v>
      </c>
      <c r="Q138">
        <v>136</v>
      </c>
      <c r="R138">
        <v>8</v>
      </c>
      <c r="S138">
        <v>196.884239000035</v>
      </c>
      <c r="X138">
        <v>196.873411000007</v>
      </c>
      <c r="Y138">
        <v>196.884239000035</v>
      </c>
      <c r="Z138">
        <v>197.38339460000799</v>
      </c>
      <c r="AA138">
        <v>197.38339460000799</v>
      </c>
      <c r="AB138">
        <v>197.38339460000799</v>
      </c>
      <c r="AC138">
        <v>197.987231200037</v>
      </c>
      <c r="AD138" t="s">
        <v>63</v>
      </c>
      <c r="AE138">
        <v>1</v>
      </c>
      <c r="AF138">
        <v>0.59062159998575203</v>
      </c>
      <c r="AG138" t="s">
        <v>51</v>
      </c>
      <c r="AK138" t="s">
        <v>89</v>
      </c>
      <c r="AL138">
        <v>1</v>
      </c>
      <c r="AM138" t="s">
        <v>42</v>
      </c>
      <c r="AN138" t="s">
        <v>43</v>
      </c>
      <c r="AP138" t="s">
        <v>44</v>
      </c>
      <c r="AQ138">
        <v>59.778723070926397</v>
      </c>
      <c r="AR138" t="s">
        <v>45</v>
      </c>
    </row>
    <row r="139" spans="1:44" x14ac:dyDescent="0.3">
      <c r="A139" t="s">
        <v>52</v>
      </c>
      <c r="B139" t="s">
        <v>49</v>
      </c>
      <c r="C139" s="2" t="str">
        <f t="shared" si="2"/>
        <v>Neutral</v>
      </c>
      <c r="D139">
        <v>0.610032600001432</v>
      </c>
      <c r="E139" t="s">
        <v>47</v>
      </c>
      <c r="F139" t="s">
        <v>53</v>
      </c>
      <c r="G139" t="s">
        <v>54</v>
      </c>
      <c r="H139">
        <v>137</v>
      </c>
      <c r="I139">
        <v>17</v>
      </c>
      <c r="J139">
        <v>6</v>
      </c>
      <c r="K139" t="s">
        <v>54</v>
      </c>
      <c r="L139">
        <v>1</v>
      </c>
      <c r="M139">
        <v>0.43310649995692002</v>
      </c>
      <c r="N139" t="s">
        <v>51</v>
      </c>
      <c r="O139">
        <v>6</v>
      </c>
      <c r="P139">
        <v>17</v>
      </c>
      <c r="Q139">
        <v>137</v>
      </c>
      <c r="R139">
        <v>14</v>
      </c>
      <c r="S139">
        <v>198.00030160002601</v>
      </c>
      <c r="X139">
        <v>197.990846500033</v>
      </c>
      <c r="Y139">
        <v>198.00030160002601</v>
      </c>
      <c r="Z139">
        <v>198.50038620002999</v>
      </c>
      <c r="AA139">
        <v>198.50038620002999</v>
      </c>
      <c r="AB139">
        <v>198.50038620002999</v>
      </c>
      <c r="AC139">
        <v>198.936597799998</v>
      </c>
      <c r="AD139" t="s">
        <v>54</v>
      </c>
      <c r="AE139">
        <v>1</v>
      </c>
      <c r="AF139">
        <v>0.43310649995692002</v>
      </c>
      <c r="AG139" t="s">
        <v>51</v>
      </c>
      <c r="AK139" t="s">
        <v>89</v>
      </c>
      <c r="AL139">
        <v>1</v>
      </c>
      <c r="AM139" t="s">
        <v>42</v>
      </c>
      <c r="AN139" t="s">
        <v>43</v>
      </c>
      <c r="AP139" t="s">
        <v>44</v>
      </c>
      <c r="AQ139">
        <v>59.778723070926397</v>
      </c>
      <c r="AR139" t="s">
        <v>45</v>
      </c>
    </row>
    <row r="140" spans="1:44" x14ac:dyDescent="0.3">
      <c r="A140" t="s">
        <v>71</v>
      </c>
      <c r="B140" t="s">
        <v>49</v>
      </c>
      <c r="C140" s="2" t="str">
        <f t="shared" si="2"/>
        <v>Neutral</v>
      </c>
      <c r="D140">
        <v>0.69778490002499804</v>
      </c>
      <c r="E140" t="s">
        <v>47</v>
      </c>
      <c r="F140" t="s">
        <v>48</v>
      </c>
      <c r="G140" t="s">
        <v>50</v>
      </c>
      <c r="H140">
        <v>138</v>
      </c>
      <c r="I140">
        <v>18</v>
      </c>
      <c r="J140">
        <v>6</v>
      </c>
      <c r="K140" t="s">
        <v>50</v>
      </c>
      <c r="L140">
        <v>1</v>
      </c>
      <c r="M140">
        <v>0.58311539998976503</v>
      </c>
      <c r="N140" t="s">
        <v>51</v>
      </c>
      <c r="O140">
        <v>6</v>
      </c>
      <c r="P140">
        <v>18</v>
      </c>
      <c r="Q140">
        <v>138</v>
      </c>
      <c r="R140">
        <v>15</v>
      </c>
      <c r="S140">
        <v>198.949878600018</v>
      </c>
      <c r="X140">
        <v>198.939554600045</v>
      </c>
      <c r="Y140">
        <v>198.949878600018</v>
      </c>
      <c r="Z140">
        <v>199.44969380000799</v>
      </c>
      <c r="AA140">
        <v>199.44969380000799</v>
      </c>
      <c r="AB140">
        <v>199.44969380000799</v>
      </c>
      <c r="AC140">
        <v>200.037565300008</v>
      </c>
      <c r="AD140" t="s">
        <v>50</v>
      </c>
      <c r="AE140">
        <v>1</v>
      </c>
      <c r="AF140">
        <v>0.58311539998976503</v>
      </c>
      <c r="AG140" t="s">
        <v>51</v>
      </c>
      <c r="AK140" t="s">
        <v>89</v>
      </c>
      <c r="AL140">
        <v>1</v>
      </c>
      <c r="AM140" t="s">
        <v>42</v>
      </c>
      <c r="AN140" t="s">
        <v>43</v>
      </c>
      <c r="AP140" t="s">
        <v>44</v>
      </c>
      <c r="AQ140">
        <v>59.778723070926397</v>
      </c>
      <c r="AR140" t="s">
        <v>45</v>
      </c>
    </row>
    <row r="141" spans="1:44" x14ac:dyDescent="0.3">
      <c r="A141" t="s">
        <v>75</v>
      </c>
      <c r="B141" t="s">
        <v>49</v>
      </c>
      <c r="C141" s="2" t="str">
        <f t="shared" si="2"/>
        <v>Neutral</v>
      </c>
      <c r="D141">
        <v>1.1003390999976499</v>
      </c>
      <c r="E141" t="s">
        <v>47</v>
      </c>
      <c r="F141" t="s">
        <v>61</v>
      </c>
      <c r="G141" t="s">
        <v>63</v>
      </c>
      <c r="H141">
        <v>139</v>
      </c>
      <c r="I141">
        <v>19</v>
      </c>
      <c r="J141">
        <v>6</v>
      </c>
      <c r="K141" t="s">
        <v>63</v>
      </c>
      <c r="L141">
        <v>1</v>
      </c>
      <c r="M141">
        <v>0.59185959998285398</v>
      </c>
      <c r="N141" t="s">
        <v>51</v>
      </c>
      <c r="O141">
        <v>6</v>
      </c>
      <c r="P141">
        <v>19</v>
      </c>
      <c r="Q141">
        <v>139</v>
      </c>
      <c r="R141">
        <v>16</v>
      </c>
      <c r="S141">
        <v>200.049623800034</v>
      </c>
      <c r="X141">
        <v>200.04044559999599</v>
      </c>
      <c r="Y141">
        <v>200.049623800034</v>
      </c>
      <c r="Z141">
        <v>200.55004820000599</v>
      </c>
      <c r="AA141">
        <v>200.55004820000599</v>
      </c>
      <c r="AB141">
        <v>200.55004820000599</v>
      </c>
      <c r="AC141">
        <v>201.15373499999899</v>
      </c>
      <c r="AD141" t="s">
        <v>63</v>
      </c>
      <c r="AE141">
        <v>1</v>
      </c>
      <c r="AF141">
        <v>0.59185959998285398</v>
      </c>
      <c r="AG141" t="s">
        <v>51</v>
      </c>
      <c r="AK141" t="s">
        <v>89</v>
      </c>
      <c r="AL141">
        <v>1</v>
      </c>
      <c r="AM141" t="s">
        <v>42</v>
      </c>
      <c r="AN141" t="s">
        <v>43</v>
      </c>
      <c r="AP141" t="s">
        <v>44</v>
      </c>
      <c r="AQ141">
        <v>59.778723070926397</v>
      </c>
      <c r="AR141" t="s">
        <v>45</v>
      </c>
    </row>
    <row r="142" spans="1:44" x14ac:dyDescent="0.3">
      <c r="A142" t="s">
        <v>66</v>
      </c>
      <c r="B142" t="s">
        <v>49</v>
      </c>
      <c r="C142" s="2" t="str">
        <f t="shared" si="2"/>
        <v>Neutral</v>
      </c>
      <c r="D142">
        <v>1.22914499999023</v>
      </c>
      <c r="E142" t="s">
        <v>47</v>
      </c>
      <c r="F142" t="s">
        <v>61</v>
      </c>
      <c r="G142" t="s">
        <v>63</v>
      </c>
      <c r="H142">
        <v>140</v>
      </c>
      <c r="I142">
        <v>0</v>
      </c>
      <c r="J142">
        <v>7</v>
      </c>
      <c r="K142" t="s">
        <v>63</v>
      </c>
      <c r="L142">
        <v>1</v>
      </c>
      <c r="M142">
        <v>0.459200799989048</v>
      </c>
      <c r="N142" t="s">
        <v>51</v>
      </c>
      <c r="O142">
        <v>7</v>
      </c>
      <c r="P142">
        <v>0</v>
      </c>
      <c r="Q142">
        <v>140</v>
      </c>
      <c r="R142">
        <v>12</v>
      </c>
      <c r="S142">
        <v>201.16644970001599</v>
      </c>
      <c r="X142">
        <v>201.15661980002099</v>
      </c>
      <c r="Y142">
        <v>201.16644970001599</v>
      </c>
      <c r="Z142">
        <v>201.66750929999299</v>
      </c>
      <c r="AA142">
        <v>201.66750929999299</v>
      </c>
      <c r="AB142">
        <v>201.66750929999299</v>
      </c>
      <c r="AC142">
        <v>202.136335999995</v>
      </c>
      <c r="AD142" t="s">
        <v>63</v>
      </c>
      <c r="AE142">
        <v>1</v>
      </c>
      <c r="AF142">
        <v>0.459200799989048</v>
      </c>
      <c r="AG142" t="s">
        <v>51</v>
      </c>
      <c r="AK142" t="s">
        <v>89</v>
      </c>
      <c r="AL142">
        <v>1</v>
      </c>
      <c r="AM142" t="s">
        <v>42</v>
      </c>
      <c r="AN142" t="s">
        <v>43</v>
      </c>
      <c r="AP142" t="s">
        <v>44</v>
      </c>
      <c r="AQ142">
        <v>59.778723070926397</v>
      </c>
      <c r="AR142" t="s">
        <v>45</v>
      </c>
    </row>
    <row r="143" spans="1:44" x14ac:dyDescent="0.3">
      <c r="A143" t="s">
        <v>69</v>
      </c>
      <c r="B143" t="s">
        <v>49</v>
      </c>
      <c r="C143" s="2" t="str">
        <f t="shared" si="2"/>
        <v>Emotional-I</v>
      </c>
      <c r="D143">
        <v>1.21863110002595</v>
      </c>
      <c r="E143" t="s">
        <v>59</v>
      </c>
      <c r="F143" t="s">
        <v>56</v>
      </c>
      <c r="G143" t="s">
        <v>57</v>
      </c>
      <c r="H143">
        <v>141</v>
      </c>
      <c r="I143">
        <v>1</v>
      </c>
      <c r="J143">
        <v>7</v>
      </c>
      <c r="K143" t="s">
        <v>57</v>
      </c>
      <c r="L143">
        <v>1</v>
      </c>
      <c r="M143">
        <v>0.71242890000576098</v>
      </c>
      <c r="N143" t="s">
        <v>51</v>
      </c>
      <c r="O143">
        <v>7</v>
      </c>
      <c r="P143">
        <v>1</v>
      </c>
      <c r="Q143">
        <v>141</v>
      </c>
      <c r="R143">
        <v>5</v>
      </c>
      <c r="S143">
        <v>202.149913500004</v>
      </c>
      <c r="X143">
        <v>202.13943080004501</v>
      </c>
      <c r="Y143">
        <v>202.149913500004</v>
      </c>
      <c r="Z143">
        <v>202.64934080000901</v>
      </c>
      <c r="AA143">
        <v>202.64934080000901</v>
      </c>
      <c r="AB143">
        <v>202.64934080000901</v>
      </c>
      <c r="AC143">
        <v>203.369367900013</v>
      </c>
      <c r="AD143" t="s">
        <v>57</v>
      </c>
      <c r="AE143">
        <v>1</v>
      </c>
      <c r="AF143">
        <v>0.71242890000576098</v>
      </c>
      <c r="AG143" t="s">
        <v>51</v>
      </c>
      <c r="AK143" t="s">
        <v>89</v>
      </c>
      <c r="AL143">
        <v>1</v>
      </c>
      <c r="AM143" t="s">
        <v>42</v>
      </c>
      <c r="AN143" t="s">
        <v>43</v>
      </c>
      <c r="AP143" t="s">
        <v>44</v>
      </c>
      <c r="AQ143">
        <v>59.778723070926397</v>
      </c>
      <c r="AR143" t="s">
        <v>45</v>
      </c>
    </row>
    <row r="144" spans="1:44" x14ac:dyDescent="0.3">
      <c r="A144" t="s">
        <v>70</v>
      </c>
      <c r="B144" t="s">
        <v>49</v>
      </c>
      <c r="C144" s="2" t="str">
        <f t="shared" si="2"/>
        <v>Emotional-I</v>
      </c>
      <c r="D144">
        <v>0.70708349999040299</v>
      </c>
      <c r="E144" t="s">
        <v>59</v>
      </c>
      <c r="F144" t="s">
        <v>53</v>
      </c>
      <c r="G144" t="s">
        <v>54</v>
      </c>
      <c r="H144">
        <v>142</v>
      </c>
      <c r="I144">
        <v>2</v>
      </c>
      <c r="J144">
        <v>7</v>
      </c>
      <c r="K144" t="s">
        <v>54</v>
      </c>
      <c r="L144">
        <v>1</v>
      </c>
      <c r="M144">
        <v>2.11026889999629</v>
      </c>
      <c r="N144" t="s">
        <v>51</v>
      </c>
      <c r="O144">
        <v>7</v>
      </c>
      <c r="P144">
        <v>2</v>
      </c>
      <c r="Q144">
        <v>142</v>
      </c>
      <c r="R144">
        <v>2</v>
      </c>
      <c r="S144">
        <v>203.382956799992</v>
      </c>
      <c r="X144">
        <v>203.37202900002001</v>
      </c>
      <c r="Y144">
        <v>203.382956799992</v>
      </c>
      <c r="Z144">
        <v>203.88273070001699</v>
      </c>
      <c r="AA144">
        <v>203.88273070001699</v>
      </c>
      <c r="AB144">
        <v>203.88273070001699</v>
      </c>
      <c r="AC144">
        <v>206.00318240001701</v>
      </c>
      <c r="AD144" t="s">
        <v>54</v>
      </c>
      <c r="AE144">
        <v>1</v>
      </c>
      <c r="AF144">
        <v>2.11026889999629</v>
      </c>
      <c r="AG144" t="s">
        <v>51</v>
      </c>
      <c r="AK144" t="s">
        <v>89</v>
      </c>
      <c r="AL144">
        <v>1</v>
      </c>
      <c r="AM144" t="s">
        <v>42</v>
      </c>
      <c r="AN144" t="s">
        <v>43</v>
      </c>
      <c r="AP144" t="s">
        <v>44</v>
      </c>
      <c r="AQ144">
        <v>59.778723070926397</v>
      </c>
      <c r="AR144" t="s">
        <v>45</v>
      </c>
    </row>
    <row r="145" spans="1:44" x14ac:dyDescent="0.3">
      <c r="A145" t="s">
        <v>68</v>
      </c>
      <c r="B145" t="s">
        <v>49</v>
      </c>
      <c r="C145" s="2" t="str">
        <f t="shared" si="2"/>
        <v>Emotional-I</v>
      </c>
      <c r="D145">
        <v>0.44743579998612398</v>
      </c>
      <c r="E145" t="s">
        <v>59</v>
      </c>
      <c r="F145" t="s">
        <v>53</v>
      </c>
      <c r="G145" t="s">
        <v>54</v>
      </c>
      <c r="H145">
        <v>143</v>
      </c>
      <c r="I145">
        <v>3</v>
      </c>
      <c r="J145">
        <v>7</v>
      </c>
      <c r="K145" t="s">
        <v>54</v>
      </c>
      <c r="L145">
        <v>1</v>
      </c>
      <c r="M145">
        <v>0.610032600001432</v>
      </c>
      <c r="N145" t="s">
        <v>51</v>
      </c>
      <c r="O145">
        <v>7</v>
      </c>
      <c r="P145">
        <v>3</v>
      </c>
      <c r="Q145">
        <v>143</v>
      </c>
      <c r="R145">
        <v>6</v>
      </c>
      <c r="S145">
        <v>206.01581630000101</v>
      </c>
      <c r="X145">
        <v>206.00667420000499</v>
      </c>
      <c r="Y145">
        <v>206.01581630000101</v>
      </c>
      <c r="Z145">
        <v>206.516183700005</v>
      </c>
      <c r="AA145">
        <v>206.516183700005</v>
      </c>
      <c r="AB145">
        <v>206.516183700005</v>
      </c>
      <c r="AC145">
        <v>207.139588700025</v>
      </c>
      <c r="AD145" t="s">
        <v>54</v>
      </c>
      <c r="AE145">
        <v>1</v>
      </c>
      <c r="AF145">
        <v>0.610032600001432</v>
      </c>
      <c r="AG145" t="s">
        <v>51</v>
      </c>
      <c r="AK145" t="s">
        <v>89</v>
      </c>
      <c r="AL145">
        <v>1</v>
      </c>
      <c r="AM145" t="s">
        <v>42</v>
      </c>
      <c r="AN145" t="s">
        <v>43</v>
      </c>
      <c r="AP145" t="s">
        <v>44</v>
      </c>
      <c r="AQ145">
        <v>59.778723070926397</v>
      </c>
      <c r="AR145" t="s">
        <v>45</v>
      </c>
    </row>
    <row r="146" spans="1:44" x14ac:dyDescent="0.3">
      <c r="A146" t="s">
        <v>67</v>
      </c>
      <c r="B146" t="s">
        <v>49</v>
      </c>
      <c r="C146" s="2" t="str">
        <f t="shared" si="2"/>
        <v>Neutral</v>
      </c>
      <c r="D146">
        <v>1.3419810999766899</v>
      </c>
      <c r="E146" t="s">
        <v>47</v>
      </c>
      <c r="F146" t="s">
        <v>53</v>
      </c>
      <c r="G146" t="s">
        <v>54</v>
      </c>
      <c r="H146">
        <v>144</v>
      </c>
      <c r="I146">
        <v>4</v>
      </c>
      <c r="J146">
        <v>7</v>
      </c>
      <c r="K146" t="s">
        <v>54</v>
      </c>
      <c r="L146">
        <v>1</v>
      </c>
      <c r="M146">
        <v>0.69778490002499804</v>
      </c>
      <c r="N146" t="s">
        <v>51</v>
      </c>
      <c r="O146">
        <v>7</v>
      </c>
      <c r="P146">
        <v>4</v>
      </c>
      <c r="Q146">
        <v>144</v>
      </c>
      <c r="R146">
        <v>10</v>
      </c>
      <c r="S146">
        <v>207.16507410001901</v>
      </c>
      <c r="X146">
        <v>207.14563480002101</v>
      </c>
      <c r="Y146">
        <v>207.16507410001901</v>
      </c>
      <c r="Z146">
        <v>207.64928180002599</v>
      </c>
      <c r="AA146">
        <v>207.64928180002599</v>
      </c>
      <c r="AB146">
        <v>207.64928180002599</v>
      </c>
      <c r="AC146">
        <v>208.3530456</v>
      </c>
      <c r="AD146" t="s">
        <v>54</v>
      </c>
      <c r="AE146">
        <v>1</v>
      </c>
      <c r="AF146">
        <v>0.69778490002499804</v>
      </c>
      <c r="AG146" t="s">
        <v>51</v>
      </c>
      <c r="AK146" t="s">
        <v>89</v>
      </c>
      <c r="AL146">
        <v>1</v>
      </c>
      <c r="AM146" t="s">
        <v>42</v>
      </c>
      <c r="AN146" t="s">
        <v>43</v>
      </c>
      <c r="AP146" t="s">
        <v>44</v>
      </c>
      <c r="AQ146">
        <v>59.778723070926397</v>
      </c>
      <c r="AR146" t="s">
        <v>45</v>
      </c>
    </row>
    <row r="147" spans="1:44" x14ac:dyDescent="0.3">
      <c r="A147" t="s">
        <v>60</v>
      </c>
      <c r="B147" t="s">
        <v>62</v>
      </c>
      <c r="C147" s="2" t="str">
        <f t="shared" si="2"/>
        <v>Emotional-C</v>
      </c>
      <c r="D147">
        <v>0.90692140004830402</v>
      </c>
      <c r="E147" t="s">
        <v>59</v>
      </c>
      <c r="F147" t="s">
        <v>61</v>
      </c>
      <c r="G147" t="s">
        <v>63</v>
      </c>
      <c r="H147">
        <v>145</v>
      </c>
      <c r="I147">
        <v>5</v>
      </c>
      <c r="J147">
        <v>7</v>
      </c>
      <c r="K147" t="s">
        <v>63</v>
      </c>
      <c r="L147">
        <v>1</v>
      </c>
      <c r="M147">
        <v>1.1003390999976499</v>
      </c>
      <c r="N147" t="s">
        <v>51</v>
      </c>
      <c r="O147">
        <v>7</v>
      </c>
      <c r="P147">
        <v>5</v>
      </c>
      <c r="Q147">
        <v>145</v>
      </c>
      <c r="R147">
        <v>0</v>
      </c>
      <c r="S147">
        <v>208.366599300003</v>
      </c>
      <c r="X147">
        <v>208.356031100032</v>
      </c>
      <c r="Y147">
        <v>208.366599300003</v>
      </c>
      <c r="Z147">
        <v>208.86620320001299</v>
      </c>
      <c r="AA147">
        <v>208.86620320001299</v>
      </c>
      <c r="AB147">
        <v>208.86620320001299</v>
      </c>
      <c r="AC147">
        <v>209.969806500012</v>
      </c>
      <c r="AD147" t="s">
        <v>63</v>
      </c>
      <c r="AE147">
        <v>1</v>
      </c>
      <c r="AF147">
        <v>1.1003390999976499</v>
      </c>
      <c r="AG147" t="s">
        <v>51</v>
      </c>
      <c r="AK147" t="s">
        <v>89</v>
      </c>
      <c r="AL147">
        <v>1</v>
      </c>
      <c r="AM147" t="s">
        <v>42</v>
      </c>
      <c r="AN147" t="s">
        <v>43</v>
      </c>
      <c r="AP147" t="s">
        <v>44</v>
      </c>
      <c r="AQ147">
        <v>59.778723070926397</v>
      </c>
      <c r="AR147" t="s">
        <v>45</v>
      </c>
    </row>
    <row r="148" spans="1:44" x14ac:dyDescent="0.3">
      <c r="A148" t="s">
        <v>55</v>
      </c>
      <c r="B148" t="s">
        <v>49</v>
      </c>
      <c r="C148" s="2" t="str">
        <f t="shared" si="2"/>
        <v>Neutral</v>
      </c>
      <c r="D148">
        <v>0.71991360001266003</v>
      </c>
      <c r="E148" t="s">
        <v>47</v>
      </c>
      <c r="F148" t="s">
        <v>56</v>
      </c>
      <c r="G148" t="s">
        <v>57</v>
      </c>
      <c r="H148">
        <v>146</v>
      </c>
      <c r="I148">
        <v>6</v>
      </c>
      <c r="J148">
        <v>7</v>
      </c>
      <c r="K148" t="s">
        <v>57</v>
      </c>
      <c r="L148">
        <v>1</v>
      </c>
      <c r="M148">
        <v>1.22914499999023</v>
      </c>
      <c r="N148" t="s">
        <v>51</v>
      </c>
      <c r="O148">
        <v>7</v>
      </c>
      <c r="P148">
        <v>6</v>
      </c>
      <c r="Q148">
        <v>146</v>
      </c>
      <c r="R148">
        <v>13</v>
      </c>
      <c r="S148">
        <v>209.982936200045</v>
      </c>
      <c r="X148">
        <v>209.97312650002999</v>
      </c>
      <c r="Y148">
        <v>209.982936200045</v>
      </c>
      <c r="Z148">
        <v>210.48309650004299</v>
      </c>
      <c r="AA148">
        <v>210.48309650004299</v>
      </c>
      <c r="AB148">
        <v>210.48309650004299</v>
      </c>
      <c r="AC148">
        <v>211.71963150001801</v>
      </c>
      <c r="AD148" t="s">
        <v>57</v>
      </c>
      <c r="AE148">
        <v>1</v>
      </c>
      <c r="AF148">
        <v>1.22914499999023</v>
      </c>
      <c r="AG148" t="s">
        <v>51</v>
      </c>
      <c r="AK148" t="s">
        <v>89</v>
      </c>
      <c r="AL148">
        <v>1</v>
      </c>
      <c r="AM148" t="s">
        <v>42</v>
      </c>
      <c r="AN148" t="s">
        <v>43</v>
      </c>
      <c r="AP148" t="s">
        <v>44</v>
      </c>
      <c r="AQ148">
        <v>59.778723070926397</v>
      </c>
      <c r="AR148" t="s">
        <v>45</v>
      </c>
    </row>
    <row r="149" spans="1:44" x14ac:dyDescent="0.3">
      <c r="A149" t="s">
        <v>75</v>
      </c>
      <c r="B149" t="s">
        <v>49</v>
      </c>
      <c r="C149" s="2" t="str">
        <f t="shared" si="2"/>
        <v>Neutral</v>
      </c>
      <c r="D149">
        <v>1.67826129996683</v>
      </c>
      <c r="E149" t="s">
        <v>47</v>
      </c>
      <c r="F149" t="s">
        <v>61</v>
      </c>
      <c r="G149" t="s">
        <v>63</v>
      </c>
      <c r="H149">
        <v>147</v>
      </c>
      <c r="I149">
        <v>7</v>
      </c>
      <c r="J149">
        <v>7</v>
      </c>
      <c r="K149" t="s">
        <v>63</v>
      </c>
      <c r="L149">
        <v>1</v>
      </c>
      <c r="M149">
        <v>1.21863110002595</v>
      </c>
      <c r="N149" t="s">
        <v>51</v>
      </c>
      <c r="O149">
        <v>7</v>
      </c>
      <c r="P149">
        <v>7</v>
      </c>
      <c r="Q149">
        <v>147</v>
      </c>
      <c r="R149">
        <v>16</v>
      </c>
      <c r="S149">
        <v>211.73227870004399</v>
      </c>
      <c r="X149">
        <v>211.72303420002501</v>
      </c>
      <c r="Y149">
        <v>211.73227870004399</v>
      </c>
      <c r="Z149">
        <v>212.23289179999799</v>
      </c>
      <c r="AA149">
        <v>212.23289179999799</v>
      </c>
      <c r="AB149">
        <v>212.23289179999799</v>
      </c>
      <c r="AC149">
        <v>213.45317360001999</v>
      </c>
      <c r="AD149" t="s">
        <v>63</v>
      </c>
      <c r="AE149">
        <v>1</v>
      </c>
      <c r="AF149">
        <v>1.21863110002595</v>
      </c>
      <c r="AG149" t="s">
        <v>51</v>
      </c>
      <c r="AK149" t="s">
        <v>89</v>
      </c>
      <c r="AL149">
        <v>1</v>
      </c>
      <c r="AM149" t="s">
        <v>42</v>
      </c>
      <c r="AN149" t="s">
        <v>43</v>
      </c>
      <c r="AP149" t="s">
        <v>44</v>
      </c>
      <c r="AQ149">
        <v>59.778723070926397</v>
      </c>
      <c r="AR149" t="s">
        <v>45</v>
      </c>
    </row>
    <row r="150" spans="1:44" x14ac:dyDescent="0.3">
      <c r="A150" t="s">
        <v>78</v>
      </c>
      <c r="B150" t="s">
        <v>49</v>
      </c>
      <c r="C150" s="2" t="str">
        <f t="shared" si="2"/>
        <v>Neutral</v>
      </c>
      <c r="D150">
        <v>0.46395589999156001</v>
      </c>
      <c r="E150" t="s">
        <v>47</v>
      </c>
      <c r="F150" t="s">
        <v>56</v>
      </c>
      <c r="G150" t="s">
        <v>57</v>
      </c>
      <c r="H150">
        <v>148</v>
      </c>
      <c r="I150">
        <v>8</v>
      </c>
      <c r="J150">
        <v>7</v>
      </c>
      <c r="K150" t="s">
        <v>57</v>
      </c>
      <c r="L150">
        <v>1</v>
      </c>
      <c r="M150">
        <v>0.70708349999040299</v>
      </c>
      <c r="N150" t="s">
        <v>51</v>
      </c>
      <c r="O150">
        <v>7</v>
      </c>
      <c r="P150">
        <v>8</v>
      </c>
      <c r="Q150">
        <v>148</v>
      </c>
      <c r="R150">
        <v>17</v>
      </c>
      <c r="S150">
        <v>213.46623040002299</v>
      </c>
      <c r="X150">
        <v>213.455870900012</v>
      </c>
      <c r="Y150">
        <v>213.46623040002299</v>
      </c>
      <c r="Z150">
        <v>213.965381700021</v>
      </c>
      <c r="AA150">
        <v>213.965381700021</v>
      </c>
      <c r="AB150">
        <v>213.965381700021</v>
      </c>
      <c r="AC150">
        <v>214.685970199992</v>
      </c>
      <c r="AD150" t="s">
        <v>57</v>
      </c>
      <c r="AE150">
        <v>1</v>
      </c>
      <c r="AF150">
        <v>0.70708349999040299</v>
      </c>
      <c r="AG150" t="s">
        <v>51</v>
      </c>
      <c r="AK150" t="s">
        <v>89</v>
      </c>
      <c r="AL150">
        <v>1</v>
      </c>
      <c r="AM150" t="s">
        <v>42</v>
      </c>
      <c r="AN150" t="s">
        <v>43</v>
      </c>
      <c r="AP150" t="s">
        <v>44</v>
      </c>
      <c r="AQ150">
        <v>59.778723070926397</v>
      </c>
      <c r="AR150" t="s">
        <v>45</v>
      </c>
    </row>
    <row r="151" spans="1:44" x14ac:dyDescent="0.3">
      <c r="A151" t="s">
        <v>73</v>
      </c>
      <c r="B151" t="s">
        <v>49</v>
      </c>
      <c r="C151" s="2" t="str">
        <f t="shared" si="2"/>
        <v>Emotional-I</v>
      </c>
      <c r="D151">
        <v>0.600882500002626</v>
      </c>
      <c r="E151" t="s">
        <v>59</v>
      </c>
      <c r="F151" t="s">
        <v>56</v>
      </c>
      <c r="G151" t="s">
        <v>57</v>
      </c>
      <c r="H151">
        <v>149</v>
      </c>
      <c r="I151">
        <v>9</v>
      </c>
      <c r="J151">
        <v>7</v>
      </c>
      <c r="K151" t="s">
        <v>57</v>
      </c>
      <c r="L151">
        <v>1</v>
      </c>
      <c r="M151">
        <v>0.44743579998612398</v>
      </c>
      <c r="N151" t="s">
        <v>51</v>
      </c>
      <c r="O151">
        <v>7</v>
      </c>
      <c r="P151">
        <v>9</v>
      </c>
      <c r="Q151">
        <v>149</v>
      </c>
      <c r="R151">
        <v>1</v>
      </c>
      <c r="S151">
        <v>214.69914560002499</v>
      </c>
      <c r="X151">
        <v>214.68871830002101</v>
      </c>
      <c r="Y151">
        <v>214.69914560002499</v>
      </c>
      <c r="Z151">
        <v>215.19873810000701</v>
      </c>
      <c r="AA151">
        <v>215.19873810000701</v>
      </c>
      <c r="AB151">
        <v>215.19873810000701</v>
      </c>
      <c r="AC151">
        <v>215.652910000004</v>
      </c>
      <c r="AD151" t="s">
        <v>57</v>
      </c>
      <c r="AE151">
        <v>1</v>
      </c>
      <c r="AF151">
        <v>0.44743579998612398</v>
      </c>
      <c r="AG151" t="s">
        <v>51</v>
      </c>
      <c r="AK151" t="s">
        <v>89</v>
      </c>
      <c r="AL151">
        <v>1</v>
      </c>
      <c r="AM151" t="s">
        <v>42</v>
      </c>
      <c r="AN151" t="s">
        <v>43</v>
      </c>
      <c r="AP151" t="s">
        <v>44</v>
      </c>
      <c r="AQ151">
        <v>59.778723070926397</v>
      </c>
      <c r="AR151" t="s">
        <v>45</v>
      </c>
    </row>
    <row r="152" spans="1:44" x14ac:dyDescent="0.3">
      <c r="A152" t="s">
        <v>72</v>
      </c>
      <c r="B152" t="s">
        <v>62</v>
      </c>
      <c r="C152" s="2" t="str">
        <f t="shared" si="2"/>
        <v>Emotional-C</v>
      </c>
      <c r="D152">
        <v>0.64116609998745799</v>
      </c>
      <c r="E152" t="s">
        <v>59</v>
      </c>
      <c r="F152" t="s">
        <v>61</v>
      </c>
      <c r="G152" t="s">
        <v>63</v>
      </c>
      <c r="H152">
        <v>150</v>
      </c>
      <c r="I152">
        <v>10</v>
      </c>
      <c r="J152">
        <v>7</v>
      </c>
      <c r="K152" t="s">
        <v>63</v>
      </c>
      <c r="L152">
        <v>1</v>
      </c>
      <c r="M152">
        <v>1.3419810999766899</v>
      </c>
      <c r="N152" t="s">
        <v>51</v>
      </c>
      <c r="O152">
        <v>7</v>
      </c>
      <c r="P152">
        <v>10</v>
      </c>
      <c r="Q152">
        <v>150</v>
      </c>
      <c r="R152">
        <v>8</v>
      </c>
      <c r="S152">
        <v>215.66761430003601</v>
      </c>
      <c r="X152">
        <v>215.656098700012</v>
      </c>
      <c r="Y152">
        <v>215.66761430003601</v>
      </c>
      <c r="Z152">
        <v>216.16551780002101</v>
      </c>
      <c r="AA152">
        <v>216.16551780002101</v>
      </c>
      <c r="AB152">
        <v>216.16551780002101</v>
      </c>
      <c r="AC152">
        <v>217.52135160000699</v>
      </c>
      <c r="AD152" t="s">
        <v>63</v>
      </c>
      <c r="AE152">
        <v>1</v>
      </c>
      <c r="AF152">
        <v>1.3419810999766899</v>
      </c>
      <c r="AG152" t="s">
        <v>51</v>
      </c>
      <c r="AK152" t="s">
        <v>89</v>
      </c>
      <c r="AL152">
        <v>1</v>
      </c>
      <c r="AM152" t="s">
        <v>42</v>
      </c>
      <c r="AN152" t="s">
        <v>43</v>
      </c>
      <c r="AP152" t="s">
        <v>44</v>
      </c>
      <c r="AQ152">
        <v>59.778723070926397</v>
      </c>
      <c r="AR152" t="s">
        <v>45</v>
      </c>
    </row>
    <row r="153" spans="1:44" x14ac:dyDescent="0.3">
      <c r="A153" t="s">
        <v>58</v>
      </c>
      <c r="B153" t="s">
        <v>49</v>
      </c>
      <c r="C153" s="2" t="str">
        <f t="shared" si="2"/>
        <v>Emotional-I</v>
      </c>
      <c r="D153">
        <v>0.65930630004731905</v>
      </c>
      <c r="E153" t="s">
        <v>59</v>
      </c>
      <c r="F153" t="s">
        <v>48</v>
      </c>
      <c r="G153" t="s">
        <v>50</v>
      </c>
      <c r="H153">
        <v>151</v>
      </c>
      <c r="I153">
        <v>11</v>
      </c>
      <c r="J153">
        <v>7</v>
      </c>
      <c r="K153" t="s">
        <v>50</v>
      </c>
      <c r="L153">
        <v>1</v>
      </c>
      <c r="M153">
        <v>0.90692140004830402</v>
      </c>
      <c r="N153" t="s">
        <v>51</v>
      </c>
      <c r="O153">
        <v>7</v>
      </c>
      <c r="P153">
        <v>11</v>
      </c>
      <c r="Q153">
        <v>151</v>
      </c>
      <c r="R153">
        <v>7</v>
      </c>
      <c r="S153">
        <v>217.533228100044</v>
      </c>
      <c r="X153">
        <v>217.524927699996</v>
      </c>
      <c r="Y153">
        <v>217.533228100044</v>
      </c>
      <c r="Z153">
        <v>218.03281910001499</v>
      </c>
      <c r="AA153">
        <v>218.03281910001499</v>
      </c>
      <c r="AB153">
        <v>218.03281910001499</v>
      </c>
      <c r="AC153">
        <v>218.952445000002</v>
      </c>
      <c r="AD153" t="s">
        <v>50</v>
      </c>
      <c r="AE153">
        <v>1</v>
      </c>
      <c r="AF153">
        <v>0.90692140004830402</v>
      </c>
      <c r="AG153" t="s">
        <v>51</v>
      </c>
      <c r="AK153" t="s">
        <v>89</v>
      </c>
      <c r="AL153">
        <v>1</v>
      </c>
      <c r="AM153" t="s">
        <v>42</v>
      </c>
      <c r="AN153" t="s">
        <v>43</v>
      </c>
      <c r="AP153" t="s">
        <v>44</v>
      </c>
      <c r="AQ153">
        <v>59.778723070926397</v>
      </c>
      <c r="AR153" t="s">
        <v>45</v>
      </c>
    </row>
    <row r="154" spans="1:44" x14ac:dyDescent="0.3">
      <c r="A154" t="s">
        <v>76</v>
      </c>
      <c r="B154" t="s">
        <v>49</v>
      </c>
      <c r="C154" s="2" t="str">
        <f t="shared" si="2"/>
        <v>Emotional-I</v>
      </c>
      <c r="D154">
        <v>0.42946449998998998</v>
      </c>
      <c r="E154" t="s">
        <v>59</v>
      </c>
      <c r="F154" t="s">
        <v>48</v>
      </c>
      <c r="G154" t="s">
        <v>50</v>
      </c>
      <c r="H154">
        <v>152</v>
      </c>
      <c r="I154">
        <v>12</v>
      </c>
      <c r="J154">
        <v>7</v>
      </c>
      <c r="K154" t="s">
        <v>50</v>
      </c>
      <c r="L154">
        <v>1</v>
      </c>
      <c r="M154">
        <v>0.71991360001266003</v>
      </c>
      <c r="N154" t="s">
        <v>51</v>
      </c>
      <c r="O154">
        <v>7</v>
      </c>
      <c r="P154">
        <v>12</v>
      </c>
      <c r="Q154">
        <v>152</v>
      </c>
      <c r="R154">
        <v>3</v>
      </c>
      <c r="S154">
        <v>218.96543370001001</v>
      </c>
      <c r="X154">
        <v>218.956371300038</v>
      </c>
      <c r="Y154">
        <v>218.96543370001001</v>
      </c>
      <c r="Z154">
        <v>219.46604460000501</v>
      </c>
      <c r="AA154">
        <v>219.46604460000501</v>
      </c>
      <c r="AB154">
        <v>219.46604460000501</v>
      </c>
      <c r="AC154">
        <v>220.18672500003501</v>
      </c>
      <c r="AD154" t="s">
        <v>50</v>
      </c>
      <c r="AE154">
        <v>1</v>
      </c>
      <c r="AF154">
        <v>0.71991360001266003</v>
      </c>
      <c r="AG154" t="s">
        <v>51</v>
      </c>
      <c r="AK154" t="s">
        <v>89</v>
      </c>
      <c r="AL154">
        <v>1</v>
      </c>
      <c r="AM154" t="s">
        <v>42</v>
      </c>
      <c r="AN154" t="s">
        <v>43</v>
      </c>
      <c r="AP154" t="s">
        <v>44</v>
      </c>
      <c r="AQ154">
        <v>59.778723070926397</v>
      </c>
      <c r="AR154" t="s">
        <v>45</v>
      </c>
    </row>
    <row r="155" spans="1:44" x14ac:dyDescent="0.3">
      <c r="A155" t="s">
        <v>52</v>
      </c>
      <c r="B155" t="s">
        <v>49</v>
      </c>
      <c r="C155" s="2" t="str">
        <f t="shared" si="2"/>
        <v>Neutral</v>
      </c>
      <c r="D155">
        <v>0.93339169997489002</v>
      </c>
      <c r="E155" t="s">
        <v>47</v>
      </c>
      <c r="F155" t="s">
        <v>53</v>
      </c>
      <c r="G155" t="s">
        <v>54</v>
      </c>
      <c r="H155">
        <v>153</v>
      </c>
      <c r="I155">
        <v>13</v>
      </c>
      <c r="J155">
        <v>7</v>
      </c>
      <c r="K155" t="s">
        <v>54</v>
      </c>
      <c r="L155">
        <v>1</v>
      </c>
      <c r="M155">
        <v>1.67826129996683</v>
      </c>
      <c r="N155" t="s">
        <v>51</v>
      </c>
      <c r="O155">
        <v>7</v>
      </c>
      <c r="P155">
        <v>13</v>
      </c>
      <c r="Q155">
        <v>153</v>
      </c>
      <c r="R155">
        <v>14</v>
      </c>
      <c r="S155">
        <v>220.19909629999799</v>
      </c>
      <c r="X155">
        <v>220.18949429999299</v>
      </c>
      <c r="Y155">
        <v>220.19909629999799</v>
      </c>
      <c r="Z155">
        <v>220.6983932</v>
      </c>
      <c r="AA155">
        <v>220.6983932</v>
      </c>
      <c r="AB155">
        <v>220.6983932</v>
      </c>
      <c r="AC155">
        <v>222.38688180001901</v>
      </c>
      <c r="AD155" t="s">
        <v>54</v>
      </c>
      <c r="AE155">
        <v>1</v>
      </c>
      <c r="AF155">
        <v>1.67826129996683</v>
      </c>
      <c r="AG155" t="s">
        <v>51</v>
      </c>
      <c r="AK155" t="s">
        <v>89</v>
      </c>
      <c r="AL155">
        <v>1</v>
      </c>
      <c r="AM155" t="s">
        <v>42</v>
      </c>
      <c r="AN155" t="s">
        <v>43</v>
      </c>
      <c r="AP155" t="s">
        <v>44</v>
      </c>
      <c r="AQ155">
        <v>59.778723070926397</v>
      </c>
      <c r="AR155" t="s">
        <v>45</v>
      </c>
    </row>
    <row r="156" spans="1:44" x14ac:dyDescent="0.3">
      <c r="A156" t="s">
        <v>64</v>
      </c>
      <c r="B156" t="s">
        <v>49</v>
      </c>
      <c r="C156" s="2" t="str">
        <f t="shared" si="2"/>
        <v>Neutral</v>
      </c>
      <c r="D156">
        <v>0.96100410004146397</v>
      </c>
      <c r="E156" t="s">
        <v>47</v>
      </c>
      <c r="F156" t="s">
        <v>53</v>
      </c>
      <c r="G156" t="s">
        <v>54</v>
      </c>
      <c r="H156">
        <v>154</v>
      </c>
      <c r="I156">
        <v>14</v>
      </c>
      <c r="J156">
        <v>7</v>
      </c>
      <c r="K156" t="s">
        <v>54</v>
      </c>
      <c r="L156">
        <v>1</v>
      </c>
      <c r="M156">
        <v>0.46395589999156001</v>
      </c>
      <c r="N156" t="s">
        <v>51</v>
      </c>
      <c r="O156">
        <v>7</v>
      </c>
      <c r="P156">
        <v>14</v>
      </c>
      <c r="Q156">
        <v>154</v>
      </c>
      <c r="R156">
        <v>18</v>
      </c>
      <c r="S156">
        <v>222.39870610000699</v>
      </c>
      <c r="X156">
        <v>222.389881000039</v>
      </c>
      <c r="Y156">
        <v>222.39870610000699</v>
      </c>
      <c r="Z156">
        <v>222.89862340001801</v>
      </c>
      <c r="AA156">
        <v>222.89862340001801</v>
      </c>
      <c r="AB156">
        <v>222.89862340001801</v>
      </c>
      <c r="AC156">
        <v>223.369372200046</v>
      </c>
      <c r="AD156" t="s">
        <v>54</v>
      </c>
      <c r="AE156">
        <v>1</v>
      </c>
      <c r="AF156">
        <v>0.46395589999156001</v>
      </c>
      <c r="AG156" t="s">
        <v>51</v>
      </c>
      <c r="AK156" t="s">
        <v>89</v>
      </c>
      <c r="AL156">
        <v>1</v>
      </c>
      <c r="AM156" t="s">
        <v>42</v>
      </c>
      <c r="AN156" t="s">
        <v>43</v>
      </c>
      <c r="AP156" t="s">
        <v>44</v>
      </c>
      <c r="AQ156">
        <v>59.778723070926397</v>
      </c>
      <c r="AR156" t="s">
        <v>45</v>
      </c>
    </row>
    <row r="157" spans="1:44" hidden="1" x14ac:dyDescent="0.3">
      <c r="A157" t="s">
        <v>74</v>
      </c>
      <c r="B157" t="s">
        <v>49</v>
      </c>
      <c r="C157" s="2" t="str">
        <f t="shared" si="2"/>
        <v>Neutral</v>
      </c>
      <c r="D157">
        <v>0.66823230002773903</v>
      </c>
      <c r="E157" t="s">
        <v>47</v>
      </c>
      <c r="F157" t="s">
        <v>48</v>
      </c>
      <c r="G157" t="s">
        <v>50</v>
      </c>
      <c r="H157">
        <v>155</v>
      </c>
      <c r="I157">
        <v>15</v>
      </c>
      <c r="J157">
        <v>7</v>
      </c>
      <c r="K157" t="s">
        <v>57</v>
      </c>
      <c r="L157">
        <v>0</v>
      </c>
      <c r="M157">
        <v>0.77251710003474705</v>
      </c>
      <c r="N157" t="s">
        <v>51</v>
      </c>
      <c r="O157">
        <v>7</v>
      </c>
      <c r="P157">
        <v>15</v>
      </c>
      <c r="Q157">
        <v>155</v>
      </c>
      <c r="R157">
        <v>11</v>
      </c>
      <c r="S157">
        <v>223.38295729999601</v>
      </c>
      <c r="X157">
        <v>223.37214490002901</v>
      </c>
      <c r="Y157">
        <v>223.38295729999601</v>
      </c>
      <c r="Z157">
        <v>223.88272850000001</v>
      </c>
      <c r="AA157">
        <v>223.88272850000001</v>
      </c>
      <c r="AB157">
        <v>223.88272850000001</v>
      </c>
      <c r="AC157">
        <v>224.66887610003999</v>
      </c>
      <c r="AD157" t="s">
        <v>57</v>
      </c>
      <c r="AE157">
        <v>0</v>
      </c>
      <c r="AF157">
        <v>0.77251710003474705</v>
      </c>
      <c r="AG157" t="s">
        <v>51</v>
      </c>
      <c r="AK157" t="s">
        <v>89</v>
      </c>
      <c r="AL157">
        <v>1</v>
      </c>
      <c r="AM157" t="s">
        <v>42</v>
      </c>
      <c r="AN157" t="s">
        <v>43</v>
      </c>
      <c r="AP157" t="s">
        <v>44</v>
      </c>
      <c r="AQ157">
        <v>59.778723070926397</v>
      </c>
      <c r="AR157" t="s">
        <v>45</v>
      </c>
    </row>
    <row r="158" spans="1:44" x14ac:dyDescent="0.3">
      <c r="A158" t="s">
        <v>77</v>
      </c>
      <c r="B158" t="s">
        <v>62</v>
      </c>
      <c r="C158" s="2" t="str">
        <f t="shared" si="2"/>
        <v>Emotional-C</v>
      </c>
      <c r="D158">
        <v>0.65031150000868299</v>
      </c>
      <c r="E158" t="s">
        <v>59</v>
      </c>
      <c r="F158" t="s">
        <v>61</v>
      </c>
      <c r="G158" t="s">
        <v>63</v>
      </c>
      <c r="H158">
        <v>156</v>
      </c>
      <c r="I158">
        <v>16</v>
      </c>
      <c r="J158">
        <v>7</v>
      </c>
      <c r="K158" t="s">
        <v>63</v>
      </c>
      <c r="L158">
        <v>1</v>
      </c>
      <c r="M158">
        <v>0.600882500002626</v>
      </c>
      <c r="N158" t="s">
        <v>51</v>
      </c>
      <c r="O158">
        <v>7</v>
      </c>
      <c r="P158">
        <v>16</v>
      </c>
      <c r="Q158">
        <v>156</v>
      </c>
      <c r="R158">
        <v>4</v>
      </c>
      <c r="S158">
        <v>224.682016500039</v>
      </c>
      <c r="X158">
        <v>224.67163550003801</v>
      </c>
      <c r="Y158">
        <v>224.682016500039</v>
      </c>
      <c r="Z158">
        <v>225.18216560000999</v>
      </c>
      <c r="AA158">
        <v>225.18216560000999</v>
      </c>
      <c r="AB158">
        <v>225.18216560000999</v>
      </c>
      <c r="AC158">
        <v>225.786045100016</v>
      </c>
      <c r="AD158" t="s">
        <v>63</v>
      </c>
      <c r="AE158">
        <v>1</v>
      </c>
      <c r="AF158">
        <v>0.600882500002626</v>
      </c>
      <c r="AG158" t="s">
        <v>51</v>
      </c>
      <c r="AK158" t="s">
        <v>89</v>
      </c>
      <c r="AL158">
        <v>1</v>
      </c>
      <c r="AM158" t="s">
        <v>42</v>
      </c>
      <c r="AN158" t="s">
        <v>43</v>
      </c>
      <c r="AP158" t="s">
        <v>44</v>
      </c>
      <c r="AQ158">
        <v>59.778723070926397</v>
      </c>
      <c r="AR158" t="s">
        <v>45</v>
      </c>
    </row>
    <row r="159" spans="1:44" x14ac:dyDescent="0.3">
      <c r="A159" t="s">
        <v>65</v>
      </c>
      <c r="B159" t="s">
        <v>49</v>
      </c>
      <c r="C159" s="2" t="str">
        <f t="shared" si="2"/>
        <v>Emotional-I</v>
      </c>
      <c r="D159">
        <v>0.81543190003139898</v>
      </c>
      <c r="E159" t="s">
        <v>59</v>
      </c>
      <c r="F159" t="s">
        <v>56</v>
      </c>
      <c r="G159" t="s">
        <v>57</v>
      </c>
      <c r="H159">
        <v>157</v>
      </c>
      <c r="I159">
        <v>17</v>
      </c>
      <c r="J159">
        <v>7</v>
      </c>
      <c r="K159" t="s">
        <v>57</v>
      </c>
      <c r="L159">
        <v>1</v>
      </c>
      <c r="M159">
        <v>0.64116609998745799</v>
      </c>
      <c r="N159" t="s">
        <v>51</v>
      </c>
      <c r="O159">
        <v>7</v>
      </c>
      <c r="P159">
        <v>17</v>
      </c>
      <c r="Q159">
        <v>157</v>
      </c>
      <c r="R159">
        <v>9</v>
      </c>
      <c r="S159">
        <v>225.799611800001</v>
      </c>
      <c r="X159">
        <v>225.788751600019</v>
      </c>
      <c r="Y159">
        <v>225.799611800001</v>
      </c>
      <c r="Z159">
        <v>226.29872680001401</v>
      </c>
      <c r="AA159">
        <v>226.29872680001401</v>
      </c>
      <c r="AB159">
        <v>226.29872680001401</v>
      </c>
      <c r="AC159">
        <v>226.95229640003501</v>
      </c>
      <c r="AD159" t="s">
        <v>57</v>
      </c>
      <c r="AE159">
        <v>1</v>
      </c>
      <c r="AF159">
        <v>0.64116609998745799</v>
      </c>
      <c r="AG159" t="s">
        <v>51</v>
      </c>
      <c r="AK159" t="s">
        <v>89</v>
      </c>
      <c r="AL159">
        <v>1</v>
      </c>
      <c r="AM159" t="s">
        <v>42</v>
      </c>
      <c r="AN159" t="s">
        <v>43</v>
      </c>
      <c r="AP159" t="s">
        <v>44</v>
      </c>
      <c r="AQ159">
        <v>59.778723070926397</v>
      </c>
      <c r="AR159" t="s">
        <v>45</v>
      </c>
    </row>
    <row r="160" spans="1:44" x14ac:dyDescent="0.3">
      <c r="A160" t="s">
        <v>71</v>
      </c>
      <c r="B160" t="s">
        <v>49</v>
      </c>
      <c r="C160" s="2" t="str">
        <f t="shared" si="2"/>
        <v>Neutral</v>
      </c>
      <c r="D160">
        <v>0.64004919998114895</v>
      </c>
      <c r="E160" t="s">
        <v>47</v>
      </c>
      <c r="F160" t="s">
        <v>48</v>
      </c>
      <c r="G160" t="s">
        <v>50</v>
      </c>
      <c r="H160">
        <v>158</v>
      </c>
      <c r="I160">
        <v>18</v>
      </c>
      <c r="J160">
        <v>7</v>
      </c>
      <c r="K160" t="s">
        <v>50</v>
      </c>
      <c r="L160">
        <v>1</v>
      </c>
      <c r="M160">
        <v>0.65930630004731905</v>
      </c>
      <c r="N160" t="s">
        <v>51</v>
      </c>
      <c r="O160">
        <v>7</v>
      </c>
      <c r="P160">
        <v>18</v>
      </c>
      <c r="Q160">
        <v>158</v>
      </c>
      <c r="R160">
        <v>15</v>
      </c>
      <c r="S160">
        <v>226.965327200014</v>
      </c>
      <c r="X160">
        <v>226.95506690000099</v>
      </c>
      <c r="Y160">
        <v>226.965327200014</v>
      </c>
      <c r="Z160">
        <v>227.46557540004099</v>
      </c>
      <c r="AA160">
        <v>227.46557540004099</v>
      </c>
      <c r="AB160">
        <v>227.46557540004099</v>
      </c>
      <c r="AC160">
        <v>228.135710400005</v>
      </c>
      <c r="AD160" t="s">
        <v>50</v>
      </c>
      <c r="AE160">
        <v>1</v>
      </c>
      <c r="AF160">
        <v>0.65930630004731905</v>
      </c>
      <c r="AG160" t="s">
        <v>51</v>
      </c>
      <c r="AK160" t="s">
        <v>89</v>
      </c>
      <c r="AL160">
        <v>1</v>
      </c>
      <c r="AM160" t="s">
        <v>42</v>
      </c>
      <c r="AN160" t="s">
        <v>43</v>
      </c>
      <c r="AP160" t="s">
        <v>44</v>
      </c>
      <c r="AQ160">
        <v>59.778723070926397</v>
      </c>
      <c r="AR160" t="s">
        <v>45</v>
      </c>
    </row>
    <row r="161" spans="1:44" x14ac:dyDescent="0.3">
      <c r="A161" t="s">
        <v>46</v>
      </c>
      <c r="B161" t="s">
        <v>49</v>
      </c>
      <c r="C161" s="2" t="str">
        <f t="shared" si="2"/>
        <v>Neutral</v>
      </c>
      <c r="D161">
        <v>0.88392140000359998</v>
      </c>
      <c r="E161" t="s">
        <v>47</v>
      </c>
      <c r="F161" t="s">
        <v>48</v>
      </c>
      <c r="G161" t="s">
        <v>50</v>
      </c>
      <c r="H161">
        <v>159</v>
      </c>
      <c r="I161">
        <v>19</v>
      </c>
      <c r="J161">
        <v>7</v>
      </c>
      <c r="K161" t="s">
        <v>50</v>
      </c>
      <c r="L161">
        <v>1</v>
      </c>
      <c r="M161">
        <v>0.42946449998998998</v>
      </c>
      <c r="N161" t="s">
        <v>51</v>
      </c>
      <c r="O161">
        <v>7</v>
      </c>
      <c r="P161">
        <v>19</v>
      </c>
      <c r="Q161">
        <v>159</v>
      </c>
      <c r="R161">
        <v>19</v>
      </c>
      <c r="S161">
        <v>228.14882270002201</v>
      </c>
      <c r="X161">
        <v>228.138680800038</v>
      </c>
      <c r="Y161">
        <v>228.14882270002201</v>
      </c>
      <c r="Z161">
        <v>228.64882970001699</v>
      </c>
      <c r="AA161">
        <v>228.64882970001699</v>
      </c>
      <c r="AB161">
        <v>228.64882970001699</v>
      </c>
      <c r="AC161">
        <v>229.08596769999701</v>
      </c>
      <c r="AD161" t="s">
        <v>50</v>
      </c>
      <c r="AE161">
        <v>1</v>
      </c>
      <c r="AF161">
        <v>0.42946449998998998</v>
      </c>
      <c r="AG161" t="s">
        <v>51</v>
      </c>
      <c r="AK161" t="s">
        <v>89</v>
      </c>
      <c r="AL161">
        <v>1</v>
      </c>
      <c r="AM161" t="s">
        <v>42</v>
      </c>
      <c r="AN161" t="s">
        <v>43</v>
      </c>
      <c r="AP161" t="s">
        <v>44</v>
      </c>
      <c r="AQ161">
        <v>59.778723070926397</v>
      </c>
      <c r="AR161" t="s">
        <v>45</v>
      </c>
    </row>
    <row r="162" spans="1:44" x14ac:dyDescent="0.3">
      <c r="A162" t="s">
        <v>52</v>
      </c>
      <c r="B162" t="s">
        <v>49</v>
      </c>
      <c r="C162" s="2" t="str">
        <f t="shared" si="2"/>
        <v>Neutral</v>
      </c>
      <c r="D162">
        <v>1.5417675999924501</v>
      </c>
      <c r="E162" t="s">
        <v>47</v>
      </c>
      <c r="F162" t="s">
        <v>53</v>
      </c>
      <c r="G162" t="s">
        <v>54</v>
      </c>
      <c r="H162">
        <v>160</v>
      </c>
      <c r="I162">
        <v>0</v>
      </c>
      <c r="J162">
        <v>8</v>
      </c>
      <c r="K162" t="s">
        <v>54</v>
      </c>
      <c r="L162">
        <v>1</v>
      </c>
      <c r="M162">
        <v>0.93339169997489002</v>
      </c>
      <c r="N162" t="s">
        <v>51</v>
      </c>
      <c r="O162">
        <v>8</v>
      </c>
      <c r="P162">
        <v>0</v>
      </c>
      <c r="Q162">
        <v>160</v>
      </c>
      <c r="R162">
        <v>14</v>
      </c>
      <c r="S162">
        <v>229.09886940004</v>
      </c>
      <c r="X162">
        <v>229.08928200002899</v>
      </c>
      <c r="Y162">
        <v>229.09886940004</v>
      </c>
      <c r="Z162">
        <v>229.59909570001699</v>
      </c>
      <c r="AA162">
        <v>229.59909570001699</v>
      </c>
      <c r="AB162">
        <v>229.59909570001699</v>
      </c>
      <c r="AC162">
        <v>230.53610220004299</v>
      </c>
      <c r="AD162" t="s">
        <v>54</v>
      </c>
      <c r="AE162">
        <v>1</v>
      </c>
      <c r="AF162">
        <v>0.93339169997489002</v>
      </c>
      <c r="AG162" t="s">
        <v>51</v>
      </c>
      <c r="AK162" t="s">
        <v>89</v>
      </c>
      <c r="AL162">
        <v>1</v>
      </c>
      <c r="AM162" t="s">
        <v>42</v>
      </c>
      <c r="AN162" t="s">
        <v>43</v>
      </c>
      <c r="AP162" t="s">
        <v>44</v>
      </c>
      <c r="AQ162">
        <v>59.778723070926397</v>
      </c>
      <c r="AR162" t="s">
        <v>45</v>
      </c>
    </row>
    <row r="163" spans="1:44" x14ac:dyDescent="0.3">
      <c r="A163" t="s">
        <v>76</v>
      </c>
      <c r="B163" t="s">
        <v>49</v>
      </c>
      <c r="C163" s="2" t="str">
        <f t="shared" si="2"/>
        <v>Emotional-I</v>
      </c>
      <c r="D163">
        <v>0.45857939997222202</v>
      </c>
      <c r="E163" t="s">
        <v>59</v>
      </c>
      <c r="F163" t="s">
        <v>48</v>
      </c>
      <c r="G163" t="s">
        <v>50</v>
      </c>
      <c r="H163">
        <v>161</v>
      </c>
      <c r="I163">
        <v>1</v>
      </c>
      <c r="J163">
        <v>8</v>
      </c>
      <c r="K163" t="s">
        <v>50</v>
      </c>
      <c r="L163">
        <v>1</v>
      </c>
      <c r="M163">
        <v>0.96100410004146397</v>
      </c>
      <c r="N163" t="s">
        <v>51</v>
      </c>
      <c r="O163">
        <v>8</v>
      </c>
      <c r="P163">
        <v>1</v>
      </c>
      <c r="Q163">
        <v>161</v>
      </c>
      <c r="R163">
        <v>3</v>
      </c>
      <c r="S163">
        <v>230.549411800049</v>
      </c>
      <c r="X163">
        <v>230.539397000044</v>
      </c>
      <c r="Y163">
        <v>230.549411800049</v>
      </c>
      <c r="Z163">
        <v>231.04875820001999</v>
      </c>
      <c r="AA163">
        <v>231.04875820001999</v>
      </c>
      <c r="AB163">
        <v>231.04875820001999</v>
      </c>
      <c r="AC163">
        <v>232.01861100003501</v>
      </c>
      <c r="AD163" t="s">
        <v>50</v>
      </c>
      <c r="AE163">
        <v>1</v>
      </c>
      <c r="AF163">
        <v>0.96100410004146397</v>
      </c>
      <c r="AG163" t="s">
        <v>51</v>
      </c>
      <c r="AK163" t="s">
        <v>89</v>
      </c>
      <c r="AL163">
        <v>1</v>
      </c>
      <c r="AM163" t="s">
        <v>42</v>
      </c>
      <c r="AN163" t="s">
        <v>43</v>
      </c>
      <c r="AP163" t="s">
        <v>44</v>
      </c>
      <c r="AQ163">
        <v>59.778723070926397</v>
      </c>
      <c r="AR163" t="s">
        <v>45</v>
      </c>
    </row>
    <row r="164" spans="1:44" x14ac:dyDescent="0.3">
      <c r="A164" t="s">
        <v>78</v>
      </c>
      <c r="B164" t="s">
        <v>49</v>
      </c>
      <c r="C164" s="2" t="str">
        <f t="shared" si="2"/>
        <v>Neutral</v>
      </c>
      <c r="D164">
        <v>0.76737910002702803</v>
      </c>
      <c r="E164" t="s">
        <v>47</v>
      </c>
      <c r="F164" t="s">
        <v>56</v>
      </c>
      <c r="G164" t="s">
        <v>57</v>
      </c>
      <c r="H164">
        <v>162</v>
      </c>
      <c r="I164">
        <v>2</v>
      </c>
      <c r="J164">
        <v>8</v>
      </c>
      <c r="K164" t="s">
        <v>57</v>
      </c>
      <c r="L164">
        <v>1</v>
      </c>
      <c r="M164">
        <v>0.66823230002773903</v>
      </c>
      <c r="N164" t="s">
        <v>51</v>
      </c>
      <c r="O164">
        <v>8</v>
      </c>
      <c r="P164">
        <v>2</v>
      </c>
      <c r="Q164">
        <v>162</v>
      </c>
      <c r="R164">
        <v>17</v>
      </c>
      <c r="S164">
        <v>232.03156570001701</v>
      </c>
      <c r="X164">
        <v>232.02130150003299</v>
      </c>
      <c r="Y164">
        <v>232.03156570001701</v>
      </c>
      <c r="Z164">
        <v>232.53172420000101</v>
      </c>
      <c r="AA164">
        <v>232.53172420000101</v>
      </c>
      <c r="AB164">
        <v>232.53172420000101</v>
      </c>
      <c r="AC164">
        <v>233.201883800036</v>
      </c>
      <c r="AD164" t="s">
        <v>57</v>
      </c>
      <c r="AE164">
        <v>1</v>
      </c>
      <c r="AF164">
        <v>0.66823230002773903</v>
      </c>
      <c r="AG164" t="s">
        <v>51</v>
      </c>
      <c r="AK164" t="s">
        <v>89</v>
      </c>
      <c r="AL164">
        <v>1</v>
      </c>
      <c r="AM164" t="s">
        <v>42</v>
      </c>
      <c r="AN164" t="s">
        <v>43</v>
      </c>
      <c r="AP164" t="s">
        <v>44</v>
      </c>
      <c r="AQ164">
        <v>59.778723070926397</v>
      </c>
      <c r="AR164" t="s">
        <v>45</v>
      </c>
    </row>
    <row r="165" spans="1:44" x14ac:dyDescent="0.3">
      <c r="A165" t="s">
        <v>75</v>
      </c>
      <c r="B165" t="s">
        <v>49</v>
      </c>
      <c r="C165" s="2" t="str">
        <f t="shared" si="2"/>
        <v>Neutral</v>
      </c>
      <c r="D165">
        <v>1.15858360001584</v>
      </c>
      <c r="E165" t="s">
        <v>47</v>
      </c>
      <c r="F165" t="s">
        <v>61</v>
      </c>
      <c r="G165" t="s">
        <v>63</v>
      </c>
      <c r="H165">
        <v>163</v>
      </c>
      <c r="I165">
        <v>3</v>
      </c>
      <c r="J165">
        <v>8</v>
      </c>
      <c r="K165" t="s">
        <v>63</v>
      </c>
      <c r="L165">
        <v>1</v>
      </c>
      <c r="M165">
        <v>0.65031150000868299</v>
      </c>
      <c r="N165" t="s">
        <v>51</v>
      </c>
      <c r="O165">
        <v>8</v>
      </c>
      <c r="P165">
        <v>3</v>
      </c>
      <c r="Q165">
        <v>163</v>
      </c>
      <c r="R165">
        <v>16</v>
      </c>
      <c r="S165">
        <v>233.21494480001201</v>
      </c>
      <c r="X165">
        <v>233.20463150000401</v>
      </c>
      <c r="Y165">
        <v>233.21494480001201</v>
      </c>
      <c r="Z165">
        <v>233.71486510004601</v>
      </c>
      <c r="AA165">
        <v>233.71486510004601</v>
      </c>
      <c r="AB165">
        <v>233.71486510004601</v>
      </c>
      <c r="AC165">
        <v>234.368210799992</v>
      </c>
      <c r="AD165" t="s">
        <v>63</v>
      </c>
      <c r="AE165">
        <v>1</v>
      </c>
      <c r="AF165">
        <v>0.65031150000868299</v>
      </c>
      <c r="AG165" t="s">
        <v>51</v>
      </c>
      <c r="AK165" t="s">
        <v>89</v>
      </c>
      <c r="AL165">
        <v>1</v>
      </c>
      <c r="AM165" t="s">
        <v>42</v>
      </c>
      <c r="AN165" t="s">
        <v>43</v>
      </c>
      <c r="AP165" t="s">
        <v>44</v>
      </c>
      <c r="AQ165">
        <v>59.778723070926397</v>
      </c>
      <c r="AR165" t="s">
        <v>45</v>
      </c>
    </row>
    <row r="166" spans="1:44" x14ac:dyDescent="0.3">
      <c r="A166" t="s">
        <v>68</v>
      </c>
      <c r="B166" t="s">
        <v>49</v>
      </c>
      <c r="C166" s="2" t="str">
        <f t="shared" si="2"/>
        <v>Emotional-I</v>
      </c>
      <c r="D166">
        <v>0.49559509998653001</v>
      </c>
      <c r="E166" t="s">
        <v>59</v>
      </c>
      <c r="F166" t="s">
        <v>53</v>
      </c>
      <c r="G166" t="s">
        <v>54</v>
      </c>
      <c r="H166">
        <v>164</v>
      </c>
      <c r="I166">
        <v>4</v>
      </c>
      <c r="J166">
        <v>8</v>
      </c>
      <c r="K166" t="s">
        <v>54</v>
      </c>
      <c r="L166">
        <v>1</v>
      </c>
      <c r="M166">
        <v>0.81543190003139898</v>
      </c>
      <c r="N166" t="s">
        <v>51</v>
      </c>
      <c r="O166">
        <v>8</v>
      </c>
      <c r="P166">
        <v>4</v>
      </c>
      <c r="Q166">
        <v>164</v>
      </c>
      <c r="R166">
        <v>6</v>
      </c>
      <c r="S166">
        <v>234.38174230000001</v>
      </c>
      <c r="X166">
        <v>234.37096369999901</v>
      </c>
      <c r="Y166">
        <v>234.38174230000001</v>
      </c>
      <c r="Z166">
        <v>234.881642099993</v>
      </c>
      <c r="AA166">
        <v>234.881642099993</v>
      </c>
      <c r="AB166">
        <v>234.881642099993</v>
      </c>
      <c r="AC166">
        <v>235.702483900007</v>
      </c>
      <c r="AD166" t="s">
        <v>54</v>
      </c>
      <c r="AE166">
        <v>1</v>
      </c>
      <c r="AF166">
        <v>0.81543190003139898</v>
      </c>
      <c r="AG166" t="s">
        <v>51</v>
      </c>
      <c r="AK166" t="s">
        <v>89</v>
      </c>
      <c r="AL166">
        <v>1</v>
      </c>
      <c r="AM166" t="s">
        <v>42</v>
      </c>
      <c r="AN166" t="s">
        <v>43</v>
      </c>
      <c r="AP166" t="s">
        <v>44</v>
      </c>
      <c r="AQ166">
        <v>59.778723070926397</v>
      </c>
      <c r="AR166" t="s">
        <v>45</v>
      </c>
    </row>
    <row r="167" spans="1:44" hidden="1" x14ac:dyDescent="0.3">
      <c r="A167" t="s">
        <v>67</v>
      </c>
      <c r="B167" t="s">
        <v>49</v>
      </c>
      <c r="C167" s="2" t="str">
        <f t="shared" si="2"/>
        <v>Neutral</v>
      </c>
      <c r="D167">
        <v>0.73553860001266003</v>
      </c>
      <c r="E167" t="s">
        <v>47</v>
      </c>
      <c r="F167" t="s">
        <v>53</v>
      </c>
      <c r="G167" t="s">
        <v>54</v>
      </c>
      <c r="H167">
        <v>165</v>
      </c>
      <c r="I167">
        <v>5</v>
      </c>
      <c r="J167">
        <v>8</v>
      </c>
      <c r="K167" t="s">
        <v>57</v>
      </c>
      <c r="L167">
        <v>0</v>
      </c>
      <c r="M167">
        <v>0.51597399997990501</v>
      </c>
      <c r="N167" t="s">
        <v>51</v>
      </c>
      <c r="O167">
        <v>8</v>
      </c>
      <c r="P167">
        <v>5</v>
      </c>
      <c r="Q167">
        <v>165</v>
      </c>
      <c r="R167">
        <v>10</v>
      </c>
      <c r="S167">
        <v>235.71472470002399</v>
      </c>
      <c r="X167">
        <v>235.705024500028</v>
      </c>
      <c r="Y167">
        <v>235.71472470002399</v>
      </c>
      <c r="Z167">
        <v>236.21644790004899</v>
      </c>
      <c r="AA167">
        <v>236.21644790004899</v>
      </c>
      <c r="AB167">
        <v>236.21644790004899</v>
      </c>
      <c r="AC167">
        <v>236.737551000027</v>
      </c>
      <c r="AD167" t="s">
        <v>57</v>
      </c>
      <c r="AE167">
        <v>0</v>
      </c>
      <c r="AF167">
        <v>0.51597399997990501</v>
      </c>
      <c r="AG167" t="s">
        <v>51</v>
      </c>
      <c r="AK167" t="s">
        <v>89</v>
      </c>
      <c r="AL167">
        <v>1</v>
      </c>
      <c r="AM167" t="s">
        <v>42</v>
      </c>
      <c r="AN167" t="s">
        <v>43</v>
      </c>
      <c r="AP167" t="s">
        <v>44</v>
      </c>
      <c r="AQ167">
        <v>59.778723070926397</v>
      </c>
      <c r="AR167" t="s">
        <v>45</v>
      </c>
    </row>
    <row r="168" spans="1:44" hidden="1" x14ac:dyDescent="0.3">
      <c r="A168" t="s">
        <v>71</v>
      </c>
      <c r="B168" t="s">
        <v>49</v>
      </c>
      <c r="C168" s="2" t="str">
        <f t="shared" si="2"/>
        <v>Neutral</v>
      </c>
      <c r="D168">
        <v>0.92181259999051601</v>
      </c>
      <c r="E168" t="s">
        <v>47</v>
      </c>
      <c r="F168" t="s">
        <v>48</v>
      </c>
      <c r="G168" t="s">
        <v>50</v>
      </c>
      <c r="H168">
        <v>166</v>
      </c>
      <c r="I168">
        <v>6</v>
      </c>
      <c r="J168">
        <v>8</v>
      </c>
      <c r="K168" t="s">
        <v>57</v>
      </c>
      <c r="L168">
        <v>0</v>
      </c>
      <c r="M168">
        <v>0.85119439999107205</v>
      </c>
      <c r="N168" t="s">
        <v>51</v>
      </c>
      <c r="O168">
        <v>8</v>
      </c>
      <c r="P168">
        <v>6</v>
      </c>
      <c r="Q168">
        <v>166</v>
      </c>
      <c r="R168">
        <v>15</v>
      </c>
      <c r="S168">
        <v>236.74901480000699</v>
      </c>
      <c r="X168">
        <v>236.74096389999599</v>
      </c>
      <c r="Y168">
        <v>236.74901480000699</v>
      </c>
      <c r="Z168">
        <v>237.24795069999499</v>
      </c>
      <c r="AA168">
        <v>237.24795069999499</v>
      </c>
      <c r="AB168">
        <v>237.24795069999499</v>
      </c>
      <c r="AC168">
        <v>238.10316430003101</v>
      </c>
      <c r="AD168" t="s">
        <v>57</v>
      </c>
      <c r="AE168">
        <v>0</v>
      </c>
      <c r="AF168">
        <v>0.85119439999107205</v>
      </c>
      <c r="AG168" t="s">
        <v>51</v>
      </c>
      <c r="AK168" t="s">
        <v>89</v>
      </c>
      <c r="AL168">
        <v>1</v>
      </c>
      <c r="AM168" t="s">
        <v>42</v>
      </c>
      <c r="AN168" t="s">
        <v>43</v>
      </c>
      <c r="AP168" t="s">
        <v>44</v>
      </c>
      <c r="AQ168">
        <v>59.778723070926397</v>
      </c>
      <c r="AR168" t="s">
        <v>45</v>
      </c>
    </row>
    <row r="169" spans="1:44" x14ac:dyDescent="0.3">
      <c r="A169" t="s">
        <v>72</v>
      </c>
      <c r="B169" t="s">
        <v>62</v>
      </c>
      <c r="C169" s="2" t="str">
        <f t="shared" si="2"/>
        <v>Emotional-C</v>
      </c>
      <c r="D169">
        <v>1.8997065000003199</v>
      </c>
      <c r="E169" t="s">
        <v>59</v>
      </c>
      <c r="F169" t="s">
        <v>61</v>
      </c>
      <c r="G169" t="s">
        <v>63</v>
      </c>
      <c r="H169">
        <v>167</v>
      </c>
      <c r="I169">
        <v>7</v>
      </c>
      <c r="J169">
        <v>8</v>
      </c>
      <c r="K169" t="s">
        <v>63</v>
      </c>
      <c r="L169">
        <v>1</v>
      </c>
      <c r="M169">
        <v>0.64004919998114895</v>
      </c>
      <c r="N169" t="s">
        <v>51</v>
      </c>
      <c r="O169">
        <v>8</v>
      </c>
      <c r="P169">
        <v>7</v>
      </c>
      <c r="Q169">
        <v>167</v>
      </c>
      <c r="R169">
        <v>8</v>
      </c>
      <c r="S169">
        <v>238.114875900035</v>
      </c>
      <c r="X169">
        <v>238.10591919999499</v>
      </c>
      <c r="Y169">
        <v>238.114875900035</v>
      </c>
      <c r="Z169">
        <v>238.614999800047</v>
      </c>
      <c r="AA169">
        <v>238.614999800047</v>
      </c>
      <c r="AB169">
        <v>238.614999800047</v>
      </c>
      <c r="AC169">
        <v>239.268703200039</v>
      </c>
      <c r="AD169" t="s">
        <v>63</v>
      </c>
      <c r="AE169">
        <v>1</v>
      </c>
      <c r="AF169">
        <v>0.64004919998114895</v>
      </c>
      <c r="AG169" t="s">
        <v>51</v>
      </c>
      <c r="AK169" t="s">
        <v>89</v>
      </c>
      <c r="AL169">
        <v>1</v>
      </c>
      <c r="AM169" t="s">
        <v>42</v>
      </c>
      <c r="AN169" t="s">
        <v>43</v>
      </c>
      <c r="AP169" t="s">
        <v>44</v>
      </c>
      <c r="AQ169">
        <v>59.778723070926397</v>
      </c>
      <c r="AR169" t="s">
        <v>45</v>
      </c>
    </row>
    <row r="170" spans="1:44" x14ac:dyDescent="0.3">
      <c r="A170" t="s">
        <v>69</v>
      </c>
      <c r="B170" t="s">
        <v>49</v>
      </c>
      <c r="C170" s="2" t="str">
        <f t="shared" si="2"/>
        <v>Emotional-I</v>
      </c>
      <c r="D170">
        <v>0.63319629995385096</v>
      </c>
      <c r="E170" t="s">
        <v>59</v>
      </c>
      <c r="F170" t="s">
        <v>56</v>
      </c>
      <c r="G170" t="s">
        <v>57</v>
      </c>
      <c r="H170">
        <v>168</v>
      </c>
      <c r="I170">
        <v>8</v>
      </c>
      <c r="J170">
        <v>8</v>
      </c>
      <c r="K170" t="s">
        <v>57</v>
      </c>
      <c r="L170">
        <v>1</v>
      </c>
      <c r="M170">
        <v>0.88392140000359998</v>
      </c>
      <c r="N170" t="s">
        <v>51</v>
      </c>
      <c r="O170">
        <v>8</v>
      </c>
      <c r="P170">
        <v>8</v>
      </c>
      <c r="Q170">
        <v>168</v>
      </c>
      <c r="R170">
        <v>5</v>
      </c>
      <c r="S170">
        <v>239.28162670001601</v>
      </c>
      <c r="X170">
        <v>239.27167040004801</v>
      </c>
      <c r="Y170">
        <v>239.28162670001601</v>
      </c>
      <c r="Z170">
        <v>239.78114440000999</v>
      </c>
      <c r="AA170">
        <v>239.78114440000999</v>
      </c>
      <c r="AB170">
        <v>239.78114440000999</v>
      </c>
      <c r="AC170">
        <v>240.66865810000999</v>
      </c>
      <c r="AD170" t="s">
        <v>57</v>
      </c>
      <c r="AE170">
        <v>1</v>
      </c>
      <c r="AF170">
        <v>0.88392140000359998</v>
      </c>
      <c r="AG170" t="s">
        <v>51</v>
      </c>
      <c r="AK170" t="s">
        <v>89</v>
      </c>
      <c r="AL170">
        <v>1</v>
      </c>
      <c r="AM170" t="s">
        <v>42</v>
      </c>
      <c r="AN170" t="s">
        <v>43</v>
      </c>
      <c r="AP170" t="s">
        <v>44</v>
      </c>
      <c r="AQ170">
        <v>59.778723070926397</v>
      </c>
      <c r="AR170" t="s">
        <v>45</v>
      </c>
    </row>
    <row r="171" spans="1:44" x14ac:dyDescent="0.3">
      <c r="A171" t="s">
        <v>64</v>
      </c>
      <c r="B171" t="s">
        <v>49</v>
      </c>
      <c r="C171" s="2" t="str">
        <f t="shared" si="2"/>
        <v>Neutral</v>
      </c>
      <c r="D171">
        <v>0.92135630000848301</v>
      </c>
      <c r="E171" t="s">
        <v>47</v>
      </c>
      <c r="F171" t="s">
        <v>53</v>
      </c>
      <c r="G171" t="s">
        <v>54</v>
      </c>
      <c r="H171">
        <v>169</v>
      </c>
      <c r="I171">
        <v>9</v>
      </c>
      <c r="J171">
        <v>8</v>
      </c>
      <c r="K171" t="s">
        <v>54</v>
      </c>
      <c r="L171">
        <v>1</v>
      </c>
      <c r="M171">
        <v>1.5417675999924501</v>
      </c>
      <c r="N171" t="s">
        <v>51</v>
      </c>
      <c r="O171">
        <v>8</v>
      </c>
      <c r="P171">
        <v>9</v>
      </c>
      <c r="Q171">
        <v>169</v>
      </c>
      <c r="R171">
        <v>18</v>
      </c>
      <c r="S171">
        <v>240.68146560003501</v>
      </c>
      <c r="X171">
        <v>240.67130780004601</v>
      </c>
      <c r="Y171">
        <v>240.68146560003501</v>
      </c>
      <c r="Z171">
        <v>241.18149700004099</v>
      </c>
      <c r="AA171">
        <v>241.18149700004099</v>
      </c>
      <c r="AB171">
        <v>241.18149700004099</v>
      </c>
      <c r="AC171">
        <v>242.73546910000701</v>
      </c>
      <c r="AD171" t="s">
        <v>54</v>
      </c>
      <c r="AE171">
        <v>1</v>
      </c>
      <c r="AF171">
        <v>1.5417675999924501</v>
      </c>
      <c r="AG171" t="s">
        <v>51</v>
      </c>
      <c r="AK171" t="s">
        <v>89</v>
      </c>
      <c r="AL171">
        <v>1</v>
      </c>
      <c r="AM171" t="s">
        <v>42</v>
      </c>
      <c r="AN171" t="s">
        <v>43</v>
      </c>
      <c r="AP171" t="s">
        <v>44</v>
      </c>
      <c r="AQ171">
        <v>59.778723070926397</v>
      </c>
      <c r="AR171" t="s">
        <v>45</v>
      </c>
    </row>
    <row r="172" spans="1:44" x14ac:dyDescent="0.3">
      <c r="A172" t="s">
        <v>70</v>
      </c>
      <c r="B172" t="s">
        <v>49</v>
      </c>
      <c r="C172" s="2" t="str">
        <f t="shared" si="2"/>
        <v>Emotional-I</v>
      </c>
      <c r="D172">
        <v>0.95064960001036503</v>
      </c>
      <c r="E172" t="s">
        <v>59</v>
      </c>
      <c r="F172" t="s">
        <v>53</v>
      </c>
      <c r="G172" t="s">
        <v>54</v>
      </c>
      <c r="H172">
        <v>170</v>
      </c>
      <c r="I172">
        <v>10</v>
      </c>
      <c r="J172">
        <v>8</v>
      </c>
      <c r="K172" t="s">
        <v>54</v>
      </c>
      <c r="L172">
        <v>1</v>
      </c>
      <c r="M172">
        <v>0.45857939997222202</v>
      </c>
      <c r="N172" t="s">
        <v>51</v>
      </c>
      <c r="O172">
        <v>8</v>
      </c>
      <c r="P172">
        <v>10</v>
      </c>
      <c r="Q172">
        <v>170</v>
      </c>
      <c r="R172">
        <v>2</v>
      </c>
      <c r="S172">
        <v>242.74802020000001</v>
      </c>
      <c r="X172">
        <v>242.73815910000101</v>
      </c>
      <c r="Y172">
        <v>242.74802020000001</v>
      </c>
      <c r="Z172">
        <v>243.248109900043</v>
      </c>
      <c r="AA172">
        <v>243.248109900043</v>
      </c>
      <c r="AB172">
        <v>243.248109900043</v>
      </c>
      <c r="AC172">
        <v>243.71834590000799</v>
      </c>
      <c r="AD172" t="s">
        <v>54</v>
      </c>
      <c r="AE172">
        <v>1</v>
      </c>
      <c r="AF172">
        <v>0.45857939997222202</v>
      </c>
      <c r="AG172" t="s">
        <v>51</v>
      </c>
      <c r="AK172" t="s">
        <v>89</v>
      </c>
      <c r="AL172">
        <v>1</v>
      </c>
      <c r="AM172" t="s">
        <v>42</v>
      </c>
      <c r="AN172" t="s">
        <v>43</v>
      </c>
      <c r="AP172" t="s">
        <v>44</v>
      </c>
      <c r="AQ172">
        <v>59.778723070926397</v>
      </c>
      <c r="AR172" t="s">
        <v>45</v>
      </c>
    </row>
    <row r="173" spans="1:44" x14ac:dyDescent="0.3">
      <c r="A173" t="s">
        <v>66</v>
      </c>
      <c r="B173" t="s">
        <v>49</v>
      </c>
      <c r="C173" s="2" t="str">
        <f t="shared" si="2"/>
        <v>Neutral</v>
      </c>
      <c r="D173">
        <v>0.51419239997630894</v>
      </c>
      <c r="E173" t="s">
        <v>47</v>
      </c>
      <c r="F173" t="s">
        <v>61</v>
      </c>
      <c r="G173" t="s">
        <v>63</v>
      </c>
      <c r="H173">
        <v>171</v>
      </c>
      <c r="I173">
        <v>11</v>
      </c>
      <c r="J173">
        <v>8</v>
      </c>
      <c r="K173" t="s">
        <v>63</v>
      </c>
      <c r="L173">
        <v>1</v>
      </c>
      <c r="M173">
        <v>0.76737910002702803</v>
      </c>
      <c r="N173" t="s">
        <v>51</v>
      </c>
      <c r="O173">
        <v>8</v>
      </c>
      <c r="P173">
        <v>11</v>
      </c>
      <c r="Q173">
        <v>171</v>
      </c>
      <c r="R173">
        <v>12</v>
      </c>
      <c r="S173">
        <v>243.73158990003799</v>
      </c>
      <c r="X173">
        <v>243.7208905</v>
      </c>
      <c r="Y173">
        <v>243.73158990003799</v>
      </c>
      <c r="Z173">
        <v>244.23079430003401</v>
      </c>
      <c r="AA173">
        <v>244.23079430003401</v>
      </c>
      <c r="AB173">
        <v>244.23079430003401</v>
      </c>
      <c r="AC173">
        <v>245.00124070001701</v>
      </c>
      <c r="AD173" t="s">
        <v>63</v>
      </c>
      <c r="AE173">
        <v>1</v>
      </c>
      <c r="AF173">
        <v>0.76737910002702803</v>
      </c>
      <c r="AG173" t="s">
        <v>51</v>
      </c>
      <c r="AK173" t="s">
        <v>89</v>
      </c>
      <c r="AL173">
        <v>1</v>
      </c>
      <c r="AM173" t="s">
        <v>42</v>
      </c>
      <c r="AN173" t="s">
        <v>43</v>
      </c>
      <c r="AP173" t="s">
        <v>44</v>
      </c>
      <c r="AQ173">
        <v>59.778723070926397</v>
      </c>
      <c r="AR173" t="s">
        <v>45</v>
      </c>
    </row>
    <row r="174" spans="1:44" x14ac:dyDescent="0.3">
      <c r="A174" t="s">
        <v>74</v>
      </c>
      <c r="B174" t="s">
        <v>49</v>
      </c>
      <c r="C174" s="2" t="str">
        <f t="shared" si="2"/>
        <v>Neutral</v>
      </c>
      <c r="D174">
        <v>0.42722730000969</v>
      </c>
      <c r="E174" t="s">
        <v>47</v>
      </c>
      <c r="F174" t="s">
        <v>48</v>
      </c>
      <c r="G174" t="s">
        <v>50</v>
      </c>
      <c r="H174">
        <v>172</v>
      </c>
      <c r="I174">
        <v>12</v>
      </c>
      <c r="J174">
        <v>8</v>
      </c>
      <c r="K174" t="s">
        <v>50</v>
      </c>
      <c r="L174">
        <v>1</v>
      </c>
      <c r="M174">
        <v>1.15858360001584</v>
      </c>
      <c r="N174" t="s">
        <v>51</v>
      </c>
      <c r="O174">
        <v>8</v>
      </c>
      <c r="P174">
        <v>12</v>
      </c>
      <c r="Q174">
        <v>172</v>
      </c>
      <c r="R174">
        <v>11</v>
      </c>
      <c r="S174">
        <v>245.01458330004201</v>
      </c>
      <c r="X174">
        <v>245.00476830004399</v>
      </c>
      <c r="Y174">
        <v>245.01458330004201</v>
      </c>
      <c r="Z174">
        <v>245.51467020000501</v>
      </c>
      <c r="AA174">
        <v>245.51467020000501</v>
      </c>
      <c r="AB174">
        <v>245.51467020000501</v>
      </c>
      <c r="AC174">
        <v>246.68473450001301</v>
      </c>
      <c r="AD174" t="s">
        <v>50</v>
      </c>
      <c r="AE174">
        <v>1</v>
      </c>
      <c r="AF174">
        <v>1.15858360001584</v>
      </c>
      <c r="AG174" t="s">
        <v>51</v>
      </c>
      <c r="AK174" t="s">
        <v>89</v>
      </c>
      <c r="AL174">
        <v>1</v>
      </c>
      <c r="AM174" t="s">
        <v>42</v>
      </c>
      <c r="AN174" t="s">
        <v>43</v>
      </c>
      <c r="AP174" t="s">
        <v>44</v>
      </c>
      <c r="AQ174">
        <v>59.778723070926397</v>
      </c>
      <c r="AR174" t="s">
        <v>45</v>
      </c>
    </row>
    <row r="175" spans="1:44" x14ac:dyDescent="0.3">
      <c r="A175" t="s">
        <v>58</v>
      </c>
      <c r="B175" t="s">
        <v>49</v>
      </c>
      <c r="C175" s="2" t="str">
        <f t="shared" si="2"/>
        <v>Emotional-I</v>
      </c>
      <c r="D175">
        <v>0.52126080001471498</v>
      </c>
      <c r="E175" t="s">
        <v>59</v>
      </c>
      <c r="F175" t="s">
        <v>48</v>
      </c>
      <c r="G175" t="s">
        <v>50</v>
      </c>
      <c r="H175">
        <v>173</v>
      </c>
      <c r="I175">
        <v>13</v>
      </c>
      <c r="J175">
        <v>8</v>
      </c>
      <c r="K175" t="s">
        <v>50</v>
      </c>
      <c r="L175">
        <v>1</v>
      </c>
      <c r="M175">
        <v>0.49559509998653001</v>
      </c>
      <c r="N175" t="s">
        <v>51</v>
      </c>
      <c r="O175">
        <v>8</v>
      </c>
      <c r="P175">
        <v>13</v>
      </c>
      <c r="Q175">
        <v>173</v>
      </c>
      <c r="R175">
        <v>7</v>
      </c>
      <c r="S175">
        <v>246.697763700038</v>
      </c>
      <c r="X175">
        <v>246.68792570004001</v>
      </c>
      <c r="Y175">
        <v>246.697763700038</v>
      </c>
      <c r="Z175">
        <v>247.19766580004901</v>
      </c>
      <c r="AA175">
        <v>247.19766580004901</v>
      </c>
      <c r="AB175">
        <v>247.19766580004901</v>
      </c>
      <c r="AC175">
        <v>247.701337800011</v>
      </c>
      <c r="AD175" t="s">
        <v>50</v>
      </c>
      <c r="AE175">
        <v>1</v>
      </c>
      <c r="AF175">
        <v>0.49559509998653001</v>
      </c>
      <c r="AG175" t="s">
        <v>51</v>
      </c>
      <c r="AK175" t="s">
        <v>89</v>
      </c>
      <c r="AL175">
        <v>1</v>
      </c>
      <c r="AM175" t="s">
        <v>42</v>
      </c>
      <c r="AN175" t="s">
        <v>43</v>
      </c>
      <c r="AP175" t="s">
        <v>44</v>
      </c>
      <c r="AQ175">
        <v>59.778723070926397</v>
      </c>
      <c r="AR175" t="s">
        <v>45</v>
      </c>
    </row>
    <row r="176" spans="1:44" x14ac:dyDescent="0.3">
      <c r="A176" t="s">
        <v>73</v>
      </c>
      <c r="B176" t="s">
        <v>49</v>
      </c>
      <c r="C176" s="2" t="str">
        <f t="shared" si="2"/>
        <v>Emotional-I</v>
      </c>
      <c r="D176">
        <v>0.58994480001274496</v>
      </c>
      <c r="E176" t="s">
        <v>59</v>
      </c>
      <c r="F176" t="s">
        <v>56</v>
      </c>
      <c r="G176" t="s">
        <v>57</v>
      </c>
      <c r="H176">
        <v>174</v>
      </c>
      <c r="I176">
        <v>14</v>
      </c>
      <c r="J176">
        <v>8</v>
      </c>
      <c r="K176" t="s">
        <v>57</v>
      </c>
      <c r="L176">
        <v>1</v>
      </c>
      <c r="M176">
        <v>0.73553860001266003</v>
      </c>
      <c r="N176" t="s">
        <v>51</v>
      </c>
      <c r="O176">
        <v>8</v>
      </c>
      <c r="P176">
        <v>14</v>
      </c>
      <c r="Q176">
        <v>174</v>
      </c>
      <c r="R176">
        <v>1</v>
      </c>
      <c r="S176">
        <v>247.714796400046</v>
      </c>
      <c r="X176">
        <v>247.70385290001201</v>
      </c>
      <c r="Y176">
        <v>247.714796400046</v>
      </c>
      <c r="Z176">
        <v>248.21434860001301</v>
      </c>
      <c r="AA176">
        <v>248.21434860001301</v>
      </c>
      <c r="AB176">
        <v>248.21434860001301</v>
      </c>
      <c r="AC176">
        <v>248.95370340003799</v>
      </c>
      <c r="AD176" t="s">
        <v>57</v>
      </c>
      <c r="AE176">
        <v>1</v>
      </c>
      <c r="AF176">
        <v>0.73553860001266003</v>
      </c>
      <c r="AG176" t="s">
        <v>51</v>
      </c>
      <c r="AK176" t="s">
        <v>89</v>
      </c>
      <c r="AL176">
        <v>1</v>
      </c>
      <c r="AM176" t="s">
        <v>42</v>
      </c>
      <c r="AN176" t="s">
        <v>43</v>
      </c>
      <c r="AP176" t="s">
        <v>44</v>
      </c>
      <c r="AQ176">
        <v>59.778723070926397</v>
      </c>
      <c r="AR176" t="s">
        <v>45</v>
      </c>
    </row>
    <row r="177" spans="1:44" x14ac:dyDescent="0.3">
      <c r="A177" t="s">
        <v>60</v>
      </c>
      <c r="B177" t="s">
        <v>62</v>
      </c>
      <c r="C177" s="2" t="str">
        <f t="shared" si="2"/>
        <v>Emotional-C</v>
      </c>
      <c r="D177">
        <v>0.80058010003995095</v>
      </c>
      <c r="E177" t="s">
        <v>59</v>
      </c>
      <c r="F177" t="s">
        <v>61</v>
      </c>
      <c r="G177" t="s">
        <v>63</v>
      </c>
      <c r="H177">
        <v>175</v>
      </c>
      <c r="I177">
        <v>15</v>
      </c>
      <c r="J177">
        <v>8</v>
      </c>
      <c r="K177" t="s">
        <v>63</v>
      </c>
      <c r="L177">
        <v>1</v>
      </c>
      <c r="M177">
        <v>0.92181259999051601</v>
      </c>
      <c r="N177" t="s">
        <v>51</v>
      </c>
      <c r="O177">
        <v>8</v>
      </c>
      <c r="P177">
        <v>15</v>
      </c>
      <c r="Q177">
        <v>175</v>
      </c>
      <c r="R177">
        <v>0</v>
      </c>
      <c r="S177">
        <v>248.96500240004301</v>
      </c>
      <c r="X177">
        <v>248.95739350002199</v>
      </c>
      <c r="Y177">
        <v>248.96500240004301</v>
      </c>
      <c r="Z177">
        <v>249.46435220004</v>
      </c>
      <c r="AA177">
        <v>249.46435220004</v>
      </c>
      <c r="AB177">
        <v>249.46435220004</v>
      </c>
      <c r="AC177">
        <v>250.40165840002001</v>
      </c>
      <c r="AD177" t="s">
        <v>63</v>
      </c>
      <c r="AE177">
        <v>1</v>
      </c>
      <c r="AF177">
        <v>0.92181259999051601</v>
      </c>
      <c r="AG177" t="s">
        <v>51</v>
      </c>
      <c r="AK177" t="s">
        <v>89</v>
      </c>
      <c r="AL177">
        <v>1</v>
      </c>
      <c r="AM177" t="s">
        <v>42</v>
      </c>
      <c r="AN177" t="s">
        <v>43</v>
      </c>
      <c r="AP177" t="s">
        <v>44</v>
      </c>
      <c r="AQ177">
        <v>59.778723070926397</v>
      </c>
      <c r="AR177" t="s">
        <v>45</v>
      </c>
    </row>
    <row r="178" spans="1:44" x14ac:dyDescent="0.3">
      <c r="A178" t="s">
        <v>65</v>
      </c>
      <c r="B178" t="s">
        <v>49</v>
      </c>
      <c r="C178" s="2" t="str">
        <f t="shared" si="2"/>
        <v>Emotional-I</v>
      </c>
      <c r="D178">
        <v>0.94141730002593205</v>
      </c>
      <c r="E178" t="s">
        <v>59</v>
      </c>
      <c r="F178" t="s">
        <v>56</v>
      </c>
      <c r="G178" t="s">
        <v>57</v>
      </c>
      <c r="H178">
        <v>176</v>
      </c>
      <c r="I178">
        <v>16</v>
      </c>
      <c r="J178">
        <v>8</v>
      </c>
      <c r="K178" t="s">
        <v>57</v>
      </c>
      <c r="L178">
        <v>1</v>
      </c>
      <c r="M178">
        <v>1.8997065000003199</v>
      </c>
      <c r="N178" t="s">
        <v>51</v>
      </c>
      <c r="O178">
        <v>8</v>
      </c>
      <c r="P178">
        <v>16</v>
      </c>
      <c r="Q178">
        <v>176</v>
      </c>
      <c r="R178">
        <v>9</v>
      </c>
      <c r="S178">
        <v>250.41460860002499</v>
      </c>
      <c r="X178">
        <v>250.404773500049</v>
      </c>
      <c r="Y178">
        <v>250.41460860002499</v>
      </c>
      <c r="Z178">
        <v>250.914708000025</v>
      </c>
      <c r="AA178">
        <v>250.914708000025</v>
      </c>
      <c r="AB178">
        <v>250.914708000025</v>
      </c>
      <c r="AC178">
        <v>252.81844040000499</v>
      </c>
      <c r="AD178" t="s">
        <v>57</v>
      </c>
      <c r="AE178">
        <v>1</v>
      </c>
      <c r="AF178">
        <v>1.8997065000003199</v>
      </c>
      <c r="AG178" t="s">
        <v>51</v>
      </c>
      <c r="AK178" t="s">
        <v>89</v>
      </c>
      <c r="AL178">
        <v>1</v>
      </c>
      <c r="AM178" t="s">
        <v>42</v>
      </c>
      <c r="AN178" t="s">
        <v>43</v>
      </c>
      <c r="AP178" t="s">
        <v>44</v>
      </c>
      <c r="AQ178">
        <v>59.778723070926397</v>
      </c>
      <c r="AR178" t="s">
        <v>45</v>
      </c>
    </row>
    <row r="179" spans="1:44" x14ac:dyDescent="0.3">
      <c r="A179" t="s">
        <v>77</v>
      </c>
      <c r="B179" t="s">
        <v>62</v>
      </c>
      <c r="C179" s="2" t="str">
        <f t="shared" si="2"/>
        <v>Emotional-C</v>
      </c>
      <c r="D179">
        <v>0.67127170000458103</v>
      </c>
      <c r="E179" t="s">
        <v>59</v>
      </c>
      <c r="F179" t="s">
        <v>61</v>
      </c>
      <c r="G179" t="s">
        <v>63</v>
      </c>
      <c r="H179">
        <v>177</v>
      </c>
      <c r="I179">
        <v>17</v>
      </c>
      <c r="J179">
        <v>8</v>
      </c>
      <c r="K179" t="s">
        <v>63</v>
      </c>
      <c r="L179">
        <v>1</v>
      </c>
      <c r="M179">
        <v>0.63319629995385096</v>
      </c>
      <c r="N179" t="s">
        <v>51</v>
      </c>
      <c r="O179">
        <v>8</v>
      </c>
      <c r="P179">
        <v>17</v>
      </c>
      <c r="Q179">
        <v>177</v>
      </c>
      <c r="R179">
        <v>4</v>
      </c>
      <c r="S179">
        <v>252.83087300002799</v>
      </c>
      <c r="X179">
        <v>252.82116130000199</v>
      </c>
      <c r="Y179">
        <v>252.83087300002799</v>
      </c>
      <c r="Z179">
        <v>253.33123549999399</v>
      </c>
      <c r="AA179">
        <v>253.33123549999399</v>
      </c>
      <c r="AB179">
        <v>253.33123549999399</v>
      </c>
      <c r="AC179">
        <v>253.96832710003901</v>
      </c>
      <c r="AD179" t="s">
        <v>63</v>
      </c>
      <c r="AE179">
        <v>1</v>
      </c>
      <c r="AF179">
        <v>0.63319629995385096</v>
      </c>
      <c r="AG179" t="s">
        <v>51</v>
      </c>
      <c r="AK179" t="s">
        <v>89</v>
      </c>
      <c r="AL179">
        <v>1</v>
      </c>
      <c r="AM179" t="s">
        <v>42</v>
      </c>
      <c r="AN179" t="s">
        <v>43</v>
      </c>
      <c r="AP179" t="s">
        <v>44</v>
      </c>
      <c r="AQ179">
        <v>59.778723070926397</v>
      </c>
      <c r="AR179" t="s">
        <v>45</v>
      </c>
    </row>
    <row r="180" spans="1:44" x14ac:dyDescent="0.3">
      <c r="A180" t="s">
        <v>55</v>
      </c>
      <c r="B180" t="s">
        <v>49</v>
      </c>
      <c r="C180" s="2" t="str">
        <f t="shared" si="2"/>
        <v>Neutral</v>
      </c>
      <c r="D180">
        <v>0.42452920001232902</v>
      </c>
      <c r="E180" t="s">
        <v>47</v>
      </c>
      <c r="F180" t="s">
        <v>56</v>
      </c>
      <c r="G180" t="s">
        <v>57</v>
      </c>
      <c r="H180">
        <v>178</v>
      </c>
      <c r="I180">
        <v>18</v>
      </c>
      <c r="J180">
        <v>8</v>
      </c>
      <c r="K180" t="s">
        <v>57</v>
      </c>
      <c r="L180">
        <v>1</v>
      </c>
      <c r="M180">
        <v>0.92135630000848301</v>
      </c>
      <c r="N180" t="s">
        <v>51</v>
      </c>
      <c r="O180">
        <v>8</v>
      </c>
      <c r="P180">
        <v>18</v>
      </c>
      <c r="Q180">
        <v>178</v>
      </c>
      <c r="R180">
        <v>13</v>
      </c>
      <c r="S180">
        <v>253.98101300001099</v>
      </c>
      <c r="X180">
        <v>253.97095350001399</v>
      </c>
      <c r="Y180">
        <v>253.98101300001099</v>
      </c>
      <c r="Z180">
        <v>254.480599900009</v>
      </c>
      <c r="AA180">
        <v>254.480599900009</v>
      </c>
      <c r="AB180">
        <v>254.480599900009</v>
      </c>
      <c r="AC180">
        <v>255.41798040002999</v>
      </c>
      <c r="AD180" t="s">
        <v>57</v>
      </c>
      <c r="AE180">
        <v>1</v>
      </c>
      <c r="AF180">
        <v>0.92135630000848301</v>
      </c>
      <c r="AG180" t="s">
        <v>51</v>
      </c>
      <c r="AK180" t="s">
        <v>89</v>
      </c>
      <c r="AL180">
        <v>1</v>
      </c>
      <c r="AM180" t="s">
        <v>42</v>
      </c>
      <c r="AN180" t="s">
        <v>43</v>
      </c>
      <c r="AP180" t="s">
        <v>44</v>
      </c>
      <c r="AQ180">
        <v>59.778723070926397</v>
      </c>
      <c r="AR180" t="s">
        <v>45</v>
      </c>
    </row>
    <row r="181" spans="1:44" x14ac:dyDescent="0.3">
      <c r="A181" t="s">
        <v>46</v>
      </c>
      <c r="B181" t="s">
        <v>49</v>
      </c>
      <c r="C181" s="2" t="str">
        <f t="shared" si="2"/>
        <v>Neutral</v>
      </c>
      <c r="D181">
        <v>0.96849729999667</v>
      </c>
      <c r="E181" t="s">
        <v>47</v>
      </c>
      <c r="F181" t="s">
        <v>48</v>
      </c>
      <c r="G181" t="s">
        <v>50</v>
      </c>
      <c r="H181">
        <v>179</v>
      </c>
      <c r="I181">
        <v>19</v>
      </c>
      <c r="J181">
        <v>8</v>
      </c>
      <c r="K181" t="s">
        <v>50</v>
      </c>
      <c r="L181">
        <v>1</v>
      </c>
      <c r="M181">
        <v>0.95064960001036503</v>
      </c>
      <c r="N181" t="s">
        <v>51</v>
      </c>
      <c r="O181">
        <v>8</v>
      </c>
      <c r="P181">
        <v>19</v>
      </c>
      <c r="Q181">
        <v>179</v>
      </c>
      <c r="R181">
        <v>19</v>
      </c>
      <c r="S181">
        <v>255.43062669999199</v>
      </c>
      <c r="X181">
        <v>255.42123170004899</v>
      </c>
      <c r="Y181">
        <v>255.43062669999199</v>
      </c>
      <c r="Z181">
        <v>255.93045440001799</v>
      </c>
      <c r="AA181">
        <v>255.93045440001799</v>
      </c>
      <c r="AB181">
        <v>255.93045440001799</v>
      </c>
      <c r="AC181">
        <v>256.88458110002102</v>
      </c>
      <c r="AD181" t="s">
        <v>50</v>
      </c>
      <c r="AE181">
        <v>1</v>
      </c>
      <c r="AF181">
        <v>0.95064960001036503</v>
      </c>
      <c r="AG181" t="s">
        <v>51</v>
      </c>
      <c r="AK181" t="s">
        <v>89</v>
      </c>
      <c r="AL181">
        <v>1</v>
      </c>
      <c r="AM181" t="s">
        <v>42</v>
      </c>
      <c r="AN181" t="s">
        <v>43</v>
      </c>
      <c r="AP181" t="s">
        <v>44</v>
      </c>
      <c r="AQ181">
        <v>59.778723070926397</v>
      </c>
      <c r="AR181" t="s">
        <v>45</v>
      </c>
    </row>
    <row r="182" spans="1:44" x14ac:dyDescent="0.3">
      <c r="A182" t="s">
        <v>76</v>
      </c>
      <c r="B182" t="s">
        <v>49</v>
      </c>
      <c r="C182" s="2" t="str">
        <f t="shared" si="2"/>
        <v>Emotional-I</v>
      </c>
      <c r="D182">
        <v>0.775515400047879</v>
      </c>
      <c r="E182" t="s">
        <v>59</v>
      </c>
      <c r="F182" t="s">
        <v>48</v>
      </c>
      <c r="G182" t="s">
        <v>50</v>
      </c>
      <c r="H182">
        <v>180</v>
      </c>
      <c r="I182">
        <v>0</v>
      </c>
      <c r="J182">
        <v>9</v>
      </c>
      <c r="K182" t="s">
        <v>50</v>
      </c>
      <c r="L182">
        <v>1</v>
      </c>
      <c r="M182">
        <v>0.51419239997630894</v>
      </c>
      <c r="N182" t="s">
        <v>51</v>
      </c>
      <c r="O182">
        <v>9</v>
      </c>
      <c r="P182">
        <v>0</v>
      </c>
      <c r="Q182">
        <v>180</v>
      </c>
      <c r="R182">
        <v>3</v>
      </c>
      <c r="S182">
        <v>256.89753630000598</v>
      </c>
      <c r="X182">
        <v>256.88862060004601</v>
      </c>
      <c r="Y182">
        <v>256.89753630000598</v>
      </c>
      <c r="Z182">
        <v>257.39773430000002</v>
      </c>
      <c r="AA182">
        <v>257.39773430000002</v>
      </c>
      <c r="AB182">
        <v>257.39773430000002</v>
      </c>
      <c r="AC182">
        <v>257.91774320002799</v>
      </c>
      <c r="AD182" t="s">
        <v>50</v>
      </c>
      <c r="AE182">
        <v>1</v>
      </c>
      <c r="AF182">
        <v>0.51419239997630894</v>
      </c>
      <c r="AG182" t="s">
        <v>51</v>
      </c>
      <c r="AK182" t="s">
        <v>89</v>
      </c>
      <c r="AL182">
        <v>1</v>
      </c>
      <c r="AM182" t="s">
        <v>42</v>
      </c>
      <c r="AN182" t="s">
        <v>43</v>
      </c>
      <c r="AP182" t="s">
        <v>44</v>
      </c>
      <c r="AQ182">
        <v>59.778723070926397</v>
      </c>
      <c r="AR182" t="s">
        <v>45</v>
      </c>
    </row>
    <row r="183" spans="1:44" x14ac:dyDescent="0.3">
      <c r="A183" t="s">
        <v>71</v>
      </c>
      <c r="B183" t="s">
        <v>49</v>
      </c>
      <c r="C183" s="2" t="str">
        <f t="shared" si="2"/>
        <v>Neutral</v>
      </c>
      <c r="D183">
        <v>1.1729950999724601</v>
      </c>
      <c r="E183" t="s">
        <v>47</v>
      </c>
      <c r="F183" t="s">
        <v>48</v>
      </c>
      <c r="G183" t="s">
        <v>50</v>
      </c>
      <c r="H183">
        <v>181</v>
      </c>
      <c r="I183">
        <v>1</v>
      </c>
      <c r="J183">
        <v>9</v>
      </c>
      <c r="K183" t="s">
        <v>50</v>
      </c>
      <c r="L183">
        <v>1</v>
      </c>
      <c r="M183">
        <v>0.42722730000969</v>
      </c>
      <c r="N183" t="s">
        <v>51</v>
      </c>
      <c r="O183">
        <v>9</v>
      </c>
      <c r="P183">
        <v>1</v>
      </c>
      <c r="Q183">
        <v>181</v>
      </c>
      <c r="R183">
        <v>15</v>
      </c>
      <c r="S183">
        <v>257.93106020003302</v>
      </c>
      <c r="X183">
        <v>257.92054230003799</v>
      </c>
      <c r="Y183">
        <v>257.93106020003302</v>
      </c>
      <c r="Z183">
        <v>258.43076050002099</v>
      </c>
      <c r="AA183">
        <v>258.43076050002099</v>
      </c>
      <c r="AB183">
        <v>258.43076050002099</v>
      </c>
      <c r="AC183">
        <v>258.86787680000998</v>
      </c>
      <c r="AD183" t="s">
        <v>50</v>
      </c>
      <c r="AE183">
        <v>1</v>
      </c>
      <c r="AF183">
        <v>0.42722730000969</v>
      </c>
      <c r="AG183" t="s">
        <v>51</v>
      </c>
      <c r="AK183" t="s">
        <v>89</v>
      </c>
      <c r="AL183">
        <v>1</v>
      </c>
      <c r="AM183" t="s">
        <v>42</v>
      </c>
      <c r="AN183" t="s">
        <v>43</v>
      </c>
      <c r="AP183" t="s">
        <v>44</v>
      </c>
      <c r="AQ183">
        <v>59.778723070926397</v>
      </c>
      <c r="AR183" t="s">
        <v>45</v>
      </c>
    </row>
    <row r="184" spans="1:44" x14ac:dyDescent="0.3">
      <c r="A184" t="s">
        <v>66</v>
      </c>
      <c r="B184" t="s">
        <v>49</v>
      </c>
      <c r="C184" s="2" t="str">
        <f t="shared" si="2"/>
        <v>Neutral</v>
      </c>
      <c r="D184">
        <v>0.75237409997498605</v>
      </c>
      <c r="E184" t="s">
        <v>47</v>
      </c>
      <c r="F184" t="s">
        <v>61</v>
      </c>
      <c r="G184" t="s">
        <v>63</v>
      </c>
      <c r="H184">
        <v>182</v>
      </c>
      <c r="I184">
        <v>2</v>
      </c>
      <c r="J184">
        <v>9</v>
      </c>
      <c r="K184" t="s">
        <v>63</v>
      </c>
      <c r="L184">
        <v>1</v>
      </c>
      <c r="M184">
        <v>0.52126080001471498</v>
      </c>
      <c r="N184" t="s">
        <v>51</v>
      </c>
      <c r="O184">
        <v>9</v>
      </c>
      <c r="P184">
        <v>2</v>
      </c>
      <c r="Q184">
        <v>182</v>
      </c>
      <c r="R184">
        <v>12</v>
      </c>
      <c r="S184">
        <v>258.88043620000798</v>
      </c>
      <c r="X184">
        <v>258.87100189999899</v>
      </c>
      <c r="Y184">
        <v>258.88043620000798</v>
      </c>
      <c r="Z184">
        <v>259.38051819999203</v>
      </c>
      <c r="AA184">
        <v>259.38051819999203</v>
      </c>
      <c r="AB184">
        <v>259.38051819999203</v>
      </c>
      <c r="AC184">
        <v>259.91793140000601</v>
      </c>
      <c r="AD184" t="s">
        <v>63</v>
      </c>
      <c r="AE184">
        <v>1</v>
      </c>
      <c r="AF184">
        <v>0.52126080001471498</v>
      </c>
      <c r="AG184" t="s">
        <v>51</v>
      </c>
      <c r="AK184" t="s">
        <v>89</v>
      </c>
      <c r="AL184">
        <v>1</v>
      </c>
      <c r="AM184" t="s">
        <v>42</v>
      </c>
      <c r="AN184" t="s">
        <v>43</v>
      </c>
      <c r="AP184" t="s">
        <v>44</v>
      </c>
      <c r="AQ184">
        <v>59.778723070926397</v>
      </c>
      <c r="AR184" t="s">
        <v>45</v>
      </c>
    </row>
    <row r="185" spans="1:44" x14ac:dyDescent="0.3">
      <c r="A185" t="s">
        <v>55</v>
      </c>
      <c r="B185" t="s">
        <v>49</v>
      </c>
      <c r="C185" s="2" t="str">
        <f t="shared" si="2"/>
        <v>Neutral</v>
      </c>
      <c r="D185">
        <v>0.55930109997279898</v>
      </c>
      <c r="E185" t="s">
        <v>47</v>
      </c>
      <c r="F185" t="s">
        <v>56</v>
      </c>
      <c r="G185" t="s">
        <v>57</v>
      </c>
      <c r="H185">
        <v>183</v>
      </c>
      <c r="I185">
        <v>3</v>
      </c>
      <c r="J185">
        <v>9</v>
      </c>
      <c r="K185" t="s">
        <v>57</v>
      </c>
      <c r="L185">
        <v>1</v>
      </c>
      <c r="M185">
        <v>0.58994480001274496</v>
      </c>
      <c r="N185" t="s">
        <v>51</v>
      </c>
      <c r="O185">
        <v>9</v>
      </c>
      <c r="P185">
        <v>3</v>
      </c>
      <c r="Q185">
        <v>183</v>
      </c>
      <c r="R185">
        <v>13</v>
      </c>
      <c r="S185">
        <v>259.93070300004899</v>
      </c>
      <c r="X185">
        <v>259.92090800002899</v>
      </c>
      <c r="Y185">
        <v>259.93070300004899</v>
      </c>
      <c r="Z185">
        <v>260.43093160004298</v>
      </c>
      <c r="AA185">
        <v>260.43093160004298</v>
      </c>
      <c r="AB185">
        <v>260.43093160004298</v>
      </c>
      <c r="AC185">
        <v>261.034968800027</v>
      </c>
      <c r="AD185" t="s">
        <v>57</v>
      </c>
      <c r="AE185">
        <v>1</v>
      </c>
      <c r="AF185">
        <v>0.58994480001274496</v>
      </c>
      <c r="AG185" t="s">
        <v>51</v>
      </c>
      <c r="AK185" t="s">
        <v>89</v>
      </c>
      <c r="AL185">
        <v>1</v>
      </c>
      <c r="AM185" t="s">
        <v>42</v>
      </c>
      <c r="AN185" t="s">
        <v>43</v>
      </c>
      <c r="AP185" t="s">
        <v>44</v>
      </c>
      <c r="AQ185">
        <v>59.778723070926397</v>
      </c>
      <c r="AR185" t="s">
        <v>45</v>
      </c>
    </row>
    <row r="186" spans="1:44" x14ac:dyDescent="0.3">
      <c r="A186" t="s">
        <v>46</v>
      </c>
      <c r="B186" t="s">
        <v>49</v>
      </c>
      <c r="C186" s="2" t="str">
        <f t="shared" si="2"/>
        <v>Neutral</v>
      </c>
      <c r="D186">
        <v>0.85134450002806195</v>
      </c>
      <c r="E186" t="s">
        <v>47</v>
      </c>
      <c r="F186" t="s">
        <v>48</v>
      </c>
      <c r="G186" t="s">
        <v>50</v>
      </c>
      <c r="H186">
        <v>184</v>
      </c>
      <c r="I186">
        <v>4</v>
      </c>
      <c r="J186">
        <v>9</v>
      </c>
      <c r="K186" t="s">
        <v>50</v>
      </c>
      <c r="L186">
        <v>1</v>
      </c>
      <c r="M186">
        <v>0.80058010003995095</v>
      </c>
      <c r="N186" t="s">
        <v>51</v>
      </c>
      <c r="O186">
        <v>9</v>
      </c>
      <c r="P186">
        <v>4</v>
      </c>
      <c r="Q186">
        <v>184</v>
      </c>
      <c r="R186">
        <v>19</v>
      </c>
      <c r="S186">
        <v>261.04668440000302</v>
      </c>
      <c r="X186">
        <v>261.03806849999802</v>
      </c>
      <c r="Y186">
        <v>261.04668440000302</v>
      </c>
      <c r="Z186">
        <v>261.54731960000902</v>
      </c>
      <c r="AA186">
        <v>261.54731960000902</v>
      </c>
      <c r="AB186">
        <v>261.54731960000902</v>
      </c>
      <c r="AC186">
        <v>262.35068220004899</v>
      </c>
      <c r="AD186" t="s">
        <v>50</v>
      </c>
      <c r="AE186">
        <v>1</v>
      </c>
      <c r="AF186">
        <v>0.80058010003995095</v>
      </c>
      <c r="AG186" t="s">
        <v>51</v>
      </c>
      <c r="AK186" t="s">
        <v>89</v>
      </c>
      <c r="AL186">
        <v>1</v>
      </c>
      <c r="AM186" t="s">
        <v>42</v>
      </c>
      <c r="AN186" t="s">
        <v>43</v>
      </c>
      <c r="AP186" t="s">
        <v>44</v>
      </c>
      <c r="AQ186">
        <v>59.778723070926397</v>
      </c>
      <c r="AR186" t="s">
        <v>45</v>
      </c>
    </row>
    <row r="187" spans="1:44" x14ac:dyDescent="0.3">
      <c r="A187" t="s">
        <v>70</v>
      </c>
      <c r="B187" t="s">
        <v>49</v>
      </c>
      <c r="C187" s="2" t="str">
        <f t="shared" si="2"/>
        <v>Emotional-I</v>
      </c>
      <c r="D187">
        <v>0.56718900002306305</v>
      </c>
      <c r="E187" t="s">
        <v>59</v>
      </c>
      <c r="F187" t="s">
        <v>53</v>
      </c>
      <c r="G187" t="s">
        <v>54</v>
      </c>
      <c r="H187">
        <v>185</v>
      </c>
      <c r="I187">
        <v>5</v>
      </c>
      <c r="J187">
        <v>9</v>
      </c>
      <c r="K187" t="s">
        <v>54</v>
      </c>
      <c r="L187">
        <v>1</v>
      </c>
      <c r="M187">
        <v>0.94141730002593205</v>
      </c>
      <c r="N187" t="s">
        <v>51</v>
      </c>
      <c r="O187">
        <v>9</v>
      </c>
      <c r="P187">
        <v>5</v>
      </c>
      <c r="Q187">
        <v>185</v>
      </c>
      <c r="R187">
        <v>2</v>
      </c>
      <c r="S187">
        <v>262.36420539999301</v>
      </c>
      <c r="X187">
        <v>262.35355749999798</v>
      </c>
      <c r="Y187">
        <v>262.36420539999301</v>
      </c>
      <c r="Z187">
        <v>262.863928600039</v>
      </c>
      <c r="AA187">
        <v>262.863928600039</v>
      </c>
      <c r="AB187">
        <v>262.863928600039</v>
      </c>
      <c r="AC187">
        <v>263.81797040003499</v>
      </c>
      <c r="AD187" t="s">
        <v>54</v>
      </c>
      <c r="AE187">
        <v>1</v>
      </c>
      <c r="AF187">
        <v>0.94141730002593205</v>
      </c>
      <c r="AG187" t="s">
        <v>51</v>
      </c>
      <c r="AK187" t="s">
        <v>89</v>
      </c>
      <c r="AL187">
        <v>1</v>
      </c>
      <c r="AM187" t="s">
        <v>42</v>
      </c>
      <c r="AN187" t="s">
        <v>43</v>
      </c>
      <c r="AP187" t="s">
        <v>44</v>
      </c>
      <c r="AQ187">
        <v>59.778723070926397</v>
      </c>
      <c r="AR187" t="s">
        <v>45</v>
      </c>
    </row>
    <row r="188" spans="1:44" x14ac:dyDescent="0.3">
      <c r="A188" t="s">
        <v>65</v>
      </c>
      <c r="B188" t="s">
        <v>49</v>
      </c>
      <c r="C188" s="2" t="str">
        <f t="shared" si="2"/>
        <v>Emotional-I</v>
      </c>
      <c r="D188">
        <v>1.46754839998902</v>
      </c>
      <c r="E188" t="s">
        <v>59</v>
      </c>
      <c r="F188" t="s">
        <v>56</v>
      </c>
      <c r="G188" t="s">
        <v>57</v>
      </c>
      <c r="H188">
        <v>186</v>
      </c>
      <c r="I188">
        <v>6</v>
      </c>
      <c r="J188">
        <v>9</v>
      </c>
      <c r="K188" t="s">
        <v>57</v>
      </c>
      <c r="L188">
        <v>1</v>
      </c>
      <c r="M188">
        <v>0.67127170000458103</v>
      </c>
      <c r="N188" t="s">
        <v>51</v>
      </c>
      <c r="O188">
        <v>9</v>
      </c>
      <c r="P188">
        <v>6</v>
      </c>
      <c r="Q188">
        <v>186</v>
      </c>
      <c r="R188">
        <v>9</v>
      </c>
      <c r="S188">
        <v>263.83154199999899</v>
      </c>
      <c r="X188">
        <v>263.82135400001403</v>
      </c>
      <c r="Y188">
        <v>263.83154199999899</v>
      </c>
      <c r="Z188">
        <v>264.33096490002902</v>
      </c>
      <c r="AA188">
        <v>264.33096490002902</v>
      </c>
      <c r="AB188">
        <v>264.33096490002902</v>
      </c>
      <c r="AC188">
        <v>265.01728690002301</v>
      </c>
      <c r="AD188" t="s">
        <v>57</v>
      </c>
      <c r="AE188">
        <v>1</v>
      </c>
      <c r="AF188">
        <v>0.67127170000458103</v>
      </c>
      <c r="AG188" t="s">
        <v>51</v>
      </c>
      <c r="AK188" t="s">
        <v>89</v>
      </c>
      <c r="AL188">
        <v>1</v>
      </c>
      <c r="AM188" t="s">
        <v>42</v>
      </c>
      <c r="AN188" t="s">
        <v>43</v>
      </c>
      <c r="AP188" t="s">
        <v>44</v>
      </c>
      <c r="AQ188">
        <v>59.778723070926397</v>
      </c>
      <c r="AR188" t="s">
        <v>45</v>
      </c>
    </row>
    <row r="189" spans="1:44" x14ac:dyDescent="0.3">
      <c r="A189" t="s">
        <v>69</v>
      </c>
      <c r="B189" t="s">
        <v>49</v>
      </c>
      <c r="C189" s="2" t="str">
        <f t="shared" si="2"/>
        <v>Emotional-I</v>
      </c>
      <c r="D189">
        <v>0.91120009997393903</v>
      </c>
      <c r="E189" t="s">
        <v>59</v>
      </c>
      <c r="F189" t="s">
        <v>56</v>
      </c>
      <c r="G189" t="s">
        <v>57</v>
      </c>
      <c r="H189">
        <v>187</v>
      </c>
      <c r="I189">
        <v>7</v>
      </c>
      <c r="J189">
        <v>9</v>
      </c>
      <c r="K189" t="s">
        <v>57</v>
      </c>
      <c r="L189">
        <v>1</v>
      </c>
      <c r="M189">
        <v>0.42452920001232902</v>
      </c>
      <c r="N189" t="s">
        <v>51</v>
      </c>
      <c r="O189">
        <v>9</v>
      </c>
      <c r="P189">
        <v>7</v>
      </c>
      <c r="Q189">
        <v>187</v>
      </c>
      <c r="R189">
        <v>5</v>
      </c>
      <c r="S189">
        <v>265.030492299993</v>
      </c>
      <c r="X189">
        <v>265.019926600041</v>
      </c>
      <c r="Y189">
        <v>265.030492299993</v>
      </c>
      <c r="Z189">
        <v>265.531030300015</v>
      </c>
      <c r="AA189">
        <v>265.531030300015</v>
      </c>
      <c r="AB189">
        <v>265.531030300015</v>
      </c>
      <c r="AC189">
        <v>265.96869980002498</v>
      </c>
      <c r="AD189" t="s">
        <v>57</v>
      </c>
      <c r="AE189">
        <v>1</v>
      </c>
      <c r="AF189">
        <v>0.42452920001232902</v>
      </c>
      <c r="AG189" t="s">
        <v>51</v>
      </c>
      <c r="AK189" t="s">
        <v>89</v>
      </c>
      <c r="AL189">
        <v>1</v>
      </c>
      <c r="AM189" t="s">
        <v>42</v>
      </c>
      <c r="AN189" t="s">
        <v>43</v>
      </c>
      <c r="AP189" t="s">
        <v>44</v>
      </c>
      <c r="AQ189">
        <v>59.778723070926397</v>
      </c>
      <c r="AR189" t="s">
        <v>45</v>
      </c>
    </row>
    <row r="190" spans="1:44" x14ac:dyDescent="0.3">
      <c r="A190" t="s">
        <v>74</v>
      </c>
      <c r="B190" t="s">
        <v>49</v>
      </c>
      <c r="C190" s="2" t="str">
        <f t="shared" si="2"/>
        <v>Neutral</v>
      </c>
      <c r="D190">
        <v>1.4712291000177999</v>
      </c>
      <c r="E190" t="s">
        <v>47</v>
      </c>
      <c r="F190" t="s">
        <v>48</v>
      </c>
      <c r="G190" t="s">
        <v>50</v>
      </c>
      <c r="H190">
        <v>188</v>
      </c>
      <c r="I190">
        <v>8</v>
      </c>
      <c r="J190">
        <v>9</v>
      </c>
      <c r="K190" t="s">
        <v>50</v>
      </c>
      <c r="L190">
        <v>1</v>
      </c>
      <c r="M190">
        <v>0.96849729999667</v>
      </c>
      <c r="N190" t="s">
        <v>51</v>
      </c>
      <c r="O190">
        <v>9</v>
      </c>
      <c r="P190">
        <v>8</v>
      </c>
      <c r="Q190">
        <v>188</v>
      </c>
      <c r="R190">
        <v>11</v>
      </c>
      <c r="S190">
        <v>265.98056840000203</v>
      </c>
      <c r="X190">
        <v>265.972821400035</v>
      </c>
      <c r="Y190">
        <v>265.98056840000203</v>
      </c>
      <c r="Z190">
        <v>266.48001220001601</v>
      </c>
      <c r="AA190">
        <v>266.48001220001601</v>
      </c>
      <c r="AB190">
        <v>266.48001220001601</v>
      </c>
      <c r="AC190">
        <v>267.45137970003998</v>
      </c>
      <c r="AD190" t="s">
        <v>50</v>
      </c>
      <c r="AE190">
        <v>1</v>
      </c>
      <c r="AF190">
        <v>0.96849729999667</v>
      </c>
      <c r="AG190" t="s">
        <v>51</v>
      </c>
      <c r="AK190" t="s">
        <v>89</v>
      </c>
      <c r="AL190">
        <v>1</v>
      </c>
      <c r="AM190" t="s">
        <v>42</v>
      </c>
      <c r="AN190" t="s">
        <v>43</v>
      </c>
      <c r="AP190" t="s">
        <v>44</v>
      </c>
      <c r="AQ190">
        <v>59.778723070926397</v>
      </c>
      <c r="AR190" t="s">
        <v>45</v>
      </c>
    </row>
    <row r="191" spans="1:44" x14ac:dyDescent="0.3">
      <c r="A191" t="s">
        <v>73</v>
      </c>
      <c r="B191" t="s">
        <v>49</v>
      </c>
      <c r="C191" s="2" t="str">
        <f t="shared" si="2"/>
        <v>Emotional-I</v>
      </c>
      <c r="D191">
        <v>0.95767589996103197</v>
      </c>
      <c r="E191" t="s">
        <v>59</v>
      </c>
      <c r="F191" t="s">
        <v>56</v>
      </c>
      <c r="G191" t="s">
        <v>57</v>
      </c>
      <c r="H191">
        <v>189</v>
      </c>
      <c r="I191">
        <v>9</v>
      </c>
      <c r="J191">
        <v>9</v>
      </c>
      <c r="K191" t="s">
        <v>57</v>
      </c>
      <c r="L191">
        <v>1</v>
      </c>
      <c r="M191">
        <v>0.775515400047879</v>
      </c>
      <c r="N191" t="s">
        <v>51</v>
      </c>
      <c r="O191">
        <v>9</v>
      </c>
      <c r="P191">
        <v>9</v>
      </c>
      <c r="Q191">
        <v>189</v>
      </c>
      <c r="R191">
        <v>1</v>
      </c>
      <c r="S191">
        <v>267.46371189999599</v>
      </c>
      <c r="X191">
        <v>267.453832600032</v>
      </c>
      <c r="Y191">
        <v>267.46371189999599</v>
      </c>
      <c r="Z191">
        <v>267.96342869999302</v>
      </c>
      <c r="AA191">
        <v>267.96342869999302</v>
      </c>
      <c r="AB191">
        <v>267.96342869999302</v>
      </c>
      <c r="AC191">
        <v>268.75038179999598</v>
      </c>
      <c r="AD191" t="s">
        <v>57</v>
      </c>
      <c r="AE191">
        <v>1</v>
      </c>
      <c r="AF191">
        <v>0.775515400047879</v>
      </c>
      <c r="AG191" t="s">
        <v>51</v>
      </c>
      <c r="AK191" t="s">
        <v>89</v>
      </c>
      <c r="AL191">
        <v>1</v>
      </c>
      <c r="AM191" t="s">
        <v>42</v>
      </c>
      <c r="AN191" t="s">
        <v>43</v>
      </c>
      <c r="AP191" t="s">
        <v>44</v>
      </c>
      <c r="AQ191">
        <v>59.778723070926397</v>
      </c>
      <c r="AR191" t="s">
        <v>45</v>
      </c>
    </row>
    <row r="192" spans="1:44" x14ac:dyDescent="0.3">
      <c r="A192" t="s">
        <v>78</v>
      </c>
      <c r="B192" t="s">
        <v>49</v>
      </c>
      <c r="C192" s="2" t="str">
        <f t="shared" si="2"/>
        <v>Neutral</v>
      </c>
      <c r="D192">
        <v>1.52023399999598</v>
      </c>
      <c r="E192" t="s">
        <v>47</v>
      </c>
      <c r="F192" t="s">
        <v>56</v>
      </c>
      <c r="G192" t="s">
        <v>57</v>
      </c>
      <c r="H192">
        <v>190</v>
      </c>
      <c r="I192">
        <v>10</v>
      </c>
      <c r="J192">
        <v>9</v>
      </c>
      <c r="K192" t="s">
        <v>57</v>
      </c>
      <c r="L192">
        <v>1</v>
      </c>
      <c r="M192">
        <v>1.1729950999724601</v>
      </c>
      <c r="N192" t="s">
        <v>51</v>
      </c>
      <c r="O192">
        <v>9</v>
      </c>
      <c r="P192">
        <v>10</v>
      </c>
      <c r="Q192">
        <v>190</v>
      </c>
      <c r="R192">
        <v>17</v>
      </c>
      <c r="S192">
        <v>268.76345210004303</v>
      </c>
      <c r="X192">
        <v>268.753201800049</v>
      </c>
      <c r="Y192">
        <v>268.76345210004303</v>
      </c>
      <c r="Z192">
        <v>269.26326870004402</v>
      </c>
      <c r="AA192">
        <v>269.26326870004402</v>
      </c>
      <c r="AB192">
        <v>269.26326870004402</v>
      </c>
      <c r="AC192">
        <v>270.45017339999299</v>
      </c>
      <c r="AD192" t="s">
        <v>57</v>
      </c>
      <c r="AE192">
        <v>1</v>
      </c>
      <c r="AF192">
        <v>1.1729950999724601</v>
      </c>
      <c r="AG192" t="s">
        <v>51</v>
      </c>
      <c r="AK192" t="s">
        <v>89</v>
      </c>
      <c r="AL192">
        <v>1</v>
      </c>
      <c r="AM192" t="s">
        <v>42</v>
      </c>
      <c r="AN192" t="s">
        <v>43</v>
      </c>
      <c r="AP192" t="s">
        <v>44</v>
      </c>
      <c r="AQ192">
        <v>59.778723070926397</v>
      </c>
      <c r="AR192" t="s">
        <v>45</v>
      </c>
    </row>
    <row r="193" spans="1:44" x14ac:dyDescent="0.3">
      <c r="A193" t="s">
        <v>68</v>
      </c>
      <c r="B193" t="s">
        <v>49</v>
      </c>
      <c r="C193" s="2" t="str">
        <f t="shared" si="2"/>
        <v>Emotional-I</v>
      </c>
      <c r="D193">
        <v>1.04994160000933</v>
      </c>
      <c r="E193" t="s">
        <v>59</v>
      </c>
      <c r="F193" t="s">
        <v>53</v>
      </c>
      <c r="G193" t="s">
        <v>54</v>
      </c>
      <c r="H193">
        <v>191</v>
      </c>
      <c r="I193">
        <v>11</v>
      </c>
      <c r="J193">
        <v>9</v>
      </c>
      <c r="K193" t="s">
        <v>54</v>
      </c>
      <c r="L193">
        <v>1</v>
      </c>
      <c r="M193">
        <v>0.75237409997498605</v>
      </c>
      <c r="N193" t="s">
        <v>51</v>
      </c>
      <c r="O193">
        <v>9</v>
      </c>
      <c r="P193">
        <v>11</v>
      </c>
      <c r="Q193">
        <v>191</v>
      </c>
      <c r="R193">
        <v>6</v>
      </c>
      <c r="S193">
        <v>270.46361790003698</v>
      </c>
      <c r="X193">
        <v>270.45363840000903</v>
      </c>
      <c r="Y193">
        <v>270.46361790003698</v>
      </c>
      <c r="Z193">
        <v>270.963392000005</v>
      </c>
      <c r="AA193">
        <v>270.963392000005</v>
      </c>
      <c r="AB193">
        <v>270.963392000005</v>
      </c>
      <c r="AC193">
        <v>271.717855199996</v>
      </c>
      <c r="AD193" t="s">
        <v>54</v>
      </c>
      <c r="AE193">
        <v>1</v>
      </c>
      <c r="AF193">
        <v>0.75237409997498605</v>
      </c>
      <c r="AG193" t="s">
        <v>51</v>
      </c>
      <c r="AK193" t="s">
        <v>89</v>
      </c>
      <c r="AL193">
        <v>1</v>
      </c>
      <c r="AM193" t="s">
        <v>42</v>
      </c>
      <c r="AN193" t="s">
        <v>43</v>
      </c>
      <c r="AP193" t="s">
        <v>44</v>
      </c>
      <c r="AQ193">
        <v>59.778723070926397</v>
      </c>
      <c r="AR193" t="s">
        <v>45</v>
      </c>
    </row>
    <row r="194" spans="1:44" x14ac:dyDescent="0.3">
      <c r="A194" t="s">
        <v>77</v>
      </c>
      <c r="B194" t="s">
        <v>62</v>
      </c>
      <c r="C194" s="2" t="str">
        <f t="shared" ref="C194:C257" si="3">IF(E194="neutral","Neutral",
IF(AND(E194="emotional",B194="C"),"Emotional-C",
IF(AND(E194="emotional",B194="I"),"Emotional-I","")))</f>
        <v>Emotional-C</v>
      </c>
      <c r="D194">
        <v>0.86224550002953004</v>
      </c>
      <c r="E194" t="s">
        <v>59</v>
      </c>
      <c r="F194" t="s">
        <v>61</v>
      </c>
      <c r="G194" t="s">
        <v>63</v>
      </c>
      <c r="H194">
        <v>192</v>
      </c>
      <c r="I194">
        <v>12</v>
      </c>
      <c r="J194">
        <v>9</v>
      </c>
      <c r="K194" t="s">
        <v>63</v>
      </c>
      <c r="L194">
        <v>1</v>
      </c>
      <c r="M194">
        <v>0.55930109997279898</v>
      </c>
      <c r="N194" t="s">
        <v>51</v>
      </c>
      <c r="O194">
        <v>9</v>
      </c>
      <c r="P194">
        <v>12</v>
      </c>
      <c r="Q194">
        <v>192</v>
      </c>
      <c r="R194">
        <v>4</v>
      </c>
      <c r="S194">
        <v>271.730534700036</v>
      </c>
      <c r="X194">
        <v>271.72084770002402</v>
      </c>
      <c r="Y194">
        <v>271.730534700036</v>
      </c>
      <c r="Z194">
        <v>272.23057770001401</v>
      </c>
      <c r="AA194">
        <v>272.23057770001401</v>
      </c>
      <c r="AB194">
        <v>272.23057770001401</v>
      </c>
      <c r="AC194">
        <v>272.798360400018</v>
      </c>
      <c r="AD194" t="s">
        <v>63</v>
      </c>
      <c r="AE194">
        <v>1</v>
      </c>
      <c r="AF194">
        <v>0.55930109997279898</v>
      </c>
      <c r="AG194" t="s">
        <v>51</v>
      </c>
      <c r="AK194" t="s">
        <v>89</v>
      </c>
      <c r="AL194">
        <v>1</v>
      </c>
      <c r="AM194" t="s">
        <v>42</v>
      </c>
      <c r="AN194" t="s">
        <v>43</v>
      </c>
      <c r="AP194" t="s">
        <v>44</v>
      </c>
      <c r="AQ194">
        <v>59.778723070926397</v>
      </c>
      <c r="AR194" t="s">
        <v>45</v>
      </c>
    </row>
    <row r="195" spans="1:44" x14ac:dyDescent="0.3">
      <c r="A195" t="s">
        <v>67</v>
      </c>
      <c r="B195" t="s">
        <v>49</v>
      </c>
      <c r="C195" s="2" t="str">
        <f t="shared" si="3"/>
        <v>Neutral</v>
      </c>
      <c r="D195">
        <v>1.0147866999613999</v>
      </c>
      <c r="E195" t="s">
        <v>47</v>
      </c>
      <c r="F195" t="s">
        <v>53</v>
      </c>
      <c r="G195" t="s">
        <v>54</v>
      </c>
      <c r="H195">
        <v>193</v>
      </c>
      <c r="I195">
        <v>13</v>
      </c>
      <c r="J195">
        <v>9</v>
      </c>
      <c r="K195" t="s">
        <v>54</v>
      </c>
      <c r="L195">
        <v>1</v>
      </c>
      <c r="M195">
        <v>0.85134450002806195</v>
      </c>
      <c r="N195" t="s">
        <v>51</v>
      </c>
      <c r="O195">
        <v>9</v>
      </c>
      <c r="P195">
        <v>13</v>
      </c>
      <c r="Q195">
        <v>193</v>
      </c>
      <c r="R195">
        <v>10</v>
      </c>
      <c r="S195">
        <v>272.81245560001099</v>
      </c>
      <c r="X195">
        <v>272.80116600001901</v>
      </c>
      <c r="Y195">
        <v>272.81245560001099</v>
      </c>
      <c r="Z195">
        <v>273.312266500026</v>
      </c>
      <c r="AA195">
        <v>273.312266500026</v>
      </c>
      <c r="AB195">
        <v>273.312266500026</v>
      </c>
      <c r="AC195">
        <v>274.167176100017</v>
      </c>
      <c r="AD195" t="s">
        <v>54</v>
      </c>
      <c r="AE195">
        <v>1</v>
      </c>
      <c r="AF195">
        <v>0.85134450002806195</v>
      </c>
      <c r="AG195" t="s">
        <v>51</v>
      </c>
      <c r="AK195" t="s">
        <v>89</v>
      </c>
      <c r="AL195">
        <v>1</v>
      </c>
      <c r="AM195" t="s">
        <v>42</v>
      </c>
      <c r="AN195" t="s">
        <v>43</v>
      </c>
      <c r="AP195" t="s">
        <v>44</v>
      </c>
      <c r="AQ195">
        <v>59.778723070926397</v>
      </c>
      <c r="AR195" t="s">
        <v>45</v>
      </c>
    </row>
    <row r="196" spans="1:44" x14ac:dyDescent="0.3">
      <c r="A196" t="s">
        <v>52</v>
      </c>
      <c r="B196" t="s">
        <v>49</v>
      </c>
      <c r="C196" s="2" t="str">
        <f t="shared" si="3"/>
        <v>Neutral</v>
      </c>
      <c r="D196">
        <v>0.93821589997969501</v>
      </c>
      <c r="E196" t="s">
        <v>47</v>
      </c>
      <c r="F196" t="s">
        <v>53</v>
      </c>
      <c r="G196" t="s">
        <v>54</v>
      </c>
      <c r="H196">
        <v>194</v>
      </c>
      <c r="I196">
        <v>14</v>
      </c>
      <c r="J196">
        <v>9</v>
      </c>
      <c r="K196" t="s">
        <v>54</v>
      </c>
      <c r="L196">
        <v>1</v>
      </c>
      <c r="M196">
        <v>0.56718900002306305</v>
      </c>
      <c r="N196" t="s">
        <v>51</v>
      </c>
      <c r="O196">
        <v>9</v>
      </c>
      <c r="P196">
        <v>14</v>
      </c>
      <c r="Q196">
        <v>194</v>
      </c>
      <c r="R196">
        <v>14</v>
      </c>
      <c r="S196">
        <v>274.18012710002898</v>
      </c>
      <c r="X196">
        <v>274.17006200004801</v>
      </c>
      <c r="Y196">
        <v>274.18012710002898</v>
      </c>
      <c r="Z196">
        <v>274.68020530004202</v>
      </c>
      <c r="AA196">
        <v>274.68020530004202</v>
      </c>
      <c r="AB196">
        <v>274.68020530004202</v>
      </c>
      <c r="AC196">
        <v>275.24997180001799</v>
      </c>
      <c r="AD196" t="s">
        <v>54</v>
      </c>
      <c r="AE196">
        <v>1</v>
      </c>
      <c r="AF196">
        <v>0.56718900002306305</v>
      </c>
      <c r="AG196" t="s">
        <v>51</v>
      </c>
      <c r="AK196" t="s">
        <v>89</v>
      </c>
      <c r="AL196">
        <v>1</v>
      </c>
      <c r="AM196" t="s">
        <v>42</v>
      </c>
      <c r="AN196" t="s">
        <v>43</v>
      </c>
      <c r="AP196" t="s">
        <v>44</v>
      </c>
      <c r="AQ196">
        <v>59.778723070926397</v>
      </c>
      <c r="AR196" t="s">
        <v>45</v>
      </c>
    </row>
    <row r="197" spans="1:44" x14ac:dyDescent="0.3">
      <c r="A197" t="s">
        <v>72</v>
      </c>
      <c r="B197" t="s">
        <v>62</v>
      </c>
      <c r="C197" s="2" t="str">
        <f t="shared" si="3"/>
        <v>Emotional-C</v>
      </c>
      <c r="D197">
        <v>0.59772989997873005</v>
      </c>
      <c r="E197" t="s">
        <v>59</v>
      </c>
      <c r="F197" t="s">
        <v>61</v>
      </c>
      <c r="G197" t="s">
        <v>63</v>
      </c>
      <c r="H197">
        <v>195</v>
      </c>
      <c r="I197">
        <v>15</v>
      </c>
      <c r="J197">
        <v>9</v>
      </c>
      <c r="K197" t="s">
        <v>63</v>
      </c>
      <c r="L197">
        <v>1</v>
      </c>
      <c r="M197">
        <v>1.46754839998902</v>
      </c>
      <c r="N197" t="s">
        <v>51</v>
      </c>
      <c r="O197">
        <v>9</v>
      </c>
      <c r="P197">
        <v>15</v>
      </c>
      <c r="Q197">
        <v>195</v>
      </c>
      <c r="R197">
        <v>8</v>
      </c>
      <c r="S197">
        <v>275.26344400004001</v>
      </c>
      <c r="X197">
        <v>275.25272610003498</v>
      </c>
      <c r="Y197">
        <v>275.26344400004001</v>
      </c>
      <c r="Z197">
        <v>275.76335600000999</v>
      </c>
      <c r="AA197">
        <v>275.76335600000999</v>
      </c>
      <c r="AB197">
        <v>275.76335600000999</v>
      </c>
      <c r="AC197">
        <v>277.23422460001802</v>
      </c>
      <c r="AD197" t="s">
        <v>63</v>
      </c>
      <c r="AE197">
        <v>1</v>
      </c>
      <c r="AF197">
        <v>1.46754839998902</v>
      </c>
      <c r="AG197" t="s">
        <v>51</v>
      </c>
      <c r="AK197" t="s">
        <v>89</v>
      </c>
      <c r="AL197">
        <v>1</v>
      </c>
      <c r="AM197" t="s">
        <v>42</v>
      </c>
      <c r="AN197" t="s">
        <v>43</v>
      </c>
      <c r="AP197" t="s">
        <v>44</v>
      </c>
      <c r="AQ197">
        <v>59.778723070926397</v>
      </c>
      <c r="AR197" t="s">
        <v>45</v>
      </c>
    </row>
    <row r="198" spans="1:44" x14ac:dyDescent="0.3">
      <c r="A198" t="s">
        <v>58</v>
      </c>
      <c r="B198" t="s">
        <v>49</v>
      </c>
      <c r="C198" s="2" t="str">
        <f t="shared" si="3"/>
        <v>Emotional-I</v>
      </c>
      <c r="D198">
        <v>1.00578910001786</v>
      </c>
      <c r="E198" t="s">
        <v>59</v>
      </c>
      <c r="F198" t="s">
        <v>48</v>
      </c>
      <c r="G198" t="s">
        <v>50</v>
      </c>
      <c r="H198">
        <v>196</v>
      </c>
      <c r="I198">
        <v>16</v>
      </c>
      <c r="J198">
        <v>9</v>
      </c>
      <c r="K198" t="s">
        <v>50</v>
      </c>
      <c r="L198">
        <v>1</v>
      </c>
      <c r="M198">
        <v>0.91120009997393903</v>
      </c>
      <c r="N198" t="s">
        <v>51</v>
      </c>
      <c r="O198">
        <v>9</v>
      </c>
      <c r="P198">
        <v>16</v>
      </c>
      <c r="Q198">
        <v>196</v>
      </c>
      <c r="R198">
        <v>7</v>
      </c>
      <c r="S198">
        <v>277.24654850002798</v>
      </c>
      <c r="X198">
        <v>277.23738659999799</v>
      </c>
      <c r="Y198">
        <v>277.24654850002798</v>
      </c>
      <c r="Z198">
        <v>277.74673660000502</v>
      </c>
      <c r="AA198">
        <v>277.74673660000502</v>
      </c>
      <c r="AB198">
        <v>277.74673660000502</v>
      </c>
      <c r="AC198">
        <v>278.66794170002601</v>
      </c>
      <c r="AD198" t="s">
        <v>50</v>
      </c>
      <c r="AE198">
        <v>1</v>
      </c>
      <c r="AF198">
        <v>0.91120009997393903</v>
      </c>
      <c r="AG198" t="s">
        <v>51</v>
      </c>
      <c r="AK198" t="s">
        <v>89</v>
      </c>
      <c r="AL198">
        <v>1</v>
      </c>
      <c r="AM198" t="s">
        <v>42</v>
      </c>
      <c r="AN198" t="s">
        <v>43</v>
      </c>
      <c r="AP198" t="s">
        <v>44</v>
      </c>
      <c r="AQ198">
        <v>59.778723070926397</v>
      </c>
      <c r="AR198" t="s">
        <v>45</v>
      </c>
    </row>
    <row r="199" spans="1:44" hidden="1" x14ac:dyDescent="0.3">
      <c r="A199" t="s">
        <v>75</v>
      </c>
      <c r="B199" t="s">
        <v>49</v>
      </c>
      <c r="C199" s="2" t="str">
        <f t="shared" si="3"/>
        <v>Neutral</v>
      </c>
      <c r="D199">
        <v>0.56235209997976199</v>
      </c>
      <c r="E199" t="s">
        <v>47</v>
      </c>
      <c r="F199" t="s">
        <v>61</v>
      </c>
      <c r="G199" t="s">
        <v>63</v>
      </c>
      <c r="H199">
        <v>197</v>
      </c>
      <c r="I199">
        <v>17</v>
      </c>
      <c r="J199">
        <v>9</v>
      </c>
      <c r="K199" t="s">
        <v>54</v>
      </c>
      <c r="L199">
        <v>0</v>
      </c>
      <c r="M199">
        <v>0.87046750000445094</v>
      </c>
      <c r="N199" t="s">
        <v>51</v>
      </c>
      <c r="O199">
        <v>9</v>
      </c>
      <c r="P199">
        <v>17</v>
      </c>
      <c r="Q199">
        <v>197</v>
      </c>
      <c r="R199">
        <v>16</v>
      </c>
      <c r="S199">
        <v>278.67954959999702</v>
      </c>
      <c r="X199">
        <v>278.67210130003502</v>
      </c>
      <c r="Y199">
        <v>278.67954959999702</v>
      </c>
      <c r="Z199">
        <v>279.17978010000598</v>
      </c>
      <c r="AA199">
        <v>279.17978010000598</v>
      </c>
      <c r="AB199">
        <v>279.17978010000598</v>
      </c>
      <c r="AC199">
        <v>280.05067319999199</v>
      </c>
      <c r="AD199" t="s">
        <v>54</v>
      </c>
      <c r="AE199">
        <v>0</v>
      </c>
      <c r="AF199">
        <v>0.87046750000445094</v>
      </c>
      <c r="AG199" t="s">
        <v>51</v>
      </c>
      <c r="AK199" t="s">
        <v>89</v>
      </c>
      <c r="AL199">
        <v>1</v>
      </c>
      <c r="AM199" t="s">
        <v>42</v>
      </c>
      <c r="AN199" t="s">
        <v>43</v>
      </c>
      <c r="AP199" t="s">
        <v>44</v>
      </c>
      <c r="AQ199">
        <v>59.778723070926397</v>
      </c>
      <c r="AR199" t="s">
        <v>45</v>
      </c>
    </row>
    <row r="200" spans="1:44" x14ac:dyDescent="0.3">
      <c r="A200" t="s">
        <v>64</v>
      </c>
      <c r="B200" t="s">
        <v>49</v>
      </c>
      <c r="C200" s="2" t="str">
        <f t="shared" si="3"/>
        <v>Neutral</v>
      </c>
      <c r="D200">
        <v>1.04465400002663</v>
      </c>
      <c r="E200" t="s">
        <v>47</v>
      </c>
      <c r="F200" t="s">
        <v>53</v>
      </c>
      <c r="G200" t="s">
        <v>54</v>
      </c>
      <c r="H200">
        <v>198</v>
      </c>
      <c r="I200">
        <v>18</v>
      </c>
      <c r="J200">
        <v>9</v>
      </c>
      <c r="K200" t="s">
        <v>54</v>
      </c>
      <c r="L200">
        <v>1</v>
      </c>
      <c r="M200">
        <v>1.4712291000177999</v>
      </c>
      <c r="N200" t="s">
        <v>51</v>
      </c>
      <c r="O200">
        <v>9</v>
      </c>
      <c r="P200">
        <v>18</v>
      </c>
      <c r="Q200">
        <v>198</v>
      </c>
      <c r="R200">
        <v>18</v>
      </c>
      <c r="S200">
        <v>280.063513700035</v>
      </c>
      <c r="X200">
        <v>280.05388660001302</v>
      </c>
      <c r="Y200">
        <v>280.063513700035</v>
      </c>
      <c r="Z200">
        <v>280.56353560002702</v>
      </c>
      <c r="AA200">
        <v>280.56353560002702</v>
      </c>
      <c r="AB200">
        <v>280.56353560002702</v>
      </c>
      <c r="AC200">
        <v>282.05010029999499</v>
      </c>
      <c r="AD200" t="s">
        <v>54</v>
      </c>
      <c r="AE200">
        <v>1</v>
      </c>
      <c r="AF200">
        <v>1.4712291000177999</v>
      </c>
      <c r="AG200" t="s">
        <v>51</v>
      </c>
      <c r="AK200" t="s">
        <v>89</v>
      </c>
      <c r="AL200">
        <v>1</v>
      </c>
      <c r="AM200" t="s">
        <v>42</v>
      </c>
      <c r="AN200" t="s">
        <v>43</v>
      </c>
      <c r="AP200" t="s">
        <v>44</v>
      </c>
      <c r="AQ200">
        <v>59.778723070926397</v>
      </c>
      <c r="AR200" t="s">
        <v>45</v>
      </c>
    </row>
    <row r="201" spans="1:44" x14ac:dyDescent="0.3">
      <c r="A201" t="s">
        <v>60</v>
      </c>
      <c r="B201" t="s">
        <v>62</v>
      </c>
      <c r="C201" s="2" t="str">
        <f t="shared" si="3"/>
        <v>Emotional-C</v>
      </c>
      <c r="D201">
        <v>1.0163888999959401</v>
      </c>
      <c r="E201" t="s">
        <v>59</v>
      </c>
      <c r="F201" t="s">
        <v>61</v>
      </c>
      <c r="G201" t="s">
        <v>63</v>
      </c>
      <c r="H201">
        <v>199</v>
      </c>
      <c r="I201">
        <v>19</v>
      </c>
      <c r="J201">
        <v>9</v>
      </c>
      <c r="K201" t="s">
        <v>63</v>
      </c>
      <c r="L201">
        <v>1</v>
      </c>
      <c r="M201">
        <v>0.95767589996103197</v>
      </c>
      <c r="N201" t="s">
        <v>51</v>
      </c>
      <c r="O201">
        <v>9</v>
      </c>
      <c r="P201">
        <v>19</v>
      </c>
      <c r="Q201">
        <v>199</v>
      </c>
      <c r="R201">
        <v>0</v>
      </c>
      <c r="S201">
        <v>282.06307510001301</v>
      </c>
      <c r="X201">
        <v>282.05255860002899</v>
      </c>
      <c r="Y201">
        <v>282.06307510001301</v>
      </c>
      <c r="Z201">
        <v>282.56325750000502</v>
      </c>
      <c r="AA201">
        <v>282.56325750000502</v>
      </c>
      <c r="AB201">
        <v>282.56325750000502</v>
      </c>
      <c r="AC201">
        <v>283.534257000021</v>
      </c>
      <c r="AD201" t="s">
        <v>63</v>
      </c>
      <c r="AE201">
        <v>1</v>
      </c>
      <c r="AF201">
        <v>0.95767589996103197</v>
      </c>
      <c r="AG201" t="s">
        <v>51</v>
      </c>
      <c r="AK201" t="s">
        <v>89</v>
      </c>
      <c r="AL201">
        <v>1</v>
      </c>
      <c r="AM201" t="s">
        <v>42</v>
      </c>
      <c r="AN201" t="s">
        <v>43</v>
      </c>
      <c r="AP201" t="s">
        <v>44</v>
      </c>
      <c r="AQ201">
        <v>59.778723070926397</v>
      </c>
      <c r="AR201" t="s">
        <v>45</v>
      </c>
    </row>
    <row r="202" spans="1:44" hidden="1" x14ac:dyDescent="0.3">
      <c r="C202" s="2" t="str">
        <f t="shared" si="3"/>
        <v/>
      </c>
      <c r="D202">
        <v>1.2473353999666801</v>
      </c>
      <c r="U202">
        <v>1.3884300016797999E-2</v>
      </c>
      <c r="V202">
        <v>2.7891600038856199E-2</v>
      </c>
      <c r="W202">
        <v>2.01525200001196</v>
      </c>
      <c r="AK202" t="s">
        <v>91</v>
      </c>
      <c r="AL202">
        <v>1</v>
      </c>
      <c r="AM202" t="s">
        <v>80</v>
      </c>
      <c r="AN202" t="s">
        <v>43</v>
      </c>
      <c r="AP202" t="s">
        <v>44</v>
      </c>
      <c r="AQ202">
        <v>59.456390224006398</v>
      </c>
      <c r="AR202" t="s">
        <v>81</v>
      </c>
    </row>
    <row r="203" spans="1:44" x14ac:dyDescent="0.3">
      <c r="A203" t="s">
        <v>77</v>
      </c>
      <c r="B203" t="s">
        <v>62</v>
      </c>
      <c r="C203" s="2" t="str">
        <f t="shared" si="3"/>
        <v>Emotional-C</v>
      </c>
      <c r="D203">
        <v>0.99014399998122804</v>
      </c>
      <c r="E203" t="s">
        <v>59</v>
      </c>
      <c r="F203" t="s">
        <v>61</v>
      </c>
      <c r="G203" t="s">
        <v>63</v>
      </c>
      <c r="H203">
        <v>0</v>
      </c>
      <c r="I203">
        <v>0</v>
      </c>
      <c r="J203">
        <v>0</v>
      </c>
      <c r="K203" t="s">
        <v>63</v>
      </c>
      <c r="L203">
        <v>1</v>
      </c>
      <c r="M203">
        <v>1.52023399999598</v>
      </c>
      <c r="N203" t="s">
        <v>51</v>
      </c>
      <c r="O203">
        <v>0</v>
      </c>
      <c r="P203">
        <v>0</v>
      </c>
      <c r="Q203">
        <v>0</v>
      </c>
      <c r="R203">
        <v>4</v>
      </c>
      <c r="S203">
        <v>2.0614875000319399</v>
      </c>
      <c r="X203">
        <v>2.0403570000198599</v>
      </c>
      <c r="Y203">
        <v>2.0614875000319399</v>
      </c>
      <c r="Z203">
        <v>2.51141800003824</v>
      </c>
      <c r="AA203">
        <v>2.51141800003824</v>
      </c>
      <c r="AB203">
        <v>2.51141800003824</v>
      </c>
      <c r="AC203">
        <v>4.0522725000046096</v>
      </c>
      <c r="AD203" t="s">
        <v>63</v>
      </c>
      <c r="AE203">
        <v>1</v>
      </c>
      <c r="AF203">
        <v>1.52023399999598</v>
      </c>
      <c r="AG203" t="s">
        <v>51</v>
      </c>
      <c r="AK203" t="s">
        <v>91</v>
      </c>
      <c r="AL203">
        <v>1</v>
      </c>
      <c r="AM203" t="s">
        <v>80</v>
      </c>
      <c r="AN203" t="s">
        <v>43</v>
      </c>
      <c r="AP203" t="s">
        <v>44</v>
      </c>
      <c r="AQ203">
        <v>59.456390224006398</v>
      </c>
      <c r="AR203" t="s">
        <v>81</v>
      </c>
    </row>
    <row r="204" spans="1:44" x14ac:dyDescent="0.3">
      <c r="A204" t="s">
        <v>71</v>
      </c>
      <c r="B204" t="s">
        <v>49</v>
      </c>
      <c r="C204" s="2" t="str">
        <f t="shared" si="3"/>
        <v>Neutral</v>
      </c>
      <c r="D204">
        <v>0.94732859998475705</v>
      </c>
      <c r="E204" t="s">
        <v>47</v>
      </c>
      <c r="F204" t="s">
        <v>48</v>
      </c>
      <c r="G204" t="s">
        <v>50</v>
      </c>
      <c r="H204">
        <v>1</v>
      </c>
      <c r="I204">
        <v>1</v>
      </c>
      <c r="J204">
        <v>0</v>
      </c>
      <c r="K204" t="s">
        <v>50</v>
      </c>
      <c r="L204">
        <v>1</v>
      </c>
      <c r="M204">
        <v>1.04994160000933</v>
      </c>
      <c r="N204" t="s">
        <v>51</v>
      </c>
      <c r="O204">
        <v>0</v>
      </c>
      <c r="P204">
        <v>1</v>
      </c>
      <c r="Q204">
        <v>1</v>
      </c>
      <c r="R204">
        <v>15</v>
      </c>
      <c r="S204">
        <v>4.0599509000312501</v>
      </c>
      <c r="X204">
        <v>4.0553823000518596</v>
      </c>
      <c r="Y204">
        <v>4.0599509000312501</v>
      </c>
      <c r="Z204">
        <v>4.5602193000377103</v>
      </c>
      <c r="AA204">
        <v>4.5602193000377103</v>
      </c>
      <c r="AB204">
        <v>4.5602193000377103</v>
      </c>
      <c r="AC204">
        <v>5.6133909000200202</v>
      </c>
      <c r="AD204" t="s">
        <v>50</v>
      </c>
      <c r="AE204">
        <v>1</v>
      </c>
      <c r="AF204">
        <v>1.04994160000933</v>
      </c>
      <c r="AG204" t="s">
        <v>51</v>
      </c>
      <c r="AK204" t="s">
        <v>91</v>
      </c>
      <c r="AL204">
        <v>1</v>
      </c>
      <c r="AM204" t="s">
        <v>80</v>
      </c>
      <c r="AN204" t="s">
        <v>43</v>
      </c>
      <c r="AP204" t="s">
        <v>44</v>
      </c>
      <c r="AQ204">
        <v>59.456390224006398</v>
      </c>
      <c r="AR204" t="s">
        <v>81</v>
      </c>
    </row>
    <row r="205" spans="1:44" x14ac:dyDescent="0.3">
      <c r="A205" t="s">
        <v>55</v>
      </c>
      <c r="B205" t="s">
        <v>49</v>
      </c>
      <c r="C205" s="2" t="str">
        <f t="shared" si="3"/>
        <v>Neutral</v>
      </c>
      <c r="D205">
        <v>0.89374670002143797</v>
      </c>
      <c r="E205" t="s">
        <v>47</v>
      </c>
      <c r="F205" t="s">
        <v>56</v>
      </c>
      <c r="G205" t="s">
        <v>57</v>
      </c>
      <c r="H205">
        <v>2</v>
      </c>
      <c r="I205">
        <v>2</v>
      </c>
      <c r="J205">
        <v>0</v>
      </c>
      <c r="K205" t="s">
        <v>57</v>
      </c>
      <c r="L205">
        <v>1</v>
      </c>
      <c r="M205">
        <v>0.86224550002953004</v>
      </c>
      <c r="N205" t="s">
        <v>51</v>
      </c>
      <c r="O205">
        <v>0</v>
      </c>
      <c r="P205">
        <v>2</v>
      </c>
      <c r="Q205">
        <v>2</v>
      </c>
      <c r="R205">
        <v>13</v>
      </c>
      <c r="S205">
        <v>5.6271630000555799</v>
      </c>
      <c r="X205">
        <v>5.6165101000224196</v>
      </c>
      <c r="Y205">
        <v>5.6271630000555799</v>
      </c>
      <c r="Z205">
        <v>6.1279073000187001</v>
      </c>
      <c r="AA205">
        <v>6.1279073000187001</v>
      </c>
      <c r="AB205">
        <v>6.1279073000187001</v>
      </c>
      <c r="AC205">
        <v>6.99623410002095</v>
      </c>
      <c r="AD205" t="s">
        <v>57</v>
      </c>
      <c r="AE205">
        <v>1</v>
      </c>
      <c r="AF205">
        <v>0.86224550002953004</v>
      </c>
      <c r="AG205" t="s">
        <v>51</v>
      </c>
      <c r="AK205" t="s">
        <v>91</v>
      </c>
      <c r="AL205">
        <v>1</v>
      </c>
      <c r="AM205" t="s">
        <v>80</v>
      </c>
      <c r="AN205" t="s">
        <v>43</v>
      </c>
      <c r="AP205" t="s">
        <v>44</v>
      </c>
      <c r="AQ205">
        <v>59.456390224006398</v>
      </c>
      <c r="AR205" t="s">
        <v>81</v>
      </c>
    </row>
    <row r="206" spans="1:44" x14ac:dyDescent="0.3">
      <c r="A206" t="s">
        <v>67</v>
      </c>
      <c r="B206" t="s">
        <v>49</v>
      </c>
      <c r="C206" s="2" t="str">
        <f t="shared" si="3"/>
        <v>Neutral</v>
      </c>
      <c r="D206">
        <v>2.19592510000802</v>
      </c>
      <c r="E206" t="s">
        <v>47</v>
      </c>
      <c r="F206" t="s">
        <v>53</v>
      </c>
      <c r="G206" t="s">
        <v>54</v>
      </c>
      <c r="H206">
        <v>3</v>
      </c>
      <c r="I206">
        <v>3</v>
      </c>
      <c r="J206">
        <v>0</v>
      </c>
      <c r="K206" t="s">
        <v>54</v>
      </c>
      <c r="L206">
        <v>1</v>
      </c>
      <c r="M206">
        <v>1.0147866999613999</v>
      </c>
      <c r="N206" t="s">
        <v>51</v>
      </c>
      <c r="O206">
        <v>0</v>
      </c>
      <c r="P206">
        <v>3</v>
      </c>
      <c r="Q206">
        <v>3</v>
      </c>
      <c r="R206">
        <v>10</v>
      </c>
      <c r="S206">
        <v>7.0106706000515198</v>
      </c>
      <c r="X206">
        <v>6.9986750000389204</v>
      </c>
      <c r="Y206">
        <v>7.0106706000515198</v>
      </c>
      <c r="Z206">
        <v>7.51139550004154</v>
      </c>
      <c r="AA206">
        <v>7.51139550004154</v>
      </c>
      <c r="AB206">
        <v>7.51139550004154</v>
      </c>
      <c r="AC206">
        <v>8.5320335000287706</v>
      </c>
      <c r="AD206" t="s">
        <v>54</v>
      </c>
      <c r="AE206">
        <v>1</v>
      </c>
      <c r="AF206">
        <v>1.0147866999613999</v>
      </c>
      <c r="AG206" t="s">
        <v>51</v>
      </c>
      <c r="AK206" t="s">
        <v>91</v>
      </c>
      <c r="AL206">
        <v>1</v>
      </c>
      <c r="AM206" t="s">
        <v>80</v>
      </c>
      <c r="AN206" t="s">
        <v>43</v>
      </c>
      <c r="AP206" t="s">
        <v>44</v>
      </c>
      <c r="AQ206">
        <v>59.456390224006398</v>
      </c>
      <c r="AR206" t="s">
        <v>81</v>
      </c>
    </row>
    <row r="207" spans="1:44" x14ac:dyDescent="0.3">
      <c r="A207" t="s">
        <v>73</v>
      </c>
      <c r="B207" t="s">
        <v>49</v>
      </c>
      <c r="C207" s="2" t="str">
        <f t="shared" si="3"/>
        <v>Emotional-I</v>
      </c>
      <c r="D207">
        <v>0.78310719999717504</v>
      </c>
      <c r="E207" t="s">
        <v>59</v>
      </c>
      <c r="F207" t="s">
        <v>56</v>
      </c>
      <c r="G207" t="s">
        <v>57</v>
      </c>
      <c r="H207">
        <v>4</v>
      </c>
      <c r="I207">
        <v>4</v>
      </c>
      <c r="J207">
        <v>0</v>
      </c>
      <c r="K207" t="s">
        <v>57</v>
      </c>
      <c r="L207">
        <v>1</v>
      </c>
      <c r="M207">
        <v>0.93821589997969501</v>
      </c>
      <c r="N207" t="s">
        <v>51</v>
      </c>
      <c r="O207">
        <v>0</v>
      </c>
      <c r="P207">
        <v>4</v>
      </c>
      <c r="Q207">
        <v>4</v>
      </c>
      <c r="R207">
        <v>1</v>
      </c>
      <c r="S207">
        <v>8.7271230000187607</v>
      </c>
      <c r="X207">
        <v>8.6743723000399697</v>
      </c>
      <c r="Y207">
        <v>8.7271230000187607</v>
      </c>
      <c r="Z207">
        <v>9.0446330000413493</v>
      </c>
      <c r="AA207">
        <v>9.0446330000413493</v>
      </c>
      <c r="AB207">
        <v>9.0446330000413493</v>
      </c>
      <c r="AC207">
        <v>9.9976291000493802</v>
      </c>
      <c r="AD207" t="s">
        <v>57</v>
      </c>
      <c r="AE207">
        <v>1</v>
      </c>
      <c r="AF207">
        <v>0.93821589997969501</v>
      </c>
      <c r="AG207" t="s">
        <v>51</v>
      </c>
      <c r="AK207" t="s">
        <v>91</v>
      </c>
      <c r="AL207">
        <v>1</v>
      </c>
      <c r="AM207" t="s">
        <v>80</v>
      </c>
      <c r="AN207" t="s">
        <v>43</v>
      </c>
      <c r="AP207" t="s">
        <v>44</v>
      </c>
      <c r="AQ207">
        <v>59.456390224006398</v>
      </c>
      <c r="AR207" t="s">
        <v>81</v>
      </c>
    </row>
    <row r="208" spans="1:44" x14ac:dyDescent="0.3">
      <c r="A208" t="s">
        <v>78</v>
      </c>
      <c r="B208" t="s">
        <v>49</v>
      </c>
      <c r="C208" s="2" t="str">
        <f t="shared" si="3"/>
        <v>Neutral</v>
      </c>
      <c r="D208">
        <v>0.95126390003133499</v>
      </c>
      <c r="E208" t="s">
        <v>47</v>
      </c>
      <c r="F208" t="s">
        <v>56</v>
      </c>
      <c r="G208" t="s">
        <v>57</v>
      </c>
      <c r="H208">
        <v>5</v>
      </c>
      <c r="I208">
        <v>5</v>
      </c>
      <c r="J208">
        <v>0</v>
      </c>
      <c r="K208" t="s">
        <v>57</v>
      </c>
      <c r="L208">
        <v>1</v>
      </c>
      <c r="M208">
        <v>0.59772989997873005</v>
      </c>
      <c r="N208" t="s">
        <v>51</v>
      </c>
      <c r="O208">
        <v>0</v>
      </c>
      <c r="P208">
        <v>5</v>
      </c>
      <c r="Q208">
        <v>5</v>
      </c>
      <c r="R208">
        <v>17</v>
      </c>
      <c r="S208">
        <v>10.0107136000297</v>
      </c>
      <c r="X208">
        <v>10.000264800037201</v>
      </c>
      <c r="Y208">
        <v>10.0107136000297</v>
      </c>
      <c r="Z208">
        <v>10.511186200019401</v>
      </c>
      <c r="AA208">
        <v>10.511186200019401</v>
      </c>
      <c r="AB208">
        <v>10.511186200019401</v>
      </c>
      <c r="AC208">
        <v>11.1145506000029</v>
      </c>
      <c r="AD208" t="s">
        <v>57</v>
      </c>
      <c r="AE208">
        <v>1</v>
      </c>
      <c r="AF208">
        <v>0.59772989997873005</v>
      </c>
      <c r="AG208" t="s">
        <v>51</v>
      </c>
      <c r="AK208" t="s">
        <v>91</v>
      </c>
      <c r="AL208">
        <v>1</v>
      </c>
      <c r="AM208" t="s">
        <v>80</v>
      </c>
      <c r="AN208" t="s">
        <v>43</v>
      </c>
      <c r="AP208" t="s">
        <v>44</v>
      </c>
      <c r="AQ208">
        <v>59.456390224006398</v>
      </c>
      <c r="AR208" t="s">
        <v>81</v>
      </c>
    </row>
    <row r="209" spans="1:44" x14ac:dyDescent="0.3">
      <c r="A209" t="s">
        <v>64</v>
      </c>
      <c r="B209" t="s">
        <v>49</v>
      </c>
      <c r="C209" s="2" t="str">
        <f t="shared" si="3"/>
        <v>Neutral</v>
      </c>
      <c r="D209">
        <v>0.588742099993396</v>
      </c>
      <c r="E209" t="s">
        <v>47</v>
      </c>
      <c r="F209" t="s">
        <v>53</v>
      </c>
      <c r="G209" t="s">
        <v>54</v>
      </c>
      <c r="H209">
        <v>6</v>
      </c>
      <c r="I209">
        <v>6</v>
      </c>
      <c r="J209">
        <v>0</v>
      </c>
      <c r="K209" t="s">
        <v>54</v>
      </c>
      <c r="L209">
        <v>1</v>
      </c>
      <c r="M209">
        <v>1.00578910001786</v>
      </c>
      <c r="N209" t="s">
        <v>51</v>
      </c>
      <c r="O209">
        <v>0</v>
      </c>
      <c r="P209">
        <v>6</v>
      </c>
      <c r="Q209">
        <v>6</v>
      </c>
      <c r="R209">
        <v>18</v>
      </c>
      <c r="S209">
        <v>11.127967000007599</v>
      </c>
      <c r="X209">
        <v>11.1177896000444</v>
      </c>
      <c r="Y209">
        <v>11.127967000007599</v>
      </c>
      <c r="Z209">
        <v>11.6273202000302</v>
      </c>
      <c r="AA209">
        <v>11.6273202000302</v>
      </c>
      <c r="AB209">
        <v>11.6273202000302</v>
      </c>
      <c r="AC209">
        <v>12.647662000032099</v>
      </c>
      <c r="AD209" t="s">
        <v>54</v>
      </c>
      <c r="AE209">
        <v>1</v>
      </c>
      <c r="AF209">
        <v>1.00578910001786</v>
      </c>
      <c r="AG209" t="s">
        <v>51</v>
      </c>
      <c r="AK209" t="s">
        <v>91</v>
      </c>
      <c r="AL209">
        <v>1</v>
      </c>
      <c r="AM209" t="s">
        <v>80</v>
      </c>
      <c r="AN209" t="s">
        <v>43</v>
      </c>
      <c r="AP209" t="s">
        <v>44</v>
      </c>
      <c r="AQ209">
        <v>59.456390224006398</v>
      </c>
      <c r="AR209" t="s">
        <v>81</v>
      </c>
    </row>
    <row r="210" spans="1:44" x14ac:dyDescent="0.3">
      <c r="A210" t="s">
        <v>52</v>
      </c>
      <c r="B210" t="s">
        <v>49</v>
      </c>
      <c r="C210" s="2" t="str">
        <f t="shared" si="3"/>
        <v>Neutral</v>
      </c>
      <c r="D210">
        <v>0.48373849998460999</v>
      </c>
      <c r="E210" t="s">
        <v>47</v>
      </c>
      <c r="F210" t="s">
        <v>53</v>
      </c>
      <c r="G210" t="s">
        <v>54</v>
      </c>
      <c r="H210">
        <v>7</v>
      </c>
      <c r="I210">
        <v>7</v>
      </c>
      <c r="J210">
        <v>0</v>
      </c>
      <c r="K210" t="s">
        <v>54</v>
      </c>
      <c r="L210">
        <v>1</v>
      </c>
      <c r="M210">
        <v>0.56235209997976199</v>
      </c>
      <c r="N210" t="s">
        <v>51</v>
      </c>
      <c r="O210">
        <v>0</v>
      </c>
      <c r="P210">
        <v>7</v>
      </c>
      <c r="Q210">
        <v>7</v>
      </c>
      <c r="R210">
        <v>14</v>
      </c>
      <c r="S210">
        <v>12.6608962000464</v>
      </c>
      <c r="X210">
        <v>12.650372500007499</v>
      </c>
      <c r="Y210">
        <v>12.6608962000464</v>
      </c>
      <c r="Z210">
        <v>13.1605571000254</v>
      </c>
      <c r="AA210">
        <v>13.1605571000254</v>
      </c>
      <c r="AB210">
        <v>13.1605571000254</v>
      </c>
      <c r="AC210">
        <v>13.7312783000525</v>
      </c>
      <c r="AD210" t="s">
        <v>54</v>
      </c>
      <c r="AE210">
        <v>1</v>
      </c>
      <c r="AF210">
        <v>0.56235209997976199</v>
      </c>
      <c r="AG210" t="s">
        <v>51</v>
      </c>
      <c r="AK210" t="s">
        <v>91</v>
      </c>
      <c r="AL210">
        <v>1</v>
      </c>
      <c r="AM210" t="s">
        <v>80</v>
      </c>
      <c r="AN210" t="s">
        <v>43</v>
      </c>
      <c r="AP210" t="s">
        <v>44</v>
      </c>
      <c r="AQ210">
        <v>59.456390224006398</v>
      </c>
      <c r="AR210" t="s">
        <v>81</v>
      </c>
    </row>
    <row r="211" spans="1:44" x14ac:dyDescent="0.3">
      <c r="A211" t="s">
        <v>60</v>
      </c>
      <c r="B211" t="s">
        <v>62</v>
      </c>
      <c r="C211" s="2" t="str">
        <f t="shared" si="3"/>
        <v>Emotional-C</v>
      </c>
      <c r="D211">
        <v>0.67767150001600296</v>
      </c>
      <c r="E211" t="s">
        <v>59</v>
      </c>
      <c r="F211" t="s">
        <v>61</v>
      </c>
      <c r="G211" t="s">
        <v>63</v>
      </c>
      <c r="H211">
        <v>8</v>
      </c>
      <c r="I211">
        <v>8</v>
      </c>
      <c r="J211">
        <v>0</v>
      </c>
      <c r="K211" t="s">
        <v>63</v>
      </c>
      <c r="L211">
        <v>1</v>
      </c>
      <c r="M211">
        <v>1.04465400002663</v>
      </c>
      <c r="N211" t="s">
        <v>51</v>
      </c>
      <c r="O211">
        <v>0</v>
      </c>
      <c r="P211">
        <v>8</v>
      </c>
      <c r="Q211">
        <v>8</v>
      </c>
      <c r="R211">
        <v>0</v>
      </c>
      <c r="S211">
        <v>13.743663700006399</v>
      </c>
      <c r="X211">
        <v>13.735909500042901</v>
      </c>
      <c r="Y211">
        <v>13.743663700006399</v>
      </c>
      <c r="Z211">
        <v>14.247088600008199</v>
      </c>
      <c r="AA211">
        <v>14.247088600008199</v>
      </c>
      <c r="AB211">
        <v>14.247088600008199</v>
      </c>
      <c r="AC211">
        <v>15.297571700008101</v>
      </c>
      <c r="AD211" t="s">
        <v>63</v>
      </c>
      <c r="AE211">
        <v>1</v>
      </c>
      <c r="AF211">
        <v>1.04465400002663</v>
      </c>
      <c r="AG211" t="s">
        <v>51</v>
      </c>
      <c r="AK211" t="s">
        <v>91</v>
      </c>
      <c r="AL211">
        <v>1</v>
      </c>
      <c r="AM211" t="s">
        <v>80</v>
      </c>
      <c r="AN211" t="s">
        <v>43</v>
      </c>
      <c r="AP211" t="s">
        <v>44</v>
      </c>
      <c r="AQ211">
        <v>59.456390224006398</v>
      </c>
      <c r="AR211" t="s">
        <v>81</v>
      </c>
    </row>
    <row r="212" spans="1:44" x14ac:dyDescent="0.3">
      <c r="A212" t="s">
        <v>58</v>
      </c>
      <c r="B212" t="s">
        <v>49</v>
      </c>
      <c r="C212" s="2" t="str">
        <f t="shared" si="3"/>
        <v>Emotional-I</v>
      </c>
      <c r="D212">
        <v>1.5570615999749799</v>
      </c>
      <c r="E212" t="s">
        <v>59</v>
      </c>
      <c r="F212" t="s">
        <v>48</v>
      </c>
      <c r="G212" t="s">
        <v>50</v>
      </c>
      <c r="H212">
        <v>9</v>
      </c>
      <c r="I212">
        <v>9</v>
      </c>
      <c r="J212">
        <v>0</v>
      </c>
      <c r="K212" t="s">
        <v>50</v>
      </c>
      <c r="L212">
        <v>1</v>
      </c>
      <c r="M212">
        <v>1.0163888999959401</v>
      </c>
      <c r="N212" t="s">
        <v>51</v>
      </c>
      <c r="O212">
        <v>0</v>
      </c>
      <c r="P212">
        <v>9</v>
      </c>
      <c r="Q212">
        <v>9</v>
      </c>
      <c r="R212">
        <v>7</v>
      </c>
      <c r="S212">
        <v>15.3108926000422</v>
      </c>
      <c r="X212">
        <v>15.3006748000043</v>
      </c>
      <c r="Y212">
        <v>15.3108926000422</v>
      </c>
      <c r="Z212">
        <v>15.810509100032499</v>
      </c>
      <c r="AA212">
        <v>15.810509100032499</v>
      </c>
      <c r="AB212">
        <v>15.810509100032499</v>
      </c>
      <c r="AC212">
        <v>16.8331005000509</v>
      </c>
      <c r="AD212" t="s">
        <v>50</v>
      </c>
      <c r="AE212">
        <v>1</v>
      </c>
      <c r="AF212">
        <v>1.0163888999959401</v>
      </c>
      <c r="AG212" t="s">
        <v>51</v>
      </c>
      <c r="AK212" t="s">
        <v>91</v>
      </c>
      <c r="AL212">
        <v>1</v>
      </c>
      <c r="AM212" t="s">
        <v>80</v>
      </c>
      <c r="AN212" t="s">
        <v>43</v>
      </c>
      <c r="AP212" t="s">
        <v>44</v>
      </c>
      <c r="AQ212">
        <v>59.456390224006398</v>
      </c>
      <c r="AR212" t="s">
        <v>81</v>
      </c>
    </row>
    <row r="213" spans="1:44" x14ac:dyDescent="0.3">
      <c r="A213" t="s">
        <v>46</v>
      </c>
      <c r="B213" t="s">
        <v>49</v>
      </c>
      <c r="C213" s="2" t="str">
        <f t="shared" si="3"/>
        <v>Neutral</v>
      </c>
      <c r="D213">
        <v>0.70579580002231501</v>
      </c>
      <c r="E213" t="s">
        <v>47</v>
      </c>
      <c r="F213" t="s">
        <v>48</v>
      </c>
      <c r="G213" t="s">
        <v>50</v>
      </c>
      <c r="H213">
        <v>10</v>
      </c>
      <c r="I213">
        <v>10</v>
      </c>
      <c r="J213">
        <v>0</v>
      </c>
      <c r="K213" t="s">
        <v>50</v>
      </c>
      <c r="L213">
        <v>1</v>
      </c>
      <c r="M213">
        <v>1.2473353999666801</v>
      </c>
      <c r="N213" t="s">
        <v>51</v>
      </c>
      <c r="O213">
        <v>0</v>
      </c>
      <c r="P213">
        <v>10</v>
      </c>
      <c r="Q213">
        <v>10</v>
      </c>
      <c r="R213">
        <v>19</v>
      </c>
      <c r="S213">
        <v>16.8447542000212</v>
      </c>
      <c r="X213">
        <v>16.836529400025</v>
      </c>
      <c r="Y213">
        <v>16.8447542000212</v>
      </c>
      <c r="Z213">
        <v>17.344289100030402</v>
      </c>
      <c r="AA213">
        <v>17.344289100030402</v>
      </c>
      <c r="AB213">
        <v>17.344289100030402</v>
      </c>
      <c r="AC213">
        <v>18.597731200046798</v>
      </c>
      <c r="AD213" t="s">
        <v>50</v>
      </c>
      <c r="AE213">
        <v>1</v>
      </c>
      <c r="AF213">
        <v>1.2473353999666801</v>
      </c>
      <c r="AG213" t="s">
        <v>51</v>
      </c>
      <c r="AK213" t="s">
        <v>91</v>
      </c>
      <c r="AL213">
        <v>1</v>
      </c>
      <c r="AM213" t="s">
        <v>80</v>
      </c>
      <c r="AN213" t="s">
        <v>43</v>
      </c>
      <c r="AP213" t="s">
        <v>44</v>
      </c>
      <c r="AQ213">
        <v>59.456390224006398</v>
      </c>
      <c r="AR213" t="s">
        <v>81</v>
      </c>
    </row>
    <row r="214" spans="1:44" x14ac:dyDescent="0.3">
      <c r="A214" t="s">
        <v>75</v>
      </c>
      <c r="B214" t="s">
        <v>49</v>
      </c>
      <c r="C214" s="2" t="str">
        <f t="shared" si="3"/>
        <v>Neutral</v>
      </c>
      <c r="D214">
        <v>0.71464289998402797</v>
      </c>
      <c r="E214" t="s">
        <v>47</v>
      </c>
      <c r="F214" t="s">
        <v>61</v>
      </c>
      <c r="G214" t="s">
        <v>63</v>
      </c>
      <c r="H214">
        <v>11</v>
      </c>
      <c r="I214">
        <v>11</v>
      </c>
      <c r="J214">
        <v>0</v>
      </c>
      <c r="K214" t="s">
        <v>63</v>
      </c>
      <c r="L214">
        <v>1</v>
      </c>
      <c r="M214">
        <v>0.99014399998122804</v>
      </c>
      <c r="N214" t="s">
        <v>51</v>
      </c>
      <c r="O214">
        <v>0</v>
      </c>
      <c r="P214">
        <v>11</v>
      </c>
      <c r="Q214">
        <v>11</v>
      </c>
      <c r="R214">
        <v>16</v>
      </c>
      <c r="S214">
        <v>18.610666500055199</v>
      </c>
      <c r="X214">
        <v>18.6017448000493</v>
      </c>
      <c r="Y214">
        <v>18.610666500055199</v>
      </c>
      <c r="Z214">
        <v>19.110628800000899</v>
      </c>
      <c r="AA214">
        <v>19.110628800000899</v>
      </c>
      <c r="AB214">
        <v>19.110628800000899</v>
      </c>
      <c r="AC214">
        <v>20.114691700029599</v>
      </c>
      <c r="AD214" t="s">
        <v>63</v>
      </c>
      <c r="AE214">
        <v>1</v>
      </c>
      <c r="AF214">
        <v>0.99014399998122804</v>
      </c>
      <c r="AG214" t="s">
        <v>51</v>
      </c>
      <c r="AK214" t="s">
        <v>91</v>
      </c>
      <c r="AL214">
        <v>1</v>
      </c>
      <c r="AM214" t="s">
        <v>80</v>
      </c>
      <c r="AN214" t="s">
        <v>43</v>
      </c>
      <c r="AP214" t="s">
        <v>44</v>
      </c>
      <c r="AQ214">
        <v>59.456390224006398</v>
      </c>
      <c r="AR214" t="s">
        <v>81</v>
      </c>
    </row>
    <row r="215" spans="1:44" x14ac:dyDescent="0.3">
      <c r="A215" t="s">
        <v>68</v>
      </c>
      <c r="B215" t="s">
        <v>49</v>
      </c>
      <c r="C215" s="2" t="str">
        <f t="shared" si="3"/>
        <v>Emotional-I</v>
      </c>
      <c r="D215">
        <v>0.69279780000215396</v>
      </c>
      <c r="E215" t="s">
        <v>59</v>
      </c>
      <c r="F215" t="s">
        <v>53</v>
      </c>
      <c r="G215" t="s">
        <v>54</v>
      </c>
      <c r="H215">
        <v>12</v>
      </c>
      <c r="I215">
        <v>12</v>
      </c>
      <c r="J215">
        <v>0</v>
      </c>
      <c r="K215" t="s">
        <v>54</v>
      </c>
      <c r="L215">
        <v>1</v>
      </c>
      <c r="M215">
        <v>0.94732859998475705</v>
      </c>
      <c r="N215" t="s">
        <v>51</v>
      </c>
      <c r="O215">
        <v>0</v>
      </c>
      <c r="P215">
        <v>12</v>
      </c>
      <c r="Q215">
        <v>12</v>
      </c>
      <c r="R215">
        <v>6</v>
      </c>
      <c r="S215">
        <v>20.1267374000162</v>
      </c>
      <c r="X215">
        <v>20.120072100020401</v>
      </c>
      <c r="Y215">
        <v>20.1267374000162</v>
      </c>
      <c r="Z215">
        <v>20.627382600039699</v>
      </c>
      <c r="AA215">
        <v>20.627382600039699</v>
      </c>
      <c r="AB215">
        <v>20.627382600039699</v>
      </c>
      <c r="AC215">
        <v>21.5806638000067</v>
      </c>
      <c r="AD215" t="s">
        <v>54</v>
      </c>
      <c r="AE215">
        <v>1</v>
      </c>
      <c r="AF215">
        <v>0.94732859998475705</v>
      </c>
      <c r="AG215" t="s">
        <v>51</v>
      </c>
      <c r="AK215" t="s">
        <v>91</v>
      </c>
      <c r="AL215">
        <v>1</v>
      </c>
      <c r="AM215" t="s">
        <v>80</v>
      </c>
      <c r="AN215" t="s">
        <v>43</v>
      </c>
      <c r="AP215" t="s">
        <v>44</v>
      </c>
      <c r="AQ215">
        <v>59.456390224006398</v>
      </c>
      <c r="AR215" t="s">
        <v>81</v>
      </c>
    </row>
    <row r="216" spans="1:44" x14ac:dyDescent="0.3">
      <c r="A216" t="s">
        <v>65</v>
      </c>
      <c r="B216" t="s">
        <v>49</v>
      </c>
      <c r="C216" s="2" t="str">
        <f t="shared" si="3"/>
        <v>Emotional-I</v>
      </c>
      <c r="D216">
        <v>0.80635529995197397</v>
      </c>
      <c r="E216" t="s">
        <v>59</v>
      </c>
      <c r="F216" t="s">
        <v>56</v>
      </c>
      <c r="G216" t="s">
        <v>57</v>
      </c>
      <c r="H216">
        <v>13</v>
      </c>
      <c r="I216">
        <v>13</v>
      </c>
      <c r="J216">
        <v>0</v>
      </c>
      <c r="K216" t="s">
        <v>57</v>
      </c>
      <c r="L216">
        <v>1</v>
      </c>
      <c r="M216">
        <v>0.89374670002143797</v>
      </c>
      <c r="N216" t="s">
        <v>51</v>
      </c>
      <c r="O216">
        <v>0</v>
      </c>
      <c r="P216">
        <v>13</v>
      </c>
      <c r="Q216">
        <v>13</v>
      </c>
      <c r="R216">
        <v>9</v>
      </c>
      <c r="S216">
        <v>21.5942325000069</v>
      </c>
      <c r="X216">
        <v>21.5857918000547</v>
      </c>
      <c r="Y216">
        <v>21.5942325000069</v>
      </c>
      <c r="Z216">
        <v>22.094270600005899</v>
      </c>
      <c r="AA216">
        <v>22.094270600005899</v>
      </c>
      <c r="AB216">
        <v>22.094270600005899</v>
      </c>
      <c r="AC216">
        <v>22.997366200026502</v>
      </c>
      <c r="AD216" t="s">
        <v>57</v>
      </c>
      <c r="AE216">
        <v>1</v>
      </c>
      <c r="AF216">
        <v>0.89374670002143797</v>
      </c>
      <c r="AG216" t="s">
        <v>51</v>
      </c>
      <c r="AK216" t="s">
        <v>91</v>
      </c>
      <c r="AL216">
        <v>1</v>
      </c>
      <c r="AM216" t="s">
        <v>80</v>
      </c>
      <c r="AN216" t="s">
        <v>43</v>
      </c>
      <c r="AP216" t="s">
        <v>44</v>
      </c>
      <c r="AQ216">
        <v>59.456390224006398</v>
      </c>
      <c r="AR216" t="s">
        <v>81</v>
      </c>
    </row>
    <row r="217" spans="1:44" x14ac:dyDescent="0.3">
      <c r="A217" t="s">
        <v>66</v>
      </c>
      <c r="B217" t="s">
        <v>49</v>
      </c>
      <c r="C217" s="2" t="str">
        <f t="shared" si="3"/>
        <v>Neutral</v>
      </c>
      <c r="D217">
        <v>0.75092860002769102</v>
      </c>
      <c r="E217" t="s">
        <v>47</v>
      </c>
      <c r="F217" t="s">
        <v>61</v>
      </c>
      <c r="G217" t="s">
        <v>63</v>
      </c>
      <c r="H217">
        <v>14</v>
      </c>
      <c r="I217">
        <v>14</v>
      </c>
      <c r="J217">
        <v>0</v>
      </c>
      <c r="K217" t="s">
        <v>63</v>
      </c>
      <c r="L217">
        <v>1</v>
      </c>
      <c r="M217">
        <v>2.19592510000802</v>
      </c>
      <c r="N217" t="s">
        <v>51</v>
      </c>
      <c r="O217">
        <v>0</v>
      </c>
      <c r="P217">
        <v>14</v>
      </c>
      <c r="Q217">
        <v>14</v>
      </c>
      <c r="R217">
        <v>12</v>
      </c>
      <c r="S217">
        <v>23.010587100056</v>
      </c>
      <c r="X217">
        <v>23.0001000000047</v>
      </c>
      <c r="Y217">
        <v>23.010587100056</v>
      </c>
      <c r="Z217">
        <v>23.510729000030501</v>
      </c>
      <c r="AA217">
        <v>23.510729000030501</v>
      </c>
      <c r="AB217">
        <v>23.510729000030501</v>
      </c>
      <c r="AC217">
        <v>25.7141285000252</v>
      </c>
      <c r="AD217" t="s">
        <v>63</v>
      </c>
      <c r="AE217">
        <v>1</v>
      </c>
      <c r="AF217">
        <v>2.19592510000802</v>
      </c>
      <c r="AG217" t="s">
        <v>51</v>
      </c>
      <c r="AK217" t="s">
        <v>91</v>
      </c>
      <c r="AL217">
        <v>1</v>
      </c>
      <c r="AM217" t="s">
        <v>80</v>
      </c>
      <c r="AN217" t="s">
        <v>43</v>
      </c>
      <c r="AP217" t="s">
        <v>44</v>
      </c>
      <c r="AQ217">
        <v>59.456390224006398</v>
      </c>
      <c r="AR217" t="s">
        <v>81</v>
      </c>
    </row>
    <row r="218" spans="1:44" x14ac:dyDescent="0.3">
      <c r="A218" t="s">
        <v>69</v>
      </c>
      <c r="B218" t="s">
        <v>49</v>
      </c>
      <c r="C218" s="2" t="str">
        <f t="shared" si="3"/>
        <v>Emotional-I</v>
      </c>
      <c r="D218">
        <v>0.46373760001733899</v>
      </c>
      <c r="E218" t="s">
        <v>59</v>
      </c>
      <c r="F218" t="s">
        <v>56</v>
      </c>
      <c r="G218" t="s">
        <v>57</v>
      </c>
      <c r="H218">
        <v>15</v>
      </c>
      <c r="I218">
        <v>15</v>
      </c>
      <c r="J218">
        <v>0</v>
      </c>
      <c r="K218" t="s">
        <v>57</v>
      </c>
      <c r="L218">
        <v>1</v>
      </c>
      <c r="M218">
        <v>0.78310719999717504</v>
      </c>
      <c r="N218" t="s">
        <v>51</v>
      </c>
      <c r="O218">
        <v>0</v>
      </c>
      <c r="P218">
        <v>15</v>
      </c>
      <c r="Q218">
        <v>15</v>
      </c>
      <c r="R218">
        <v>5</v>
      </c>
      <c r="S218">
        <v>25.7267527000512</v>
      </c>
      <c r="X218">
        <v>25.717268600012101</v>
      </c>
      <c r="Y218">
        <v>25.7267527000512</v>
      </c>
      <c r="Z218">
        <v>26.226948800031</v>
      </c>
      <c r="AA218">
        <v>26.226948800031</v>
      </c>
      <c r="AB218">
        <v>26.226948800031</v>
      </c>
      <c r="AC218">
        <v>27.014507100044199</v>
      </c>
      <c r="AD218" t="s">
        <v>57</v>
      </c>
      <c r="AE218">
        <v>1</v>
      </c>
      <c r="AF218">
        <v>0.78310719999717504</v>
      </c>
      <c r="AG218" t="s">
        <v>51</v>
      </c>
      <c r="AK218" t="s">
        <v>91</v>
      </c>
      <c r="AL218">
        <v>1</v>
      </c>
      <c r="AM218" t="s">
        <v>80</v>
      </c>
      <c r="AN218" t="s">
        <v>43</v>
      </c>
      <c r="AP218" t="s">
        <v>44</v>
      </c>
      <c r="AQ218">
        <v>59.456390224006398</v>
      </c>
      <c r="AR218" t="s">
        <v>81</v>
      </c>
    </row>
    <row r="219" spans="1:44" x14ac:dyDescent="0.3">
      <c r="A219" t="s">
        <v>70</v>
      </c>
      <c r="B219" t="s">
        <v>49</v>
      </c>
      <c r="C219" s="2" t="str">
        <f t="shared" si="3"/>
        <v>Emotional-I</v>
      </c>
      <c r="D219">
        <v>0.88411829998949498</v>
      </c>
      <c r="E219" t="s">
        <v>59</v>
      </c>
      <c r="F219" t="s">
        <v>53</v>
      </c>
      <c r="G219" t="s">
        <v>54</v>
      </c>
      <c r="H219">
        <v>16</v>
      </c>
      <c r="I219">
        <v>16</v>
      </c>
      <c r="J219">
        <v>0</v>
      </c>
      <c r="K219" t="s">
        <v>54</v>
      </c>
      <c r="L219">
        <v>1</v>
      </c>
      <c r="M219">
        <v>0.95126390003133499</v>
      </c>
      <c r="N219" t="s">
        <v>51</v>
      </c>
      <c r="O219">
        <v>0</v>
      </c>
      <c r="P219">
        <v>16</v>
      </c>
      <c r="Q219">
        <v>16</v>
      </c>
      <c r="R219">
        <v>2</v>
      </c>
      <c r="S219">
        <v>27.026851800037502</v>
      </c>
      <c r="X219">
        <v>27.019450800027698</v>
      </c>
      <c r="Y219">
        <v>27.026851800037502</v>
      </c>
      <c r="Z219">
        <v>27.527169900014901</v>
      </c>
      <c r="AA219">
        <v>27.527169900014901</v>
      </c>
      <c r="AB219">
        <v>27.527169900014901</v>
      </c>
      <c r="AC219">
        <v>28.482517900003501</v>
      </c>
      <c r="AD219" t="s">
        <v>54</v>
      </c>
      <c r="AE219">
        <v>1</v>
      </c>
      <c r="AF219">
        <v>0.95126390003133499</v>
      </c>
      <c r="AG219" t="s">
        <v>51</v>
      </c>
      <c r="AK219" t="s">
        <v>91</v>
      </c>
      <c r="AL219">
        <v>1</v>
      </c>
      <c r="AM219" t="s">
        <v>80</v>
      </c>
      <c r="AN219" t="s">
        <v>43</v>
      </c>
      <c r="AP219" t="s">
        <v>44</v>
      </c>
      <c r="AQ219">
        <v>59.456390224006398</v>
      </c>
      <c r="AR219" t="s">
        <v>81</v>
      </c>
    </row>
    <row r="220" spans="1:44" x14ac:dyDescent="0.3">
      <c r="A220" t="s">
        <v>76</v>
      </c>
      <c r="B220" t="s">
        <v>49</v>
      </c>
      <c r="C220" s="2" t="str">
        <f t="shared" si="3"/>
        <v>Emotional-I</v>
      </c>
      <c r="D220">
        <v>0.93313379999017299</v>
      </c>
      <c r="E220" t="s">
        <v>59</v>
      </c>
      <c r="F220" t="s">
        <v>48</v>
      </c>
      <c r="G220" t="s">
        <v>50</v>
      </c>
      <c r="H220">
        <v>17</v>
      </c>
      <c r="I220">
        <v>17</v>
      </c>
      <c r="J220">
        <v>0</v>
      </c>
      <c r="K220" t="s">
        <v>50</v>
      </c>
      <c r="L220">
        <v>1</v>
      </c>
      <c r="M220">
        <v>0.588742099993396</v>
      </c>
      <c r="N220" t="s">
        <v>51</v>
      </c>
      <c r="O220">
        <v>0</v>
      </c>
      <c r="P220">
        <v>17</v>
      </c>
      <c r="Q220">
        <v>17</v>
      </c>
      <c r="R220">
        <v>3</v>
      </c>
      <c r="S220">
        <v>28.50946260005</v>
      </c>
      <c r="X220">
        <v>28.487113600014698</v>
      </c>
      <c r="Y220">
        <v>28.50946260005</v>
      </c>
      <c r="Z220">
        <v>28.993321400019301</v>
      </c>
      <c r="AA220">
        <v>28.993321400019301</v>
      </c>
      <c r="AB220">
        <v>28.993321400019301</v>
      </c>
      <c r="AC220">
        <v>29.5980120000313</v>
      </c>
      <c r="AD220" t="s">
        <v>50</v>
      </c>
      <c r="AE220">
        <v>1</v>
      </c>
      <c r="AF220">
        <v>0.588742099993396</v>
      </c>
      <c r="AG220" t="s">
        <v>51</v>
      </c>
      <c r="AK220" t="s">
        <v>91</v>
      </c>
      <c r="AL220">
        <v>1</v>
      </c>
      <c r="AM220" t="s">
        <v>80</v>
      </c>
      <c r="AN220" t="s">
        <v>43</v>
      </c>
      <c r="AP220" t="s">
        <v>44</v>
      </c>
      <c r="AQ220">
        <v>59.456390224006398</v>
      </c>
      <c r="AR220" t="s">
        <v>81</v>
      </c>
    </row>
    <row r="221" spans="1:44" x14ac:dyDescent="0.3">
      <c r="A221" t="s">
        <v>72</v>
      </c>
      <c r="B221" t="s">
        <v>62</v>
      </c>
      <c r="C221" s="2" t="str">
        <f t="shared" si="3"/>
        <v>Emotional-C</v>
      </c>
      <c r="D221">
        <v>2.88680079998448</v>
      </c>
      <c r="E221" t="s">
        <v>59</v>
      </c>
      <c r="F221" t="s">
        <v>61</v>
      </c>
      <c r="G221" t="s">
        <v>63</v>
      </c>
      <c r="H221">
        <v>18</v>
      </c>
      <c r="I221">
        <v>18</v>
      </c>
      <c r="J221">
        <v>0</v>
      </c>
      <c r="K221" t="s">
        <v>63</v>
      </c>
      <c r="L221">
        <v>1</v>
      </c>
      <c r="M221">
        <v>0.48373849998460999</v>
      </c>
      <c r="N221" t="s">
        <v>51</v>
      </c>
      <c r="O221">
        <v>0</v>
      </c>
      <c r="P221">
        <v>18</v>
      </c>
      <c r="Q221">
        <v>18</v>
      </c>
      <c r="R221">
        <v>8</v>
      </c>
      <c r="S221">
        <v>29.610084300045798</v>
      </c>
      <c r="X221">
        <v>29.601827300037201</v>
      </c>
      <c r="Y221">
        <v>29.610084300045798</v>
      </c>
      <c r="Z221">
        <v>30.110335500037699</v>
      </c>
      <c r="AA221">
        <v>30.110335500037699</v>
      </c>
      <c r="AB221">
        <v>30.110335500037699</v>
      </c>
      <c r="AC221">
        <v>30.5970626000198</v>
      </c>
      <c r="AD221" t="s">
        <v>63</v>
      </c>
      <c r="AE221">
        <v>1</v>
      </c>
      <c r="AF221">
        <v>0.48373849998460999</v>
      </c>
      <c r="AG221" t="s">
        <v>51</v>
      </c>
      <c r="AK221" t="s">
        <v>91</v>
      </c>
      <c r="AL221">
        <v>1</v>
      </c>
      <c r="AM221" t="s">
        <v>80</v>
      </c>
      <c r="AN221" t="s">
        <v>43</v>
      </c>
      <c r="AP221" t="s">
        <v>44</v>
      </c>
      <c r="AQ221">
        <v>59.456390224006398</v>
      </c>
      <c r="AR221" t="s">
        <v>81</v>
      </c>
    </row>
    <row r="222" spans="1:44" hidden="1" x14ac:dyDescent="0.3">
      <c r="A222" t="s">
        <v>74</v>
      </c>
      <c r="B222" t="s">
        <v>49</v>
      </c>
      <c r="C222" s="2" t="str">
        <f t="shared" si="3"/>
        <v>Neutral</v>
      </c>
      <c r="D222">
        <v>0.54884249996393897</v>
      </c>
      <c r="E222" t="s">
        <v>47</v>
      </c>
      <c r="F222" t="s">
        <v>48</v>
      </c>
      <c r="G222" t="s">
        <v>50</v>
      </c>
      <c r="H222">
        <v>19</v>
      </c>
      <c r="I222">
        <v>19</v>
      </c>
      <c r="J222">
        <v>0</v>
      </c>
      <c r="K222" t="s">
        <v>54</v>
      </c>
      <c r="L222">
        <v>0</v>
      </c>
      <c r="M222">
        <v>0.793372499989345</v>
      </c>
      <c r="N222" t="s">
        <v>51</v>
      </c>
      <c r="O222">
        <v>0</v>
      </c>
      <c r="P222">
        <v>19</v>
      </c>
      <c r="Q222">
        <v>19</v>
      </c>
      <c r="R222">
        <v>11</v>
      </c>
      <c r="S222">
        <v>30.6102783000096</v>
      </c>
      <c r="X222">
        <v>30.600107600039301</v>
      </c>
      <c r="Y222">
        <v>30.6102783000096</v>
      </c>
      <c r="Z222">
        <v>31.110107000044</v>
      </c>
      <c r="AA222">
        <v>31.110107000044</v>
      </c>
      <c r="AB222">
        <v>31.110107000044</v>
      </c>
      <c r="AC222">
        <v>31.914552800008</v>
      </c>
      <c r="AD222" t="s">
        <v>54</v>
      </c>
      <c r="AE222">
        <v>0</v>
      </c>
      <c r="AF222">
        <v>0.793372499989345</v>
      </c>
      <c r="AG222" t="s">
        <v>51</v>
      </c>
      <c r="AK222" t="s">
        <v>91</v>
      </c>
      <c r="AL222">
        <v>1</v>
      </c>
      <c r="AM222" t="s">
        <v>80</v>
      </c>
      <c r="AN222" t="s">
        <v>43</v>
      </c>
      <c r="AP222" t="s">
        <v>44</v>
      </c>
      <c r="AQ222">
        <v>59.456390224006398</v>
      </c>
      <c r="AR222" t="s">
        <v>81</v>
      </c>
    </row>
    <row r="223" spans="1:44" x14ac:dyDescent="0.3">
      <c r="A223" t="s">
        <v>77</v>
      </c>
      <c r="B223" t="s">
        <v>62</v>
      </c>
      <c r="C223" s="2" t="str">
        <f t="shared" si="3"/>
        <v>Emotional-C</v>
      </c>
      <c r="D223">
        <v>0.78422440000576898</v>
      </c>
      <c r="E223" t="s">
        <v>59</v>
      </c>
      <c r="F223" t="s">
        <v>61</v>
      </c>
      <c r="G223" t="s">
        <v>63</v>
      </c>
      <c r="H223">
        <v>20</v>
      </c>
      <c r="I223">
        <v>0</v>
      </c>
      <c r="J223">
        <v>1</v>
      </c>
      <c r="K223" t="s">
        <v>63</v>
      </c>
      <c r="L223">
        <v>1</v>
      </c>
      <c r="M223">
        <v>0.67767150001600296</v>
      </c>
      <c r="N223" t="s">
        <v>51</v>
      </c>
      <c r="O223">
        <v>1</v>
      </c>
      <c r="P223">
        <v>0</v>
      </c>
      <c r="Q223">
        <v>20</v>
      </c>
      <c r="R223">
        <v>4</v>
      </c>
      <c r="S223">
        <v>31.928782800037801</v>
      </c>
      <c r="X223">
        <v>31.9176708000013</v>
      </c>
      <c r="Y223">
        <v>31.928782800037801</v>
      </c>
      <c r="Z223">
        <v>32.426828700001302</v>
      </c>
      <c r="AA223">
        <v>32.426828700001302</v>
      </c>
      <c r="AB223">
        <v>32.426828700001302</v>
      </c>
      <c r="AC223">
        <v>33.113411700003702</v>
      </c>
      <c r="AD223" t="s">
        <v>63</v>
      </c>
      <c r="AE223">
        <v>1</v>
      </c>
      <c r="AF223">
        <v>0.67767150001600296</v>
      </c>
      <c r="AG223" t="s">
        <v>51</v>
      </c>
      <c r="AK223" t="s">
        <v>91</v>
      </c>
      <c r="AL223">
        <v>1</v>
      </c>
      <c r="AM223" t="s">
        <v>80</v>
      </c>
      <c r="AN223" t="s">
        <v>43</v>
      </c>
      <c r="AP223" t="s">
        <v>44</v>
      </c>
      <c r="AQ223">
        <v>59.456390224006398</v>
      </c>
      <c r="AR223" t="s">
        <v>81</v>
      </c>
    </row>
    <row r="224" spans="1:44" x14ac:dyDescent="0.3">
      <c r="A224" t="s">
        <v>68</v>
      </c>
      <c r="B224" t="s">
        <v>49</v>
      </c>
      <c r="C224" s="2" t="str">
        <f t="shared" si="3"/>
        <v>Emotional-I</v>
      </c>
      <c r="D224">
        <v>0.65526449994649705</v>
      </c>
      <c r="E224" t="s">
        <v>59</v>
      </c>
      <c r="F224" t="s">
        <v>53</v>
      </c>
      <c r="G224" t="s">
        <v>54</v>
      </c>
      <c r="H224">
        <v>21</v>
      </c>
      <c r="I224">
        <v>1</v>
      </c>
      <c r="J224">
        <v>1</v>
      </c>
      <c r="K224" t="s">
        <v>54</v>
      </c>
      <c r="L224">
        <v>1</v>
      </c>
      <c r="M224">
        <v>1.5570615999749799</v>
      </c>
      <c r="N224" t="s">
        <v>51</v>
      </c>
      <c r="O224">
        <v>1</v>
      </c>
      <c r="P224">
        <v>1</v>
      </c>
      <c r="Q224">
        <v>21</v>
      </c>
      <c r="R224">
        <v>6</v>
      </c>
      <c r="S224">
        <v>33.126802800048601</v>
      </c>
      <c r="X224">
        <v>33.116351400036301</v>
      </c>
      <c r="Y224">
        <v>33.126802800048601</v>
      </c>
      <c r="Z224">
        <v>33.626770900038501</v>
      </c>
      <c r="AA224">
        <v>33.626770900038501</v>
      </c>
      <c r="AB224">
        <v>33.626770900038501</v>
      </c>
      <c r="AC224">
        <v>35.197130800050203</v>
      </c>
      <c r="AD224" t="s">
        <v>54</v>
      </c>
      <c r="AE224">
        <v>1</v>
      </c>
      <c r="AF224">
        <v>1.5570615999749799</v>
      </c>
      <c r="AG224" t="s">
        <v>51</v>
      </c>
      <c r="AK224" t="s">
        <v>91</v>
      </c>
      <c r="AL224">
        <v>1</v>
      </c>
      <c r="AM224" t="s">
        <v>80</v>
      </c>
      <c r="AN224" t="s">
        <v>43</v>
      </c>
      <c r="AP224" t="s">
        <v>44</v>
      </c>
      <c r="AQ224">
        <v>59.456390224006398</v>
      </c>
      <c r="AR224" t="s">
        <v>81</v>
      </c>
    </row>
    <row r="225" spans="1:44" x14ac:dyDescent="0.3">
      <c r="A225" t="s">
        <v>75</v>
      </c>
      <c r="B225" t="s">
        <v>49</v>
      </c>
      <c r="C225" s="2" t="str">
        <f t="shared" si="3"/>
        <v>Neutral</v>
      </c>
      <c r="D225">
        <v>0.41086429997812901</v>
      </c>
      <c r="E225" t="s">
        <v>47</v>
      </c>
      <c r="F225" t="s">
        <v>61</v>
      </c>
      <c r="G225" t="s">
        <v>63</v>
      </c>
      <c r="H225">
        <v>22</v>
      </c>
      <c r="I225">
        <v>2</v>
      </c>
      <c r="J225">
        <v>1</v>
      </c>
      <c r="K225" t="s">
        <v>63</v>
      </c>
      <c r="L225">
        <v>1</v>
      </c>
      <c r="M225">
        <v>0.70579580002231501</v>
      </c>
      <c r="N225" t="s">
        <v>51</v>
      </c>
      <c r="O225">
        <v>1</v>
      </c>
      <c r="P225">
        <v>2</v>
      </c>
      <c r="Q225">
        <v>22</v>
      </c>
      <c r="R225">
        <v>16</v>
      </c>
      <c r="S225">
        <v>35.2099572000443</v>
      </c>
      <c r="X225">
        <v>35.199899800005298</v>
      </c>
      <c r="Y225">
        <v>35.2099572000443</v>
      </c>
      <c r="Z225">
        <v>35.710009900038102</v>
      </c>
      <c r="AA225">
        <v>35.710009900038102</v>
      </c>
      <c r="AB225">
        <v>35.710009900038102</v>
      </c>
      <c r="AC225">
        <v>36.429744200024203</v>
      </c>
      <c r="AD225" t="s">
        <v>63</v>
      </c>
      <c r="AE225">
        <v>1</v>
      </c>
      <c r="AF225">
        <v>0.70579580002231501</v>
      </c>
      <c r="AG225" t="s">
        <v>51</v>
      </c>
      <c r="AK225" t="s">
        <v>91</v>
      </c>
      <c r="AL225">
        <v>1</v>
      </c>
      <c r="AM225" t="s">
        <v>80</v>
      </c>
      <c r="AN225" t="s">
        <v>43</v>
      </c>
      <c r="AP225" t="s">
        <v>44</v>
      </c>
      <c r="AQ225">
        <v>59.456390224006398</v>
      </c>
      <c r="AR225" t="s">
        <v>81</v>
      </c>
    </row>
    <row r="226" spans="1:44" x14ac:dyDescent="0.3">
      <c r="A226" t="s">
        <v>67</v>
      </c>
      <c r="B226" t="s">
        <v>49</v>
      </c>
      <c r="C226" s="2" t="str">
        <f t="shared" si="3"/>
        <v>Neutral</v>
      </c>
      <c r="D226">
        <v>1.48842359997797</v>
      </c>
      <c r="E226" t="s">
        <v>47</v>
      </c>
      <c r="F226" t="s">
        <v>53</v>
      </c>
      <c r="G226" t="s">
        <v>54</v>
      </c>
      <c r="H226">
        <v>23</v>
      </c>
      <c r="I226">
        <v>3</v>
      </c>
      <c r="J226">
        <v>1</v>
      </c>
      <c r="K226" t="s">
        <v>54</v>
      </c>
      <c r="L226">
        <v>1</v>
      </c>
      <c r="M226">
        <v>0.71464289998402797</v>
      </c>
      <c r="N226" t="s">
        <v>51</v>
      </c>
      <c r="O226">
        <v>1</v>
      </c>
      <c r="P226">
        <v>3</v>
      </c>
      <c r="Q226">
        <v>23</v>
      </c>
      <c r="R226">
        <v>10</v>
      </c>
      <c r="S226">
        <v>36.444001000025303</v>
      </c>
      <c r="X226">
        <v>36.432922800013301</v>
      </c>
      <c r="Y226">
        <v>36.444001000025303</v>
      </c>
      <c r="Z226">
        <v>36.943240500055197</v>
      </c>
      <c r="AA226">
        <v>36.943240500055197</v>
      </c>
      <c r="AB226">
        <v>36.943240500055197</v>
      </c>
      <c r="AC226">
        <v>37.663344100001197</v>
      </c>
      <c r="AD226" t="s">
        <v>54</v>
      </c>
      <c r="AE226">
        <v>1</v>
      </c>
      <c r="AF226">
        <v>0.71464289998402797</v>
      </c>
      <c r="AG226" t="s">
        <v>51</v>
      </c>
      <c r="AK226" t="s">
        <v>91</v>
      </c>
      <c r="AL226">
        <v>1</v>
      </c>
      <c r="AM226" t="s">
        <v>80</v>
      </c>
      <c r="AN226" t="s">
        <v>43</v>
      </c>
      <c r="AP226" t="s">
        <v>44</v>
      </c>
      <c r="AQ226">
        <v>59.456390224006398</v>
      </c>
      <c r="AR226" t="s">
        <v>81</v>
      </c>
    </row>
    <row r="227" spans="1:44" x14ac:dyDescent="0.3">
      <c r="A227" t="s">
        <v>72</v>
      </c>
      <c r="B227" t="s">
        <v>62</v>
      </c>
      <c r="C227" s="2" t="str">
        <f t="shared" si="3"/>
        <v>Emotional-C</v>
      </c>
      <c r="D227">
        <v>1.16131789999781</v>
      </c>
      <c r="E227" t="s">
        <v>59</v>
      </c>
      <c r="F227" t="s">
        <v>61</v>
      </c>
      <c r="G227" t="s">
        <v>63</v>
      </c>
      <c r="H227">
        <v>24</v>
      </c>
      <c r="I227">
        <v>4</v>
      </c>
      <c r="J227">
        <v>1</v>
      </c>
      <c r="K227" t="s">
        <v>63</v>
      </c>
      <c r="L227">
        <v>1</v>
      </c>
      <c r="M227">
        <v>0.69279780000215396</v>
      </c>
      <c r="N227" t="s">
        <v>51</v>
      </c>
      <c r="O227">
        <v>1</v>
      </c>
      <c r="P227">
        <v>4</v>
      </c>
      <c r="Q227">
        <v>24</v>
      </c>
      <c r="R227">
        <v>8</v>
      </c>
      <c r="S227">
        <v>37.6762253000051</v>
      </c>
      <c r="X227">
        <v>37.666087400051701</v>
      </c>
      <c r="Y227">
        <v>37.6762253000051</v>
      </c>
      <c r="Z227">
        <v>38.176138700044199</v>
      </c>
      <c r="AA227">
        <v>38.176138700044199</v>
      </c>
      <c r="AB227">
        <v>38.176138700044199</v>
      </c>
      <c r="AC227">
        <v>38.8798706000088</v>
      </c>
      <c r="AD227" t="s">
        <v>63</v>
      </c>
      <c r="AE227">
        <v>1</v>
      </c>
      <c r="AF227">
        <v>0.69279780000215396</v>
      </c>
      <c r="AG227" t="s">
        <v>51</v>
      </c>
      <c r="AK227" t="s">
        <v>91</v>
      </c>
      <c r="AL227">
        <v>1</v>
      </c>
      <c r="AM227" t="s">
        <v>80</v>
      </c>
      <c r="AN227" t="s">
        <v>43</v>
      </c>
      <c r="AP227" t="s">
        <v>44</v>
      </c>
      <c r="AQ227">
        <v>59.456390224006398</v>
      </c>
      <c r="AR227" t="s">
        <v>81</v>
      </c>
    </row>
    <row r="228" spans="1:44" x14ac:dyDescent="0.3">
      <c r="A228" t="s">
        <v>60</v>
      </c>
      <c r="B228" t="s">
        <v>62</v>
      </c>
      <c r="C228" s="2" t="str">
        <f t="shared" si="3"/>
        <v>Emotional-C</v>
      </c>
      <c r="D228">
        <v>0.56004549999488495</v>
      </c>
      <c r="E228" t="s">
        <v>59</v>
      </c>
      <c r="F228" t="s">
        <v>61</v>
      </c>
      <c r="G228" t="s">
        <v>63</v>
      </c>
      <c r="H228">
        <v>25</v>
      </c>
      <c r="I228">
        <v>5</v>
      </c>
      <c r="J228">
        <v>1</v>
      </c>
      <c r="K228" t="s">
        <v>63</v>
      </c>
      <c r="L228">
        <v>1</v>
      </c>
      <c r="M228">
        <v>0.80635529995197397</v>
      </c>
      <c r="N228" t="s">
        <v>51</v>
      </c>
      <c r="O228">
        <v>1</v>
      </c>
      <c r="P228">
        <v>5</v>
      </c>
      <c r="Q228">
        <v>25</v>
      </c>
      <c r="R228">
        <v>0</v>
      </c>
      <c r="S228">
        <v>38.893218100012703</v>
      </c>
      <c r="X228">
        <v>38.882511200034003</v>
      </c>
      <c r="Y228">
        <v>38.893218100012703</v>
      </c>
      <c r="Z228">
        <v>39.393343700037804</v>
      </c>
      <c r="AA228">
        <v>39.393343700037804</v>
      </c>
      <c r="AB228">
        <v>39.393343700037804</v>
      </c>
      <c r="AC228">
        <v>40.212428900005698</v>
      </c>
      <c r="AD228" t="s">
        <v>63</v>
      </c>
      <c r="AE228">
        <v>1</v>
      </c>
      <c r="AF228">
        <v>0.80635529995197397</v>
      </c>
      <c r="AG228" t="s">
        <v>51</v>
      </c>
      <c r="AK228" t="s">
        <v>91</v>
      </c>
      <c r="AL228">
        <v>1</v>
      </c>
      <c r="AM228" t="s">
        <v>80</v>
      </c>
      <c r="AN228" t="s">
        <v>43</v>
      </c>
      <c r="AP228" t="s">
        <v>44</v>
      </c>
      <c r="AQ228">
        <v>59.456390224006398</v>
      </c>
      <c r="AR228" t="s">
        <v>81</v>
      </c>
    </row>
    <row r="229" spans="1:44" x14ac:dyDescent="0.3">
      <c r="A229" t="s">
        <v>46</v>
      </c>
      <c r="B229" t="s">
        <v>49</v>
      </c>
      <c r="C229" s="2" t="str">
        <f t="shared" si="3"/>
        <v>Neutral</v>
      </c>
      <c r="D229">
        <v>1.5275830000173301</v>
      </c>
      <c r="E229" t="s">
        <v>47</v>
      </c>
      <c r="F229" t="s">
        <v>48</v>
      </c>
      <c r="G229" t="s">
        <v>50</v>
      </c>
      <c r="H229">
        <v>26</v>
      </c>
      <c r="I229">
        <v>6</v>
      </c>
      <c r="J229">
        <v>1</v>
      </c>
      <c r="K229" t="s">
        <v>50</v>
      </c>
      <c r="L229">
        <v>1</v>
      </c>
      <c r="M229">
        <v>0.75092860002769102</v>
      </c>
      <c r="N229" t="s">
        <v>51</v>
      </c>
      <c r="O229">
        <v>1</v>
      </c>
      <c r="P229">
        <v>6</v>
      </c>
      <c r="Q229">
        <v>26</v>
      </c>
      <c r="R229">
        <v>19</v>
      </c>
      <c r="S229">
        <v>40.225194200000203</v>
      </c>
      <c r="X229">
        <v>40.215402800007702</v>
      </c>
      <c r="Y229">
        <v>40.225194200000203</v>
      </c>
      <c r="Z229">
        <v>40.725238300045</v>
      </c>
      <c r="AA229">
        <v>40.725238300045</v>
      </c>
      <c r="AB229">
        <v>40.725238300045</v>
      </c>
      <c r="AC229">
        <v>41.4795886000501</v>
      </c>
      <c r="AD229" t="s">
        <v>50</v>
      </c>
      <c r="AE229">
        <v>1</v>
      </c>
      <c r="AF229">
        <v>0.75092860002769102</v>
      </c>
      <c r="AG229" t="s">
        <v>51</v>
      </c>
      <c r="AK229" t="s">
        <v>91</v>
      </c>
      <c r="AL229">
        <v>1</v>
      </c>
      <c r="AM229" t="s">
        <v>80</v>
      </c>
      <c r="AN229" t="s">
        <v>43</v>
      </c>
      <c r="AP229" t="s">
        <v>44</v>
      </c>
      <c r="AQ229">
        <v>59.456390224006398</v>
      </c>
      <c r="AR229" t="s">
        <v>81</v>
      </c>
    </row>
    <row r="230" spans="1:44" x14ac:dyDescent="0.3">
      <c r="A230" t="s">
        <v>58</v>
      </c>
      <c r="B230" t="s">
        <v>49</v>
      </c>
      <c r="C230" s="2" t="str">
        <f t="shared" si="3"/>
        <v>Emotional-I</v>
      </c>
      <c r="D230">
        <v>2.116837700014</v>
      </c>
      <c r="E230" t="s">
        <v>59</v>
      </c>
      <c r="F230" t="s">
        <v>48</v>
      </c>
      <c r="G230" t="s">
        <v>50</v>
      </c>
      <c r="H230">
        <v>27</v>
      </c>
      <c r="I230">
        <v>7</v>
      </c>
      <c r="J230">
        <v>1</v>
      </c>
      <c r="K230" t="s">
        <v>50</v>
      </c>
      <c r="L230">
        <v>1</v>
      </c>
      <c r="M230">
        <v>0.46373760001733899</v>
      </c>
      <c r="N230" t="s">
        <v>51</v>
      </c>
      <c r="O230">
        <v>1</v>
      </c>
      <c r="P230">
        <v>7</v>
      </c>
      <c r="Q230">
        <v>27</v>
      </c>
      <c r="R230">
        <v>7</v>
      </c>
      <c r="S230">
        <v>41.4922041000099</v>
      </c>
      <c r="X230">
        <v>41.482209900044801</v>
      </c>
      <c r="Y230">
        <v>41.4922041000099</v>
      </c>
      <c r="Z230">
        <v>41.992067900020601</v>
      </c>
      <c r="AA230">
        <v>41.992067900020601</v>
      </c>
      <c r="AB230">
        <v>41.992067900020601</v>
      </c>
      <c r="AC230">
        <v>42.462071500020102</v>
      </c>
      <c r="AD230" t="s">
        <v>50</v>
      </c>
      <c r="AE230">
        <v>1</v>
      </c>
      <c r="AF230">
        <v>0.46373760001733899</v>
      </c>
      <c r="AG230" t="s">
        <v>51</v>
      </c>
      <c r="AK230" t="s">
        <v>91</v>
      </c>
      <c r="AL230">
        <v>1</v>
      </c>
      <c r="AM230" t="s">
        <v>80</v>
      </c>
      <c r="AN230" t="s">
        <v>43</v>
      </c>
      <c r="AP230" t="s">
        <v>44</v>
      </c>
      <c r="AQ230">
        <v>59.456390224006398</v>
      </c>
      <c r="AR230" t="s">
        <v>81</v>
      </c>
    </row>
    <row r="231" spans="1:44" x14ac:dyDescent="0.3">
      <c r="A231" t="s">
        <v>69</v>
      </c>
      <c r="B231" t="s">
        <v>49</v>
      </c>
      <c r="C231" s="2" t="str">
        <f t="shared" si="3"/>
        <v>Emotional-I</v>
      </c>
      <c r="D231">
        <v>1.2697122999816199</v>
      </c>
      <c r="E231" t="s">
        <v>59</v>
      </c>
      <c r="F231" t="s">
        <v>56</v>
      </c>
      <c r="G231" t="s">
        <v>57</v>
      </c>
      <c r="H231">
        <v>28</v>
      </c>
      <c r="I231">
        <v>8</v>
      </c>
      <c r="J231">
        <v>1</v>
      </c>
      <c r="K231" t="s">
        <v>57</v>
      </c>
      <c r="L231">
        <v>1</v>
      </c>
      <c r="M231">
        <v>0.88411829998949498</v>
      </c>
      <c r="N231" t="s">
        <v>51</v>
      </c>
      <c r="O231">
        <v>1</v>
      </c>
      <c r="P231">
        <v>8</v>
      </c>
      <c r="Q231">
        <v>28</v>
      </c>
      <c r="R231">
        <v>5</v>
      </c>
      <c r="S231">
        <v>42.475778200023299</v>
      </c>
      <c r="X231">
        <v>42.4643374000443</v>
      </c>
      <c r="Y231">
        <v>42.475778200023299</v>
      </c>
      <c r="Z231">
        <v>42.975110200000898</v>
      </c>
      <c r="AA231">
        <v>42.975110200000898</v>
      </c>
      <c r="AB231">
        <v>42.975110200000898</v>
      </c>
      <c r="AC231">
        <v>43.862054200027998</v>
      </c>
      <c r="AD231" t="s">
        <v>57</v>
      </c>
      <c r="AE231">
        <v>1</v>
      </c>
      <c r="AF231">
        <v>0.88411829998949498</v>
      </c>
      <c r="AG231" t="s">
        <v>51</v>
      </c>
      <c r="AK231" t="s">
        <v>91</v>
      </c>
      <c r="AL231">
        <v>1</v>
      </c>
      <c r="AM231" t="s">
        <v>80</v>
      </c>
      <c r="AN231" t="s">
        <v>43</v>
      </c>
      <c r="AP231" t="s">
        <v>44</v>
      </c>
      <c r="AQ231">
        <v>59.456390224006398</v>
      </c>
      <c r="AR231" t="s">
        <v>81</v>
      </c>
    </row>
    <row r="232" spans="1:44" x14ac:dyDescent="0.3">
      <c r="A232" t="s">
        <v>64</v>
      </c>
      <c r="B232" t="s">
        <v>49</v>
      </c>
      <c r="C232" s="2" t="str">
        <f t="shared" si="3"/>
        <v>Neutral</v>
      </c>
      <c r="D232">
        <v>0.89389459998346799</v>
      </c>
      <c r="E232" t="s">
        <v>47</v>
      </c>
      <c r="F232" t="s">
        <v>53</v>
      </c>
      <c r="G232" t="s">
        <v>54</v>
      </c>
      <c r="H232">
        <v>29</v>
      </c>
      <c r="I232">
        <v>9</v>
      </c>
      <c r="J232">
        <v>1</v>
      </c>
      <c r="K232" t="s">
        <v>54</v>
      </c>
      <c r="L232">
        <v>1</v>
      </c>
      <c r="M232">
        <v>0.93313379999017299</v>
      </c>
      <c r="N232" t="s">
        <v>51</v>
      </c>
      <c r="O232">
        <v>1</v>
      </c>
      <c r="P232">
        <v>9</v>
      </c>
      <c r="Q232">
        <v>29</v>
      </c>
      <c r="R232">
        <v>18</v>
      </c>
      <c r="S232">
        <v>43.8753550000255</v>
      </c>
      <c r="X232">
        <v>43.864200200012398</v>
      </c>
      <c r="Y232">
        <v>43.8753550000255</v>
      </c>
      <c r="Z232">
        <v>44.379097800003301</v>
      </c>
      <c r="AA232">
        <v>44.379097800003301</v>
      </c>
      <c r="AB232">
        <v>44.379097800003301</v>
      </c>
      <c r="AC232">
        <v>45.313621100038198</v>
      </c>
      <c r="AD232" t="s">
        <v>54</v>
      </c>
      <c r="AE232">
        <v>1</v>
      </c>
      <c r="AF232">
        <v>0.93313379999017299</v>
      </c>
      <c r="AG232" t="s">
        <v>51</v>
      </c>
      <c r="AK232" t="s">
        <v>91</v>
      </c>
      <c r="AL232">
        <v>1</v>
      </c>
      <c r="AM232" t="s">
        <v>80</v>
      </c>
      <c r="AN232" t="s">
        <v>43</v>
      </c>
      <c r="AP232" t="s">
        <v>44</v>
      </c>
      <c r="AQ232">
        <v>59.456390224006398</v>
      </c>
      <c r="AR232" t="s">
        <v>81</v>
      </c>
    </row>
    <row r="233" spans="1:44" x14ac:dyDescent="0.3">
      <c r="A233" t="s">
        <v>65</v>
      </c>
      <c r="B233" t="s">
        <v>49</v>
      </c>
      <c r="C233" s="2" t="str">
        <f t="shared" si="3"/>
        <v>Emotional-I</v>
      </c>
      <c r="D233">
        <v>1.0273432999965699</v>
      </c>
      <c r="E233" t="s">
        <v>59</v>
      </c>
      <c r="F233" t="s">
        <v>56</v>
      </c>
      <c r="G233" t="s">
        <v>57</v>
      </c>
      <c r="H233">
        <v>30</v>
      </c>
      <c r="I233">
        <v>10</v>
      </c>
      <c r="J233">
        <v>1</v>
      </c>
      <c r="K233" t="s">
        <v>57</v>
      </c>
      <c r="L233">
        <v>1</v>
      </c>
      <c r="M233">
        <v>2.88680079998448</v>
      </c>
      <c r="N233" t="s">
        <v>51</v>
      </c>
      <c r="O233">
        <v>1</v>
      </c>
      <c r="P233">
        <v>10</v>
      </c>
      <c r="Q233">
        <v>30</v>
      </c>
      <c r="R233">
        <v>9</v>
      </c>
      <c r="S233">
        <v>45.326297500054302</v>
      </c>
      <c r="X233">
        <v>45.316720900009301</v>
      </c>
      <c r="Y233">
        <v>45.326297500054302</v>
      </c>
      <c r="Z233">
        <v>45.826229300000698</v>
      </c>
      <c r="AA233">
        <v>45.826229300000698</v>
      </c>
      <c r="AB233">
        <v>45.826229300000698</v>
      </c>
      <c r="AC233">
        <v>48.714078300050403</v>
      </c>
      <c r="AD233" t="s">
        <v>57</v>
      </c>
      <c r="AE233">
        <v>1</v>
      </c>
      <c r="AF233">
        <v>2.88680079998448</v>
      </c>
      <c r="AG233" t="s">
        <v>51</v>
      </c>
      <c r="AK233" t="s">
        <v>91</v>
      </c>
      <c r="AL233">
        <v>1</v>
      </c>
      <c r="AM233" t="s">
        <v>80</v>
      </c>
      <c r="AN233" t="s">
        <v>43</v>
      </c>
      <c r="AP233" t="s">
        <v>44</v>
      </c>
      <c r="AQ233">
        <v>59.456390224006398</v>
      </c>
      <c r="AR233" t="s">
        <v>81</v>
      </c>
    </row>
    <row r="234" spans="1:44" x14ac:dyDescent="0.3">
      <c r="A234" t="s">
        <v>55</v>
      </c>
      <c r="B234" t="s">
        <v>49</v>
      </c>
      <c r="C234" s="2" t="str">
        <f t="shared" si="3"/>
        <v>Neutral</v>
      </c>
      <c r="D234">
        <v>0.58433879999211003</v>
      </c>
      <c r="E234" t="s">
        <v>47</v>
      </c>
      <c r="F234" t="s">
        <v>56</v>
      </c>
      <c r="G234" t="s">
        <v>57</v>
      </c>
      <c r="H234">
        <v>31</v>
      </c>
      <c r="I234">
        <v>11</v>
      </c>
      <c r="J234">
        <v>1</v>
      </c>
      <c r="K234" t="s">
        <v>57</v>
      </c>
      <c r="L234">
        <v>1</v>
      </c>
      <c r="M234">
        <v>0.54884249996393897</v>
      </c>
      <c r="N234" t="s">
        <v>51</v>
      </c>
      <c r="O234">
        <v>1</v>
      </c>
      <c r="P234">
        <v>11</v>
      </c>
      <c r="Q234">
        <v>31</v>
      </c>
      <c r="R234">
        <v>13</v>
      </c>
      <c r="S234">
        <v>48.725702100025899</v>
      </c>
      <c r="X234">
        <v>48.718157700030098</v>
      </c>
      <c r="Y234">
        <v>48.725702100025899</v>
      </c>
      <c r="Z234">
        <v>49.226105300011099</v>
      </c>
      <c r="AA234">
        <v>49.226105300011099</v>
      </c>
      <c r="AB234">
        <v>49.226105300011099</v>
      </c>
      <c r="AC234">
        <v>49.781308700039503</v>
      </c>
      <c r="AD234" t="s">
        <v>57</v>
      </c>
      <c r="AE234">
        <v>1</v>
      </c>
      <c r="AF234">
        <v>0.54884249996393897</v>
      </c>
      <c r="AG234" t="s">
        <v>51</v>
      </c>
      <c r="AK234" t="s">
        <v>91</v>
      </c>
      <c r="AL234">
        <v>1</v>
      </c>
      <c r="AM234" t="s">
        <v>80</v>
      </c>
      <c r="AN234" t="s">
        <v>43</v>
      </c>
      <c r="AP234" t="s">
        <v>44</v>
      </c>
      <c r="AQ234">
        <v>59.456390224006398</v>
      </c>
      <c r="AR234" t="s">
        <v>81</v>
      </c>
    </row>
    <row r="235" spans="1:44" x14ac:dyDescent="0.3">
      <c r="A235" t="s">
        <v>71</v>
      </c>
      <c r="B235" t="s">
        <v>49</v>
      </c>
      <c r="C235" s="2" t="str">
        <f t="shared" si="3"/>
        <v>Neutral</v>
      </c>
      <c r="D235">
        <v>0.80016509996494201</v>
      </c>
      <c r="E235" t="s">
        <v>47</v>
      </c>
      <c r="F235" t="s">
        <v>48</v>
      </c>
      <c r="G235" t="s">
        <v>50</v>
      </c>
      <c r="H235">
        <v>32</v>
      </c>
      <c r="I235">
        <v>12</v>
      </c>
      <c r="J235">
        <v>1</v>
      </c>
      <c r="K235" t="s">
        <v>50</v>
      </c>
      <c r="L235">
        <v>1</v>
      </c>
      <c r="M235">
        <v>0.78422440000576898</v>
      </c>
      <c r="N235" t="s">
        <v>51</v>
      </c>
      <c r="O235">
        <v>1</v>
      </c>
      <c r="P235">
        <v>12</v>
      </c>
      <c r="Q235">
        <v>32</v>
      </c>
      <c r="R235">
        <v>15</v>
      </c>
      <c r="S235">
        <v>49.7925991000374</v>
      </c>
      <c r="X235">
        <v>49.784878300037199</v>
      </c>
      <c r="Y235">
        <v>49.7925991000374</v>
      </c>
      <c r="Z235">
        <v>50.293122400005799</v>
      </c>
      <c r="AA235">
        <v>50.293122400005799</v>
      </c>
      <c r="AB235">
        <v>50.293122400005799</v>
      </c>
      <c r="AC235">
        <v>51.079903700039701</v>
      </c>
      <c r="AD235" t="s">
        <v>50</v>
      </c>
      <c r="AE235">
        <v>1</v>
      </c>
      <c r="AF235">
        <v>0.78422440000576898</v>
      </c>
      <c r="AG235" t="s">
        <v>51</v>
      </c>
      <c r="AK235" t="s">
        <v>91</v>
      </c>
      <c r="AL235">
        <v>1</v>
      </c>
      <c r="AM235" t="s">
        <v>80</v>
      </c>
      <c r="AN235" t="s">
        <v>43</v>
      </c>
      <c r="AP235" t="s">
        <v>44</v>
      </c>
      <c r="AQ235">
        <v>59.456390224006398</v>
      </c>
      <c r="AR235" t="s">
        <v>81</v>
      </c>
    </row>
    <row r="236" spans="1:44" x14ac:dyDescent="0.3">
      <c r="A236" t="s">
        <v>73</v>
      </c>
      <c r="B236" t="s">
        <v>49</v>
      </c>
      <c r="C236" s="2" t="str">
        <f t="shared" si="3"/>
        <v>Emotional-I</v>
      </c>
      <c r="D236">
        <v>0.457069299998693</v>
      </c>
      <c r="E236" t="s">
        <v>59</v>
      </c>
      <c r="F236" t="s">
        <v>56</v>
      </c>
      <c r="G236" t="s">
        <v>57</v>
      </c>
      <c r="H236">
        <v>33</v>
      </c>
      <c r="I236">
        <v>13</v>
      </c>
      <c r="J236">
        <v>1</v>
      </c>
      <c r="K236" t="s">
        <v>57</v>
      </c>
      <c r="L236">
        <v>1</v>
      </c>
      <c r="M236">
        <v>0.65526449994649705</v>
      </c>
      <c r="N236" t="s">
        <v>51</v>
      </c>
      <c r="O236">
        <v>1</v>
      </c>
      <c r="P236">
        <v>13</v>
      </c>
      <c r="Q236">
        <v>33</v>
      </c>
      <c r="R236">
        <v>1</v>
      </c>
      <c r="S236">
        <v>51.092534900002597</v>
      </c>
      <c r="X236">
        <v>51.082667700015001</v>
      </c>
      <c r="Y236">
        <v>51.092534900002597</v>
      </c>
      <c r="Z236">
        <v>51.593330600007903</v>
      </c>
      <c r="AA236">
        <v>51.593330600007903</v>
      </c>
      <c r="AB236">
        <v>51.593330600007903</v>
      </c>
      <c r="AC236">
        <v>52.2632946000085</v>
      </c>
      <c r="AD236" t="s">
        <v>57</v>
      </c>
      <c r="AE236">
        <v>1</v>
      </c>
      <c r="AF236">
        <v>0.65526449994649705</v>
      </c>
      <c r="AG236" t="s">
        <v>51</v>
      </c>
      <c r="AK236" t="s">
        <v>91</v>
      </c>
      <c r="AL236">
        <v>1</v>
      </c>
      <c r="AM236" t="s">
        <v>80</v>
      </c>
      <c r="AN236" t="s">
        <v>43</v>
      </c>
      <c r="AP236" t="s">
        <v>44</v>
      </c>
      <c r="AQ236">
        <v>59.456390224006398</v>
      </c>
      <c r="AR236" t="s">
        <v>81</v>
      </c>
    </row>
    <row r="237" spans="1:44" x14ac:dyDescent="0.3">
      <c r="A237" t="s">
        <v>78</v>
      </c>
      <c r="B237" t="s">
        <v>49</v>
      </c>
      <c r="C237" s="2" t="str">
        <f t="shared" si="3"/>
        <v>Neutral</v>
      </c>
      <c r="D237">
        <v>1.00892609998118</v>
      </c>
      <c r="E237" t="s">
        <v>47</v>
      </c>
      <c r="F237" t="s">
        <v>56</v>
      </c>
      <c r="G237" t="s">
        <v>57</v>
      </c>
      <c r="H237">
        <v>34</v>
      </c>
      <c r="I237">
        <v>14</v>
      </c>
      <c r="J237">
        <v>1</v>
      </c>
      <c r="K237" t="s">
        <v>57</v>
      </c>
      <c r="L237">
        <v>1</v>
      </c>
      <c r="M237">
        <v>0.41086429997812901</v>
      </c>
      <c r="N237" t="s">
        <v>51</v>
      </c>
      <c r="O237">
        <v>1</v>
      </c>
      <c r="P237">
        <v>14</v>
      </c>
      <c r="Q237">
        <v>34</v>
      </c>
      <c r="R237">
        <v>17</v>
      </c>
      <c r="S237">
        <v>52.276023100013802</v>
      </c>
      <c r="X237">
        <v>52.265790900040798</v>
      </c>
      <c r="Y237">
        <v>52.276023100013802</v>
      </c>
      <c r="Z237">
        <v>52.776466700015497</v>
      </c>
      <c r="AA237">
        <v>52.776466700015497</v>
      </c>
      <c r="AB237">
        <v>52.776466700015497</v>
      </c>
      <c r="AC237">
        <v>53.196427800052298</v>
      </c>
      <c r="AD237" t="s">
        <v>57</v>
      </c>
      <c r="AE237">
        <v>1</v>
      </c>
      <c r="AF237">
        <v>0.41086429997812901</v>
      </c>
      <c r="AG237" t="s">
        <v>51</v>
      </c>
      <c r="AK237" t="s">
        <v>91</v>
      </c>
      <c r="AL237">
        <v>1</v>
      </c>
      <c r="AM237" t="s">
        <v>80</v>
      </c>
      <c r="AN237" t="s">
        <v>43</v>
      </c>
      <c r="AP237" t="s">
        <v>44</v>
      </c>
      <c r="AQ237">
        <v>59.456390224006398</v>
      </c>
      <c r="AR237" t="s">
        <v>81</v>
      </c>
    </row>
    <row r="238" spans="1:44" hidden="1" x14ac:dyDescent="0.3">
      <c r="A238" t="s">
        <v>76</v>
      </c>
      <c r="B238" t="s">
        <v>49</v>
      </c>
      <c r="C238" s="2" t="str">
        <f t="shared" si="3"/>
        <v>Emotional-I</v>
      </c>
      <c r="D238">
        <v>0.79196740000042998</v>
      </c>
      <c r="E238" t="s">
        <v>59</v>
      </c>
      <c r="F238" t="s">
        <v>48</v>
      </c>
      <c r="G238" t="s">
        <v>50</v>
      </c>
      <c r="H238">
        <v>35</v>
      </c>
      <c r="I238">
        <v>15</v>
      </c>
      <c r="J238">
        <v>1</v>
      </c>
      <c r="K238" t="s">
        <v>63</v>
      </c>
      <c r="L238">
        <v>0</v>
      </c>
      <c r="M238">
        <v>0.86282089998712697</v>
      </c>
      <c r="N238" t="s">
        <v>51</v>
      </c>
      <c r="O238">
        <v>1</v>
      </c>
      <c r="P238">
        <v>15</v>
      </c>
      <c r="Q238">
        <v>35</v>
      </c>
      <c r="R238">
        <v>3</v>
      </c>
      <c r="S238">
        <v>53.209617700020303</v>
      </c>
      <c r="X238">
        <v>53.199246100033598</v>
      </c>
      <c r="Y238">
        <v>53.209617700020303</v>
      </c>
      <c r="Z238">
        <v>53.7111345000448</v>
      </c>
      <c r="AA238">
        <v>53.7111345000448</v>
      </c>
      <c r="AB238">
        <v>53.7111345000448</v>
      </c>
      <c r="AC238">
        <v>54.580383300024501</v>
      </c>
      <c r="AD238" t="s">
        <v>63</v>
      </c>
      <c r="AE238">
        <v>0</v>
      </c>
      <c r="AF238">
        <v>0.86282089998712697</v>
      </c>
      <c r="AG238" t="s">
        <v>51</v>
      </c>
      <c r="AK238" t="s">
        <v>91</v>
      </c>
      <c r="AL238">
        <v>1</v>
      </c>
      <c r="AM238" t="s">
        <v>80</v>
      </c>
      <c r="AN238" t="s">
        <v>43</v>
      </c>
      <c r="AP238" t="s">
        <v>44</v>
      </c>
      <c r="AQ238">
        <v>59.456390224006398</v>
      </c>
      <c r="AR238" t="s">
        <v>81</v>
      </c>
    </row>
    <row r="239" spans="1:44" x14ac:dyDescent="0.3">
      <c r="A239" t="s">
        <v>70</v>
      </c>
      <c r="B239" t="s">
        <v>49</v>
      </c>
      <c r="C239" s="2" t="str">
        <f t="shared" si="3"/>
        <v>Emotional-I</v>
      </c>
      <c r="D239">
        <v>0.80747390002943498</v>
      </c>
      <c r="E239" t="s">
        <v>59</v>
      </c>
      <c r="F239" t="s">
        <v>53</v>
      </c>
      <c r="G239" t="s">
        <v>54</v>
      </c>
      <c r="H239">
        <v>36</v>
      </c>
      <c r="I239">
        <v>16</v>
      </c>
      <c r="J239">
        <v>1</v>
      </c>
      <c r="K239" t="s">
        <v>54</v>
      </c>
      <c r="L239">
        <v>1</v>
      </c>
      <c r="M239">
        <v>1.48842359997797</v>
      </c>
      <c r="N239" t="s">
        <v>51</v>
      </c>
      <c r="O239">
        <v>1</v>
      </c>
      <c r="P239">
        <v>16</v>
      </c>
      <c r="Q239">
        <v>36</v>
      </c>
      <c r="R239">
        <v>2</v>
      </c>
      <c r="S239">
        <v>54.592150100041103</v>
      </c>
      <c r="X239">
        <v>54.583684700017301</v>
      </c>
      <c r="Y239">
        <v>54.592150100041103</v>
      </c>
      <c r="Z239">
        <v>55.092310900043202</v>
      </c>
      <c r="AA239">
        <v>55.092310900043202</v>
      </c>
      <c r="AB239">
        <v>55.092310900043202</v>
      </c>
      <c r="AC239">
        <v>56.596305100014398</v>
      </c>
      <c r="AD239" t="s">
        <v>54</v>
      </c>
      <c r="AE239">
        <v>1</v>
      </c>
      <c r="AF239">
        <v>1.48842359997797</v>
      </c>
      <c r="AG239" t="s">
        <v>51</v>
      </c>
      <c r="AK239" t="s">
        <v>91</v>
      </c>
      <c r="AL239">
        <v>1</v>
      </c>
      <c r="AM239" t="s">
        <v>80</v>
      </c>
      <c r="AN239" t="s">
        <v>43</v>
      </c>
      <c r="AP239" t="s">
        <v>44</v>
      </c>
      <c r="AQ239">
        <v>59.456390224006398</v>
      </c>
      <c r="AR239" t="s">
        <v>81</v>
      </c>
    </row>
    <row r="240" spans="1:44" x14ac:dyDescent="0.3">
      <c r="A240" t="s">
        <v>74</v>
      </c>
      <c r="B240" t="s">
        <v>49</v>
      </c>
      <c r="C240" s="2" t="str">
        <f t="shared" si="3"/>
        <v>Neutral</v>
      </c>
      <c r="D240">
        <v>0.66517570003634297</v>
      </c>
      <c r="E240" t="s">
        <v>47</v>
      </c>
      <c r="F240" t="s">
        <v>48</v>
      </c>
      <c r="G240" t="s">
        <v>50</v>
      </c>
      <c r="H240">
        <v>37</v>
      </c>
      <c r="I240">
        <v>17</v>
      </c>
      <c r="J240">
        <v>1</v>
      </c>
      <c r="K240" t="s">
        <v>50</v>
      </c>
      <c r="L240">
        <v>1</v>
      </c>
      <c r="M240">
        <v>1.16131789999781</v>
      </c>
      <c r="N240" t="s">
        <v>51</v>
      </c>
      <c r="O240">
        <v>1</v>
      </c>
      <c r="P240">
        <v>17</v>
      </c>
      <c r="Q240">
        <v>37</v>
      </c>
      <c r="R240">
        <v>11</v>
      </c>
      <c r="S240">
        <v>56.6090135000413</v>
      </c>
      <c r="X240">
        <v>56.599300100002402</v>
      </c>
      <c r="Y240">
        <v>56.6090135000413</v>
      </c>
      <c r="Z240">
        <v>57.108592900040001</v>
      </c>
      <c r="AA240">
        <v>57.108592900040001</v>
      </c>
      <c r="AB240">
        <v>57.108592900040001</v>
      </c>
      <c r="AC240">
        <v>58.278959200019003</v>
      </c>
      <c r="AD240" t="s">
        <v>50</v>
      </c>
      <c r="AE240">
        <v>1</v>
      </c>
      <c r="AF240">
        <v>1.16131789999781</v>
      </c>
      <c r="AG240" t="s">
        <v>51</v>
      </c>
      <c r="AK240" t="s">
        <v>91</v>
      </c>
      <c r="AL240">
        <v>1</v>
      </c>
      <c r="AM240" t="s">
        <v>80</v>
      </c>
      <c r="AN240" t="s">
        <v>43</v>
      </c>
      <c r="AP240" t="s">
        <v>44</v>
      </c>
      <c r="AQ240">
        <v>59.456390224006398</v>
      </c>
      <c r="AR240" t="s">
        <v>81</v>
      </c>
    </row>
    <row r="241" spans="1:44" x14ac:dyDescent="0.3">
      <c r="A241" t="s">
        <v>66</v>
      </c>
      <c r="B241" t="s">
        <v>49</v>
      </c>
      <c r="C241" s="2" t="str">
        <f t="shared" si="3"/>
        <v>Neutral</v>
      </c>
      <c r="D241">
        <v>0.46160089998738801</v>
      </c>
      <c r="E241" t="s">
        <v>47</v>
      </c>
      <c r="F241" t="s">
        <v>61</v>
      </c>
      <c r="G241" t="s">
        <v>63</v>
      </c>
      <c r="H241">
        <v>38</v>
      </c>
      <c r="I241">
        <v>18</v>
      </c>
      <c r="J241">
        <v>1</v>
      </c>
      <c r="K241" t="s">
        <v>63</v>
      </c>
      <c r="L241">
        <v>1</v>
      </c>
      <c r="M241">
        <v>0.56004549999488495</v>
      </c>
      <c r="N241" t="s">
        <v>51</v>
      </c>
      <c r="O241">
        <v>1</v>
      </c>
      <c r="P241">
        <v>18</v>
      </c>
      <c r="Q241">
        <v>38</v>
      </c>
      <c r="R241">
        <v>12</v>
      </c>
      <c r="S241">
        <v>58.292607400042399</v>
      </c>
      <c r="X241">
        <v>58.281672800017901</v>
      </c>
      <c r="Y241">
        <v>58.292607400042399</v>
      </c>
      <c r="Z241">
        <v>58.792602900008198</v>
      </c>
      <c r="AA241">
        <v>58.792602900008198</v>
      </c>
      <c r="AB241">
        <v>58.792602900008198</v>
      </c>
      <c r="AC241">
        <v>59.362421500030898</v>
      </c>
      <c r="AD241" t="s">
        <v>63</v>
      </c>
      <c r="AE241">
        <v>1</v>
      </c>
      <c r="AF241">
        <v>0.56004549999488495</v>
      </c>
      <c r="AG241" t="s">
        <v>51</v>
      </c>
      <c r="AK241" t="s">
        <v>91</v>
      </c>
      <c r="AL241">
        <v>1</v>
      </c>
      <c r="AM241" t="s">
        <v>80</v>
      </c>
      <c r="AN241" t="s">
        <v>43</v>
      </c>
      <c r="AP241" t="s">
        <v>44</v>
      </c>
      <c r="AQ241">
        <v>59.456390224006398</v>
      </c>
      <c r="AR241" t="s">
        <v>81</v>
      </c>
    </row>
    <row r="242" spans="1:44" x14ac:dyDescent="0.3">
      <c r="A242" t="s">
        <v>52</v>
      </c>
      <c r="B242" t="s">
        <v>49</v>
      </c>
      <c r="C242" s="2" t="str">
        <f t="shared" si="3"/>
        <v>Neutral</v>
      </c>
      <c r="D242">
        <v>0.55240360001334898</v>
      </c>
      <c r="E242" t="s">
        <v>47</v>
      </c>
      <c r="F242" t="s">
        <v>53</v>
      </c>
      <c r="G242" t="s">
        <v>54</v>
      </c>
      <c r="H242">
        <v>39</v>
      </c>
      <c r="I242">
        <v>19</v>
      </c>
      <c r="J242">
        <v>1</v>
      </c>
      <c r="K242" t="s">
        <v>54</v>
      </c>
      <c r="L242">
        <v>1</v>
      </c>
      <c r="M242">
        <v>1.5275830000173301</v>
      </c>
      <c r="N242" t="s">
        <v>51</v>
      </c>
      <c r="O242">
        <v>1</v>
      </c>
      <c r="P242">
        <v>19</v>
      </c>
      <c r="Q242">
        <v>39</v>
      </c>
      <c r="R242">
        <v>14</v>
      </c>
      <c r="S242">
        <v>59.375708400039002</v>
      </c>
      <c r="X242">
        <v>59.365485900023401</v>
      </c>
      <c r="Y242">
        <v>59.375708400039002</v>
      </c>
      <c r="Z242">
        <v>59.875484100019001</v>
      </c>
      <c r="AA242">
        <v>59.875484100019001</v>
      </c>
      <c r="AB242">
        <v>59.875484100019001</v>
      </c>
      <c r="AC242">
        <v>61.412167000002199</v>
      </c>
      <c r="AD242" t="s">
        <v>54</v>
      </c>
      <c r="AE242">
        <v>1</v>
      </c>
      <c r="AF242">
        <v>1.5275830000173301</v>
      </c>
      <c r="AG242" t="s">
        <v>51</v>
      </c>
      <c r="AK242" t="s">
        <v>91</v>
      </c>
      <c r="AL242">
        <v>1</v>
      </c>
      <c r="AM242" t="s">
        <v>80</v>
      </c>
      <c r="AN242" t="s">
        <v>43</v>
      </c>
      <c r="AP242" t="s">
        <v>44</v>
      </c>
      <c r="AQ242">
        <v>59.456390224006398</v>
      </c>
      <c r="AR242" t="s">
        <v>81</v>
      </c>
    </row>
    <row r="243" spans="1:44" x14ac:dyDescent="0.3">
      <c r="A243" t="s">
        <v>72</v>
      </c>
      <c r="B243" t="s">
        <v>62</v>
      </c>
      <c r="C243" s="2" t="str">
        <f t="shared" si="3"/>
        <v>Emotional-C</v>
      </c>
      <c r="D243">
        <v>0.52570719999493998</v>
      </c>
      <c r="E243" t="s">
        <v>59</v>
      </c>
      <c r="F243" t="s">
        <v>61</v>
      </c>
      <c r="G243" t="s">
        <v>63</v>
      </c>
      <c r="H243">
        <v>40</v>
      </c>
      <c r="I243">
        <v>0</v>
      </c>
      <c r="J243">
        <v>2</v>
      </c>
      <c r="K243" t="s">
        <v>63</v>
      </c>
      <c r="L243">
        <v>1</v>
      </c>
      <c r="M243">
        <v>2.116837700014</v>
      </c>
      <c r="N243" t="s">
        <v>51</v>
      </c>
      <c r="O243">
        <v>2</v>
      </c>
      <c r="P243">
        <v>0</v>
      </c>
      <c r="Q243">
        <v>40</v>
      </c>
      <c r="R243">
        <v>8</v>
      </c>
      <c r="S243">
        <v>61.425751900009303</v>
      </c>
      <c r="X243">
        <v>61.415596000035201</v>
      </c>
      <c r="Y243">
        <v>61.425751900009303</v>
      </c>
      <c r="Z243">
        <v>61.925725600041901</v>
      </c>
      <c r="AA243">
        <v>61.925725600041901</v>
      </c>
      <c r="AB243">
        <v>61.925725600041901</v>
      </c>
      <c r="AC243">
        <v>64.049016500008193</v>
      </c>
      <c r="AD243" t="s">
        <v>63</v>
      </c>
      <c r="AE243">
        <v>1</v>
      </c>
      <c r="AF243">
        <v>2.116837700014</v>
      </c>
      <c r="AG243" t="s">
        <v>51</v>
      </c>
      <c r="AK243" t="s">
        <v>91</v>
      </c>
      <c r="AL243">
        <v>1</v>
      </c>
      <c r="AM243" t="s">
        <v>80</v>
      </c>
      <c r="AN243" t="s">
        <v>43</v>
      </c>
      <c r="AP243" t="s">
        <v>44</v>
      </c>
      <c r="AQ243">
        <v>59.456390224006398</v>
      </c>
      <c r="AR243" t="s">
        <v>81</v>
      </c>
    </row>
    <row r="244" spans="1:44" x14ac:dyDescent="0.3">
      <c r="A244" t="s">
        <v>52</v>
      </c>
      <c r="B244" t="s">
        <v>49</v>
      </c>
      <c r="C244" s="2" t="str">
        <f t="shared" si="3"/>
        <v>Neutral</v>
      </c>
      <c r="D244">
        <v>0.72204620001139097</v>
      </c>
      <c r="E244" t="s">
        <v>47</v>
      </c>
      <c r="F244" t="s">
        <v>53</v>
      </c>
      <c r="G244" t="s">
        <v>54</v>
      </c>
      <c r="H244">
        <v>41</v>
      </c>
      <c r="I244">
        <v>1</v>
      </c>
      <c r="J244">
        <v>2</v>
      </c>
      <c r="K244" t="s">
        <v>54</v>
      </c>
      <c r="L244">
        <v>1</v>
      </c>
      <c r="M244">
        <v>1.2697122999816199</v>
      </c>
      <c r="N244" t="s">
        <v>51</v>
      </c>
      <c r="O244">
        <v>2</v>
      </c>
      <c r="P244">
        <v>1</v>
      </c>
      <c r="Q244">
        <v>41</v>
      </c>
      <c r="R244">
        <v>14</v>
      </c>
      <c r="S244">
        <v>64.074650400027096</v>
      </c>
      <c r="X244">
        <v>64.052800400007897</v>
      </c>
      <c r="Y244">
        <v>64.074650400027096</v>
      </c>
      <c r="Z244">
        <v>64.558626600017305</v>
      </c>
      <c r="AA244">
        <v>64.558626600017305</v>
      </c>
      <c r="AB244">
        <v>64.558626600017305</v>
      </c>
      <c r="AC244">
        <v>65.8293965000193</v>
      </c>
      <c r="AD244" t="s">
        <v>54</v>
      </c>
      <c r="AE244">
        <v>1</v>
      </c>
      <c r="AF244">
        <v>1.2697122999816199</v>
      </c>
      <c r="AG244" t="s">
        <v>51</v>
      </c>
      <c r="AK244" t="s">
        <v>91</v>
      </c>
      <c r="AL244">
        <v>1</v>
      </c>
      <c r="AM244" t="s">
        <v>80</v>
      </c>
      <c r="AN244" t="s">
        <v>43</v>
      </c>
      <c r="AP244" t="s">
        <v>44</v>
      </c>
      <c r="AQ244">
        <v>59.456390224006398</v>
      </c>
      <c r="AR244" t="s">
        <v>81</v>
      </c>
    </row>
    <row r="245" spans="1:44" x14ac:dyDescent="0.3">
      <c r="A245" t="s">
        <v>66</v>
      </c>
      <c r="B245" t="s">
        <v>49</v>
      </c>
      <c r="C245" s="2" t="str">
        <f t="shared" si="3"/>
        <v>Neutral</v>
      </c>
      <c r="D245">
        <v>0.55074899998726301</v>
      </c>
      <c r="E245" t="s">
        <v>47</v>
      </c>
      <c r="F245" t="s">
        <v>61</v>
      </c>
      <c r="G245" t="s">
        <v>63</v>
      </c>
      <c r="H245">
        <v>42</v>
      </c>
      <c r="I245">
        <v>2</v>
      </c>
      <c r="J245">
        <v>2</v>
      </c>
      <c r="K245" t="s">
        <v>63</v>
      </c>
      <c r="L245">
        <v>1</v>
      </c>
      <c r="M245">
        <v>0.89389459998346799</v>
      </c>
      <c r="N245" t="s">
        <v>51</v>
      </c>
      <c r="O245">
        <v>2</v>
      </c>
      <c r="P245">
        <v>2</v>
      </c>
      <c r="Q245">
        <v>42</v>
      </c>
      <c r="R245">
        <v>12</v>
      </c>
      <c r="S245">
        <v>65.841706400038603</v>
      </c>
      <c r="X245">
        <v>65.833340400015004</v>
      </c>
      <c r="Y245">
        <v>65.841706400038603</v>
      </c>
      <c r="Z245">
        <v>66.3421944000292</v>
      </c>
      <c r="AA245">
        <v>66.3421944000292</v>
      </c>
      <c r="AB245">
        <v>66.3421944000292</v>
      </c>
      <c r="AC245">
        <v>67.245291800005305</v>
      </c>
      <c r="AD245" t="s">
        <v>63</v>
      </c>
      <c r="AE245">
        <v>1</v>
      </c>
      <c r="AF245">
        <v>0.89389459998346799</v>
      </c>
      <c r="AG245" t="s">
        <v>51</v>
      </c>
      <c r="AK245" t="s">
        <v>91</v>
      </c>
      <c r="AL245">
        <v>1</v>
      </c>
      <c r="AM245" t="s">
        <v>80</v>
      </c>
      <c r="AN245" t="s">
        <v>43</v>
      </c>
      <c r="AP245" t="s">
        <v>44</v>
      </c>
      <c r="AQ245">
        <v>59.456390224006398</v>
      </c>
      <c r="AR245" t="s">
        <v>81</v>
      </c>
    </row>
    <row r="246" spans="1:44" x14ac:dyDescent="0.3">
      <c r="A246" t="s">
        <v>64</v>
      </c>
      <c r="B246" t="s">
        <v>49</v>
      </c>
      <c r="C246" s="2" t="str">
        <f t="shared" si="3"/>
        <v>Neutral</v>
      </c>
      <c r="D246">
        <v>0.77268989995354698</v>
      </c>
      <c r="E246" t="s">
        <v>47</v>
      </c>
      <c r="F246" t="s">
        <v>53</v>
      </c>
      <c r="G246" t="s">
        <v>54</v>
      </c>
      <c r="H246">
        <v>43</v>
      </c>
      <c r="I246">
        <v>3</v>
      </c>
      <c r="J246">
        <v>2</v>
      </c>
      <c r="K246" t="s">
        <v>54</v>
      </c>
      <c r="L246">
        <v>1</v>
      </c>
      <c r="M246">
        <v>1.0273432999965699</v>
      </c>
      <c r="N246" t="s">
        <v>51</v>
      </c>
      <c r="O246">
        <v>2</v>
      </c>
      <c r="P246">
        <v>3</v>
      </c>
      <c r="Q246">
        <v>43</v>
      </c>
      <c r="R246">
        <v>18</v>
      </c>
      <c r="S246">
        <v>67.258589100034399</v>
      </c>
      <c r="X246">
        <v>67.248557800019597</v>
      </c>
      <c r="Y246">
        <v>67.258589100034399</v>
      </c>
      <c r="Z246">
        <v>67.758600100001701</v>
      </c>
      <c r="AA246">
        <v>67.758600100001701</v>
      </c>
      <c r="AB246">
        <v>67.758600100001701</v>
      </c>
      <c r="AC246">
        <v>68.795659600000306</v>
      </c>
      <c r="AD246" t="s">
        <v>54</v>
      </c>
      <c r="AE246">
        <v>1</v>
      </c>
      <c r="AF246">
        <v>1.0273432999965699</v>
      </c>
      <c r="AG246" t="s">
        <v>51</v>
      </c>
      <c r="AK246" t="s">
        <v>91</v>
      </c>
      <c r="AL246">
        <v>1</v>
      </c>
      <c r="AM246" t="s">
        <v>80</v>
      </c>
      <c r="AN246" t="s">
        <v>43</v>
      </c>
      <c r="AP246" t="s">
        <v>44</v>
      </c>
      <c r="AQ246">
        <v>59.456390224006398</v>
      </c>
      <c r="AR246" t="s">
        <v>81</v>
      </c>
    </row>
    <row r="247" spans="1:44" hidden="1" x14ac:dyDescent="0.3">
      <c r="A247" t="s">
        <v>71</v>
      </c>
      <c r="B247" t="s">
        <v>49</v>
      </c>
      <c r="C247" s="2" t="str">
        <f t="shared" si="3"/>
        <v>Neutral</v>
      </c>
      <c r="D247">
        <v>1.2532569000031799</v>
      </c>
      <c r="E247" t="s">
        <v>47</v>
      </c>
      <c r="F247" t="s">
        <v>48</v>
      </c>
      <c r="G247" t="s">
        <v>50</v>
      </c>
      <c r="H247">
        <v>44</v>
      </c>
      <c r="I247">
        <v>4</v>
      </c>
      <c r="J247">
        <v>2</v>
      </c>
      <c r="K247" t="s">
        <v>54</v>
      </c>
      <c r="L247">
        <v>0</v>
      </c>
      <c r="M247">
        <v>0.556476700003258</v>
      </c>
      <c r="N247" t="s">
        <v>51</v>
      </c>
      <c r="O247">
        <v>2</v>
      </c>
      <c r="P247">
        <v>4</v>
      </c>
      <c r="Q247">
        <v>44</v>
      </c>
      <c r="R247">
        <v>15</v>
      </c>
      <c r="S247">
        <v>68.808712000027299</v>
      </c>
      <c r="X247">
        <v>68.798932800011201</v>
      </c>
      <c r="Y247">
        <v>68.808712000027299</v>
      </c>
      <c r="Z247">
        <v>69.308498600032095</v>
      </c>
      <c r="AA247">
        <v>69.308498600032095</v>
      </c>
      <c r="AB247">
        <v>69.308498600032095</v>
      </c>
      <c r="AC247">
        <v>69.879547000047694</v>
      </c>
      <c r="AD247" t="s">
        <v>54</v>
      </c>
      <c r="AE247">
        <v>0</v>
      </c>
      <c r="AF247">
        <v>0.556476700003258</v>
      </c>
      <c r="AG247" t="s">
        <v>51</v>
      </c>
      <c r="AK247" t="s">
        <v>91</v>
      </c>
      <c r="AL247">
        <v>1</v>
      </c>
      <c r="AM247" t="s">
        <v>80</v>
      </c>
      <c r="AN247" t="s">
        <v>43</v>
      </c>
      <c r="AP247" t="s">
        <v>44</v>
      </c>
      <c r="AQ247">
        <v>59.456390224006398</v>
      </c>
      <c r="AR247" t="s">
        <v>81</v>
      </c>
    </row>
    <row r="248" spans="1:44" x14ac:dyDescent="0.3">
      <c r="A248" t="s">
        <v>77</v>
      </c>
      <c r="B248" t="s">
        <v>62</v>
      </c>
      <c r="C248" s="2" t="str">
        <f t="shared" si="3"/>
        <v>Emotional-C</v>
      </c>
      <c r="D248">
        <v>0.48359810002148101</v>
      </c>
      <c r="E248" t="s">
        <v>59</v>
      </c>
      <c r="F248" t="s">
        <v>61</v>
      </c>
      <c r="G248" t="s">
        <v>63</v>
      </c>
      <c r="H248">
        <v>45</v>
      </c>
      <c r="I248">
        <v>5</v>
      </c>
      <c r="J248">
        <v>2</v>
      </c>
      <c r="K248" t="s">
        <v>63</v>
      </c>
      <c r="L248">
        <v>1</v>
      </c>
      <c r="M248">
        <v>0.58433879999211003</v>
      </c>
      <c r="N248" t="s">
        <v>51</v>
      </c>
      <c r="O248">
        <v>2</v>
      </c>
      <c r="P248">
        <v>5</v>
      </c>
      <c r="Q248">
        <v>45</v>
      </c>
      <c r="R248">
        <v>4</v>
      </c>
      <c r="S248">
        <v>69.891662000038195</v>
      </c>
      <c r="X248">
        <v>69.882170000055297</v>
      </c>
      <c r="Y248">
        <v>69.891662000038195</v>
      </c>
      <c r="Z248">
        <v>70.391589100006897</v>
      </c>
      <c r="AA248">
        <v>70.391589100006897</v>
      </c>
      <c r="AB248">
        <v>70.391589100006897</v>
      </c>
      <c r="AC248">
        <v>70.979362800018805</v>
      </c>
      <c r="AD248" t="s">
        <v>63</v>
      </c>
      <c r="AE248">
        <v>1</v>
      </c>
      <c r="AF248">
        <v>0.58433879999211003</v>
      </c>
      <c r="AG248" t="s">
        <v>51</v>
      </c>
      <c r="AK248" t="s">
        <v>91</v>
      </c>
      <c r="AL248">
        <v>1</v>
      </c>
      <c r="AM248" t="s">
        <v>80</v>
      </c>
      <c r="AN248" t="s">
        <v>43</v>
      </c>
      <c r="AP248" t="s">
        <v>44</v>
      </c>
      <c r="AQ248">
        <v>59.456390224006398</v>
      </c>
      <c r="AR248" t="s">
        <v>81</v>
      </c>
    </row>
    <row r="249" spans="1:44" x14ac:dyDescent="0.3">
      <c r="A249" t="s">
        <v>65</v>
      </c>
      <c r="B249" t="s">
        <v>49</v>
      </c>
      <c r="C249" s="2" t="str">
        <f t="shared" si="3"/>
        <v>Emotional-I</v>
      </c>
      <c r="D249">
        <v>0.86322549998294495</v>
      </c>
      <c r="E249" t="s">
        <v>59</v>
      </c>
      <c r="F249" t="s">
        <v>56</v>
      </c>
      <c r="G249" t="s">
        <v>57</v>
      </c>
      <c r="H249">
        <v>46</v>
      </c>
      <c r="I249">
        <v>6</v>
      </c>
      <c r="J249">
        <v>2</v>
      </c>
      <c r="K249" t="s">
        <v>57</v>
      </c>
      <c r="L249">
        <v>1</v>
      </c>
      <c r="M249">
        <v>0.80016509996494201</v>
      </c>
      <c r="N249" t="s">
        <v>51</v>
      </c>
      <c r="O249">
        <v>2</v>
      </c>
      <c r="P249">
        <v>6</v>
      </c>
      <c r="Q249">
        <v>46</v>
      </c>
      <c r="R249">
        <v>9</v>
      </c>
      <c r="S249">
        <v>70.992410300008402</v>
      </c>
      <c r="X249">
        <v>70.982270000036806</v>
      </c>
      <c r="Y249">
        <v>70.992410300008402</v>
      </c>
      <c r="Z249">
        <v>71.491848000034196</v>
      </c>
      <c r="AA249">
        <v>71.491848000034196</v>
      </c>
      <c r="AB249">
        <v>71.491848000034196</v>
      </c>
      <c r="AC249">
        <v>72.296466200030395</v>
      </c>
      <c r="AD249" t="s">
        <v>57</v>
      </c>
      <c r="AE249">
        <v>1</v>
      </c>
      <c r="AF249">
        <v>0.80016509996494201</v>
      </c>
      <c r="AG249" t="s">
        <v>51</v>
      </c>
      <c r="AK249" t="s">
        <v>91</v>
      </c>
      <c r="AL249">
        <v>1</v>
      </c>
      <c r="AM249" t="s">
        <v>80</v>
      </c>
      <c r="AN249" t="s">
        <v>43</v>
      </c>
      <c r="AP249" t="s">
        <v>44</v>
      </c>
      <c r="AQ249">
        <v>59.456390224006398</v>
      </c>
      <c r="AR249" t="s">
        <v>81</v>
      </c>
    </row>
    <row r="250" spans="1:44" x14ac:dyDescent="0.3">
      <c r="A250" t="s">
        <v>55</v>
      </c>
      <c r="B250" t="s">
        <v>49</v>
      </c>
      <c r="C250" s="2" t="str">
        <f t="shared" si="3"/>
        <v>Neutral</v>
      </c>
      <c r="D250">
        <v>0.95112959999823898</v>
      </c>
      <c r="E250" t="s">
        <v>47</v>
      </c>
      <c r="F250" t="s">
        <v>56</v>
      </c>
      <c r="G250" t="s">
        <v>57</v>
      </c>
      <c r="H250">
        <v>47</v>
      </c>
      <c r="I250">
        <v>7</v>
      </c>
      <c r="J250">
        <v>2</v>
      </c>
      <c r="K250" t="s">
        <v>57</v>
      </c>
      <c r="L250">
        <v>1</v>
      </c>
      <c r="M250">
        <v>0.457069299998693</v>
      </c>
      <c r="N250" t="s">
        <v>51</v>
      </c>
      <c r="O250">
        <v>2</v>
      </c>
      <c r="P250">
        <v>7</v>
      </c>
      <c r="Q250">
        <v>47</v>
      </c>
      <c r="R250">
        <v>13</v>
      </c>
      <c r="S250">
        <v>72.309550900012198</v>
      </c>
      <c r="X250">
        <v>72.300539500021799</v>
      </c>
      <c r="Y250">
        <v>72.309550900012198</v>
      </c>
      <c r="Z250">
        <v>72.808271700050597</v>
      </c>
      <c r="AA250">
        <v>72.808271700050597</v>
      </c>
      <c r="AB250">
        <v>72.808271700050597</v>
      </c>
      <c r="AC250">
        <v>73.278703400050205</v>
      </c>
      <c r="AD250" t="s">
        <v>57</v>
      </c>
      <c r="AE250">
        <v>1</v>
      </c>
      <c r="AF250">
        <v>0.457069299998693</v>
      </c>
      <c r="AG250" t="s">
        <v>51</v>
      </c>
      <c r="AK250" t="s">
        <v>91</v>
      </c>
      <c r="AL250">
        <v>1</v>
      </c>
      <c r="AM250" t="s">
        <v>80</v>
      </c>
      <c r="AN250" t="s">
        <v>43</v>
      </c>
      <c r="AP250" t="s">
        <v>44</v>
      </c>
      <c r="AQ250">
        <v>59.456390224006398</v>
      </c>
      <c r="AR250" t="s">
        <v>81</v>
      </c>
    </row>
    <row r="251" spans="1:44" x14ac:dyDescent="0.3">
      <c r="A251" t="s">
        <v>68</v>
      </c>
      <c r="B251" t="s">
        <v>49</v>
      </c>
      <c r="C251" s="2" t="str">
        <f t="shared" si="3"/>
        <v>Emotional-I</v>
      </c>
      <c r="D251">
        <v>0.825581799959763</v>
      </c>
      <c r="E251" t="s">
        <v>59</v>
      </c>
      <c r="F251" t="s">
        <v>53</v>
      </c>
      <c r="G251" t="s">
        <v>54</v>
      </c>
      <c r="H251">
        <v>48</v>
      </c>
      <c r="I251">
        <v>8</v>
      </c>
      <c r="J251">
        <v>2</v>
      </c>
      <c r="K251" t="s">
        <v>54</v>
      </c>
      <c r="L251">
        <v>1</v>
      </c>
      <c r="M251">
        <v>1.00892609998118</v>
      </c>
      <c r="N251" t="s">
        <v>51</v>
      </c>
      <c r="O251">
        <v>2</v>
      </c>
      <c r="P251">
        <v>8</v>
      </c>
      <c r="Q251">
        <v>48</v>
      </c>
      <c r="R251">
        <v>6</v>
      </c>
      <c r="S251">
        <v>73.292003100039395</v>
      </c>
      <c r="X251">
        <v>73.2817349000251</v>
      </c>
      <c r="Y251">
        <v>73.292003100039395</v>
      </c>
      <c r="Z251">
        <v>73.791341900010593</v>
      </c>
      <c r="AA251">
        <v>73.791341900010593</v>
      </c>
      <c r="AB251">
        <v>73.791341900010593</v>
      </c>
      <c r="AC251">
        <v>74.811957300000302</v>
      </c>
      <c r="AD251" t="s">
        <v>54</v>
      </c>
      <c r="AE251">
        <v>1</v>
      </c>
      <c r="AF251">
        <v>1.00892609998118</v>
      </c>
      <c r="AG251" t="s">
        <v>51</v>
      </c>
      <c r="AK251" t="s">
        <v>91</v>
      </c>
      <c r="AL251">
        <v>1</v>
      </c>
      <c r="AM251" t="s">
        <v>80</v>
      </c>
      <c r="AN251" t="s">
        <v>43</v>
      </c>
      <c r="AP251" t="s">
        <v>44</v>
      </c>
      <c r="AQ251">
        <v>59.456390224006398</v>
      </c>
      <c r="AR251" t="s">
        <v>81</v>
      </c>
    </row>
    <row r="252" spans="1:44" x14ac:dyDescent="0.3">
      <c r="A252" t="s">
        <v>73</v>
      </c>
      <c r="B252" t="s">
        <v>49</v>
      </c>
      <c r="C252" s="2" t="str">
        <f t="shared" si="3"/>
        <v>Emotional-I</v>
      </c>
      <c r="D252">
        <v>0.64167769998311996</v>
      </c>
      <c r="E252" t="s">
        <v>59</v>
      </c>
      <c r="F252" t="s">
        <v>56</v>
      </c>
      <c r="G252" t="s">
        <v>57</v>
      </c>
      <c r="H252">
        <v>49</v>
      </c>
      <c r="I252">
        <v>9</v>
      </c>
      <c r="J252">
        <v>2</v>
      </c>
      <c r="K252" t="s">
        <v>57</v>
      </c>
      <c r="L252">
        <v>1</v>
      </c>
      <c r="M252">
        <v>0.79196740000042998</v>
      </c>
      <c r="N252" t="s">
        <v>51</v>
      </c>
      <c r="O252">
        <v>2</v>
      </c>
      <c r="P252">
        <v>9</v>
      </c>
      <c r="Q252">
        <v>49</v>
      </c>
      <c r="R252">
        <v>1</v>
      </c>
      <c r="S252">
        <v>74.825507400033501</v>
      </c>
      <c r="X252">
        <v>74.814288600056898</v>
      </c>
      <c r="Y252">
        <v>74.825507400033501</v>
      </c>
      <c r="Z252">
        <v>75.324905600049505</v>
      </c>
      <c r="AA252">
        <v>75.324905600049505</v>
      </c>
      <c r="AB252">
        <v>75.324905600049505</v>
      </c>
      <c r="AC252">
        <v>76.128515700052901</v>
      </c>
      <c r="AD252" t="s">
        <v>57</v>
      </c>
      <c r="AE252">
        <v>1</v>
      </c>
      <c r="AF252">
        <v>0.79196740000042998</v>
      </c>
      <c r="AG252" t="s">
        <v>51</v>
      </c>
      <c r="AK252" t="s">
        <v>91</v>
      </c>
      <c r="AL252">
        <v>1</v>
      </c>
      <c r="AM252" t="s">
        <v>80</v>
      </c>
      <c r="AN252" t="s">
        <v>43</v>
      </c>
      <c r="AP252" t="s">
        <v>44</v>
      </c>
      <c r="AQ252">
        <v>59.456390224006398</v>
      </c>
      <c r="AR252" t="s">
        <v>81</v>
      </c>
    </row>
    <row r="253" spans="1:44" x14ac:dyDescent="0.3">
      <c r="A253" t="s">
        <v>74</v>
      </c>
      <c r="B253" t="s">
        <v>49</v>
      </c>
      <c r="C253" s="2" t="str">
        <f t="shared" si="3"/>
        <v>Neutral</v>
      </c>
      <c r="D253">
        <v>0.97379260003799495</v>
      </c>
      <c r="E253" t="s">
        <v>47</v>
      </c>
      <c r="F253" t="s">
        <v>48</v>
      </c>
      <c r="G253" t="s">
        <v>50</v>
      </c>
      <c r="H253">
        <v>50</v>
      </c>
      <c r="I253">
        <v>10</v>
      </c>
      <c r="J253">
        <v>2</v>
      </c>
      <c r="K253" t="s">
        <v>50</v>
      </c>
      <c r="L253">
        <v>1</v>
      </c>
      <c r="M253">
        <v>0.80747390002943498</v>
      </c>
      <c r="N253" t="s">
        <v>51</v>
      </c>
      <c r="O253">
        <v>2</v>
      </c>
      <c r="P253">
        <v>10</v>
      </c>
      <c r="Q253">
        <v>50</v>
      </c>
      <c r="R253">
        <v>11</v>
      </c>
      <c r="S253">
        <v>76.1416292000212</v>
      </c>
      <c r="X253">
        <v>76.1311941000167</v>
      </c>
      <c r="Y253">
        <v>76.1416292000212</v>
      </c>
      <c r="Z253">
        <v>76.641482700011693</v>
      </c>
      <c r="AA253">
        <v>76.641482700011693</v>
      </c>
      <c r="AB253">
        <v>76.641482700011693</v>
      </c>
      <c r="AC253">
        <v>77.461935300030703</v>
      </c>
      <c r="AD253" t="s">
        <v>50</v>
      </c>
      <c r="AE253">
        <v>1</v>
      </c>
      <c r="AF253">
        <v>0.80747390002943498</v>
      </c>
      <c r="AG253" t="s">
        <v>51</v>
      </c>
      <c r="AK253" t="s">
        <v>91</v>
      </c>
      <c r="AL253">
        <v>1</v>
      </c>
      <c r="AM253" t="s">
        <v>80</v>
      </c>
      <c r="AN253" t="s">
        <v>43</v>
      </c>
      <c r="AP253" t="s">
        <v>44</v>
      </c>
      <c r="AQ253">
        <v>59.456390224006398</v>
      </c>
      <c r="AR253" t="s">
        <v>81</v>
      </c>
    </row>
    <row r="254" spans="1:44" x14ac:dyDescent="0.3">
      <c r="A254" t="s">
        <v>70</v>
      </c>
      <c r="B254" t="s">
        <v>49</v>
      </c>
      <c r="C254" s="2" t="str">
        <f t="shared" si="3"/>
        <v>Emotional-I</v>
      </c>
      <c r="D254">
        <v>0.43732650001766099</v>
      </c>
      <c r="E254" t="s">
        <v>59</v>
      </c>
      <c r="F254" t="s">
        <v>53</v>
      </c>
      <c r="G254" t="s">
        <v>54</v>
      </c>
      <c r="H254">
        <v>51</v>
      </c>
      <c r="I254">
        <v>11</v>
      </c>
      <c r="J254">
        <v>2</v>
      </c>
      <c r="K254" t="s">
        <v>54</v>
      </c>
      <c r="L254">
        <v>1</v>
      </c>
      <c r="M254">
        <v>0.66517570003634297</v>
      </c>
      <c r="N254" t="s">
        <v>51</v>
      </c>
      <c r="O254">
        <v>2</v>
      </c>
      <c r="P254">
        <v>11</v>
      </c>
      <c r="Q254">
        <v>51</v>
      </c>
      <c r="R254">
        <v>2</v>
      </c>
      <c r="S254">
        <v>77.474790500011295</v>
      </c>
      <c r="X254">
        <v>77.4645864000194</v>
      </c>
      <c r="Y254">
        <v>77.474790500011295</v>
      </c>
      <c r="Z254">
        <v>77.974244900047694</v>
      </c>
      <c r="AA254">
        <v>77.974244900047694</v>
      </c>
      <c r="AB254">
        <v>77.974244900047694</v>
      </c>
      <c r="AC254">
        <v>78.644612900039604</v>
      </c>
      <c r="AD254" t="s">
        <v>54</v>
      </c>
      <c r="AE254">
        <v>1</v>
      </c>
      <c r="AF254">
        <v>0.66517570003634297</v>
      </c>
      <c r="AG254" t="s">
        <v>51</v>
      </c>
      <c r="AK254" t="s">
        <v>91</v>
      </c>
      <c r="AL254">
        <v>1</v>
      </c>
      <c r="AM254" t="s">
        <v>80</v>
      </c>
      <c r="AN254" t="s">
        <v>43</v>
      </c>
      <c r="AP254" t="s">
        <v>44</v>
      </c>
      <c r="AQ254">
        <v>59.456390224006398</v>
      </c>
      <c r="AR254" t="s">
        <v>81</v>
      </c>
    </row>
    <row r="255" spans="1:44" x14ac:dyDescent="0.3">
      <c r="A255" t="s">
        <v>67</v>
      </c>
      <c r="B255" t="s">
        <v>49</v>
      </c>
      <c r="C255" s="2" t="str">
        <f t="shared" si="3"/>
        <v>Neutral</v>
      </c>
      <c r="D255">
        <v>0.48822259996086298</v>
      </c>
      <c r="E255" t="s">
        <v>47</v>
      </c>
      <c r="F255" t="s">
        <v>53</v>
      </c>
      <c r="G255" t="s">
        <v>54</v>
      </c>
      <c r="H255">
        <v>52</v>
      </c>
      <c r="I255">
        <v>12</v>
      </c>
      <c r="J255">
        <v>2</v>
      </c>
      <c r="K255" t="s">
        <v>54</v>
      </c>
      <c r="L255">
        <v>1</v>
      </c>
      <c r="M255">
        <v>0.46160089998738801</v>
      </c>
      <c r="N255" t="s">
        <v>51</v>
      </c>
      <c r="O255">
        <v>2</v>
      </c>
      <c r="P255">
        <v>12</v>
      </c>
      <c r="Q255">
        <v>52</v>
      </c>
      <c r="R255">
        <v>10</v>
      </c>
      <c r="S255">
        <v>78.658139800012506</v>
      </c>
      <c r="X255">
        <v>78.647309200023301</v>
      </c>
      <c r="Y255">
        <v>78.658139800012506</v>
      </c>
      <c r="Z255">
        <v>79.157647200045105</v>
      </c>
      <c r="AA255">
        <v>79.157647200045105</v>
      </c>
      <c r="AB255">
        <v>79.157647200045105</v>
      </c>
      <c r="AC255">
        <v>79.627894900040701</v>
      </c>
      <c r="AD255" t="s">
        <v>54</v>
      </c>
      <c r="AE255">
        <v>1</v>
      </c>
      <c r="AF255">
        <v>0.46160089998738801</v>
      </c>
      <c r="AG255" t="s">
        <v>51</v>
      </c>
      <c r="AK255" t="s">
        <v>91</v>
      </c>
      <c r="AL255">
        <v>1</v>
      </c>
      <c r="AM255" t="s">
        <v>80</v>
      </c>
      <c r="AN255" t="s">
        <v>43</v>
      </c>
      <c r="AP255" t="s">
        <v>44</v>
      </c>
      <c r="AQ255">
        <v>59.456390224006398</v>
      </c>
      <c r="AR255" t="s">
        <v>81</v>
      </c>
    </row>
    <row r="256" spans="1:44" x14ac:dyDescent="0.3">
      <c r="A256" t="s">
        <v>75</v>
      </c>
      <c r="B256" t="s">
        <v>49</v>
      </c>
      <c r="C256" s="2" t="str">
        <f t="shared" si="3"/>
        <v>Neutral</v>
      </c>
      <c r="D256">
        <v>0.90782289998605803</v>
      </c>
      <c r="E256" t="s">
        <v>47</v>
      </c>
      <c r="F256" t="s">
        <v>61</v>
      </c>
      <c r="G256" t="s">
        <v>63</v>
      </c>
      <c r="H256">
        <v>53</v>
      </c>
      <c r="I256">
        <v>13</v>
      </c>
      <c r="J256">
        <v>2</v>
      </c>
      <c r="K256" t="s">
        <v>63</v>
      </c>
      <c r="L256">
        <v>1</v>
      </c>
      <c r="M256">
        <v>0.55240360001334898</v>
      </c>
      <c r="N256" t="s">
        <v>51</v>
      </c>
      <c r="O256">
        <v>2</v>
      </c>
      <c r="P256">
        <v>13</v>
      </c>
      <c r="Q256">
        <v>53</v>
      </c>
      <c r="R256">
        <v>16</v>
      </c>
      <c r="S256">
        <v>79.641024500015106</v>
      </c>
      <c r="X256">
        <v>79.6304713000427</v>
      </c>
      <c r="Y256">
        <v>79.641024500015106</v>
      </c>
      <c r="Z256">
        <v>80.140913000039205</v>
      </c>
      <c r="AA256">
        <v>80.140913000039205</v>
      </c>
      <c r="AB256">
        <v>80.140913000039205</v>
      </c>
      <c r="AC256">
        <v>80.695359600009397</v>
      </c>
      <c r="AD256" t="s">
        <v>63</v>
      </c>
      <c r="AE256">
        <v>1</v>
      </c>
      <c r="AF256">
        <v>0.55240360001334898</v>
      </c>
      <c r="AG256" t="s">
        <v>51</v>
      </c>
      <c r="AK256" t="s">
        <v>91</v>
      </c>
      <c r="AL256">
        <v>1</v>
      </c>
      <c r="AM256" t="s">
        <v>80</v>
      </c>
      <c r="AN256" t="s">
        <v>43</v>
      </c>
      <c r="AP256" t="s">
        <v>44</v>
      </c>
      <c r="AQ256">
        <v>59.456390224006398</v>
      </c>
      <c r="AR256" t="s">
        <v>81</v>
      </c>
    </row>
    <row r="257" spans="1:44" x14ac:dyDescent="0.3">
      <c r="A257" t="s">
        <v>78</v>
      </c>
      <c r="B257" t="s">
        <v>49</v>
      </c>
      <c r="C257" s="2" t="str">
        <f t="shared" si="3"/>
        <v>Neutral</v>
      </c>
      <c r="D257">
        <v>0.57385469996370297</v>
      </c>
      <c r="E257" t="s">
        <v>47</v>
      </c>
      <c r="F257" t="s">
        <v>56</v>
      </c>
      <c r="G257" t="s">
        <v>57</v>
      </c>
      <c r="H257">
        <v>54</v>
      </c>
      <c r="I257">
        <v>14</v>
      </c>
      <c r="J257">
        <v>2</v>
      </c>
      <c r="K257" t="s">
        <v>57</v>
      </c>
      <c r="L257">
        <v>1</v>
      </c>
      <c r="M257">
        <v>0.52570719999493998</v>
      </c>
      <c r="N257" t="s">
        <v>51</v>
      </c>
      <c r="O257">
        <v>2</v>
      </c>
      <c r="P257">
        <v>14</v>
      </c>
      <c r="Q257">
        <v>54</v>
      </c>
      <c r="R257">
        <v>17</v>
      </c>
      <c r="S257">
        <v>80.708038000040602</v>
      </c>
      <c r="X257">
        <v>80.698538700002203</v>
      </c>
      <c r="Y257">
        <v>80.708038000040602</v>
      </c>
      <c r="Z257">
        <v>81.208102700009405</v>
      </c>
      <c r="AA257">
        <v>81.208102700009405</v>
      </c>
      <c r="AB257">
        <v>81.208102700009405</v>
      </c>
      <c r="AC257">
        <v>81.7453490000334</v>
      </c>
      <c r="AD257" t="s">
        <v>57</v>
      </c>
      <c r="AE257">
        <v>1</v>
      </c>
      <c r="AF257">
        <v>0.52570719999493998</v>
      </c>
      <c r="AG257" t="s">
        <v>51</v>
      </c>
      <c r="AK257" t="s">
        <v>91</v>
      </c>
      <c r="AL257">
        <v>1</v>
      </c>
      <c r="AM257" t="s">
        <v>80</v>
      </c>
      <c r="AN257" t="s">
        <v>43</v>
      </c>
      <c r="AP257" t="s">
        <v>44</v>
      </c>
      <c r="AQ257">
        <v>59.456390224006398</v>
      </c>
      <c r="AR257" t="s">
        <v>81</v>
      </c>
    </row>
    <row r="258" spans="1:44" x14ac:dyDescent="0.3">
      <c r="A258" t="s">
        <v>46</v>
      </c>
      <c r="B258" t="s">
        <v>49</v>
      </c>
      <c r="C258" s="2" t="str">
        <f t="shared" ref="C258:C321" si="4">IF(E258="neutral","Neutral",
IF(AND(E258="emotional",B258="C"),"Emotional-C",
IF(AND(E258="emotional",B258="I"),"Emotional-I","")))</f>
        <v>Neutral</v>
      </c>
      <c r="D258">
        <v>0.83155800000531599</v>
      </c>
      <c r="E258" t="s">
        <v>47</v>
      </c>
      <c r="F258" t="s">
        <v>48</v>
      </c>
      <c r="G258" t="s">
        <v>50</v>
      </c>
      <c r="H258">
        <v>55</v>
      </c>
      <c r="I258">
        <v>15</v>
      </c>
      <c r="J258">
        <v>2</v>
      </c>
      <c r="K258" t="s">
        <v>50</v>
      </c>
      <c r="L258">
        <v>1</v>
      </c>
      <c r="M258">
        <v>0.72204620001139097</v>
      </c>
      <c r="N258" t="s">
        <v>51</v>
      </c>
      <c r="O258">
        <v>2</v>
      </c>
      <c r="P258">
        <v>15</v>
      </c>
      <c r="Q258">
        <v>55</v>
      </c>
      <c r="R258">
        <v>19</v>
      </c>
      <c r="S258">
        <v>81.758105900022201</v>
      </c>
      <c r="X258">
        <v>81.748130800027795</v>
      </c>
      <c r="Y258">
        <v>81.758105900022201</v>
      </c>
      <c r="Z258">
        <v>82.258016100036897</v>
      </c>
      <c r="AA258">
        <v>82.258016100036897</v>
      </c>
      <c r="AB258">
        <v>82.258016100036897</v>
      </c>
      <c r="AC258">
        <v>82.996709600032702</v>
      </c>
      <c r="AD258" t="s">
        <v>50</v>
      </c>
      <c r="AE258">
        <v>1</v>
      </c>
      <c r="AF258">
        <v>0.72204620001139097</v>
      </c>
      <c r="AG258" t="s">
        <v>51</v>
      </c>
      <c r="AK258" t="s">
        <v>91</v>
      </c>
      <c r="AL258">
        <v>1</v>
      </c>
      <c r="AM258" t="s">
        <v>80</v>
      </c>
      <c r="AN258" t="s">
        <v>43</v>
      </c>
      <c r="AP258" t="s">
        <v>44</v>
      </c>
      <c r="AQ258">
        <v>59.456390224006398</v>
      </c>
      <c r="AR258" t="s">
        <v>81</v>
      </c>
    </row>
    <row r="259" spans="1:44" x14ac:dyDescent="0.3">
      <c r="A259" t="s">
        <v>60</v>
      </c>
      <c r="B259" t="s">
        <v>62</v>
      </c>
      <c r="C259" s="2" t="str">
        <f t="shared" si="4"/>
        <v>Emotional-C</v>
      </c>
      <c r="D259">
        <v>0.56933359999675304</v>
      </c>
      <c r="E259" t="s">
        <v>59</v>
      </c>
      <c r="F259" t="s">
        <v>61</v>
      </c>
      <c r="G259" t="s">
        <v>63</v>
      </c>
      <c r="H259">
        <v>56</v>
      </c>
      <c r="I259">
        <v>16</v>
      </c>
      <c r="J259">
        <v>2</v>
      </c>
      <c r="K259" t="s">
        <v>63</v>
      </c>
      <c r="L259">
        <v>1</v>
      </c>
      <c r="M259">
        <v>0.55074899998726301</v>
      </c>
      <c r="N259" t="s">
        <v>51</v>
      </c>
      <c r="O259">
        <v>2</v>
      </c>
      <c r="P259">
        <v>16</v>
      </c>
      <c r="Q259">
        <v>56</v>
      </c>
      <c r="R259">
        <v>0</v>
      </c>
      <c r="S259">
        <v>83.008036700019105</v>
      </c>
      <c r="X259">
        <v>83.000412200053603</v>
      </c>
      <c r="Y259">
        <v>83.008036700019105</v>
      </c>
      <c r="Z259">
        <v>83.508545200049397</v>
      </c>
      <c r="AA259">
        <v>83.508545200049397</v>
      </c>
      <c r="AB259">
        <v>83.508545200049397</v>
      </c>
      <c r="AC259">
        <v>84.061694700038004</v>
      </c>
      <c r="AD259" t="s">
        <v>63</v>
      </c>
      <c r="AE259">
        <v>1</v>
      </c>
      <c r="AF259">
        <v>0.55074899998726301</v>
      </c>
      <c r="AG259" t="s">
        <v>51</v>
      </c>
      <c r="AK259" t="s">
        <v>91</v>
      </c>
      <c r="AL259">
        <v>1</v>
      </c>
      <c r="AM259" t="s">
        <v>80</v>
      </c>
      <c r="AN259" t="s">
        <v>43</v>
      </c>
      <c r="AP259" t="s">
        <v>44</v>
      </c>
      <c r="AQ259">
        <v>59.456390224006398</v>
      </c>
      <c r="AR259" t="s">
        <v>81</v>
      </c>
    </row>
    <row r="260" spans="1:44" x14ac:dyDescent="0.3">
      <c r="A260" t="s">
        <v>69</v>
      </c>
      <c r="B260" t="s">
        <v>49</v>
      </c>
      <c r="C260" s="2" t="str">
        <f t="shared" si="4"/>
        <v>Emotional-I</v>
      </c>
      <c r="D260">
        <v>2.4507550999987799</v>
      </c>
      <c r="E260" t="s">
        <v>59</v>
      </c>
      <c r="F260" t="s">
        <v>56</v>
      </c>
      <c r="G260" t="s">
        <v>57</v>
      </c>
      <c r="H260">
        <v>57</v>
      </c>
      <c r="I260">
        <v>17</v>
      </c>
      <c r="J260">
        <v>2</v>
      </c>
      <c r="K260" t="s">
        <v>57</v>
      </c>
      <c r="L260">
        <v>1</v>
      </c>
      <c r="M260">
        <v>0.77268989995354698</v>
      </c>
      <c r="N260" t="s">
        <v>51</v>
      </c>
      <c r="O260">
        <v>2</v>
      </c>
      <c r="P260">
        <v>17</v>
      </c>
      <c r="Q260">
        <v>57</v>
      </c>
      <c r="R260">
        <v>5</v>
      </c>
      <c r="S260">
        <v>84.074005500005995</v>
      </c>
      <c r="X260">
        <v>84.064790800039106</v>
      </c>
      <c r="Y260">
        <v>84.074005500005995</v>
      </c>
      <c r="Z260">
        <v>84.574468600039793</v>
      </c>
      <c r="AA260">
        <v>84.574468600039793</v>
      </c>
      <c r="AB260">
        <v>84.574468600039793</v>
      </c>
      <c r="AC260">
        <v>85.361913800006704</v>
      </c>
      <c r="AD260" t="s">
        <v>57</v>
      </c>
      <c r="AE260">
        <v>1</v>
      </c>
      <c r="AF260">
        <v>0.77268989995354698</v>
      </c>
      <c r="AG260" t="s">
        <v>51</v>
      </c>
      <c r="AK260" t="s">
        <v>91</v>
      </c>
      <c r="AL260">
        <v>1</v>
      </c>
      <c r="AM260" t="s">
        <v>80</v>
      </c>
      <c r="AN260" t="s">
        <v>43</v>
      </c>
      <c r="AP260" t="s">
        <v>44</v>
      </c>
      <c r="AQ260">
        <v>59.456390224006398</v>
      </c>
      <c r="AR260" t="s">
        <v>81</v>
      </c>
    </row>
    <row r="261" spans="1:44" x14ac:dyDescent="0.3">
      <c r="A261" t="s">
        <v>76</v>
      </c>
      <c r="B261" t="s">
        <v>49</v>
      </c>
      <c r="C261" s="2" t="str">
        <f t="shared" si="4"/>
        <v>Emotional-I</v>
      </c>
      <c r="D261">
        <v>1.50234340003225</v>
      </c>
      <c r="E261" t="s">
        <v>59</v>
      </c>
      <c r="F261" t="s">
        <v>48</v>
      </c>
      <c r="G261" t="s">
        <v>50</v>
      </c>
      <c r="H261">
        <v>58</v>
      </c>
      <c r="I261">
        <v>18</v>
      </c>
      <c r="J261">
        <v>2</v>
      </c>
      <c r="K261" t="s">
        <v>50</v>
      </c>
      <c r="L261">
        <v>1</v>
      </c>
      <c r="M261">
        <v>1.2532569000031799</v>
      </c>
      <c r="N261" t="s">
        <v>51</v>
      </c>
      <c r="O261">
        <v>2</v>
      </c>
      <c r="P261">
        <v>18</v>
      </c>
      <c r="Q261">
        <v>58</v>
      </c>
      <c r="R261">
        <v>3</v>
      </c>
      <c r="S261">
        <v>85.374620000016805</v>
      </c>
      <c r="X261">
        <v>85.364569800032697</v>
      </c>
      <c r="Y261">
        <v>85.374620000016805</v>
      </c>
      <c r="Z261">
        <v>85.874765500018796</v>
      </c>
      <c r="AA261">
        <v>85.874765500018796</v>
      </c>
      <c r="AB261">
        <v>85.874765500018796</v>
      </c>
      <c r="AC261">
        <v>87.144783900002906</v>
      </c>
      <c r="AD261" t="s">
        <v>50</v>
      </c>
      <c r="AE261">
        <v>1</v>
      </c>
      <c r="AF261">
        <v>1.2532569000031799</v>
      </c>
      <c r="AG261" t="s">
        <v>51</v>
      </c>
      <c r="AK261" t="s">
        <v>91</v>
      </c>
      <c r="AL261">
        <v>1</v>
      </c>
      <c r="AM261" t="s">
        <v>80</v>
      </c>
      <c r="AN261" t="s">
        <v>43</v>
      </c>
      <c r="AP261" t="s">
        <v>44</v>
      </c>
      <c r="AQ261">
        <v>59.456390224006398</v>
      </c>
      <c r="AR261" t="s">
        <v>81</v>
      </c>
    </row>
    <row r="262" spans="1:44" x14ac:dyDescent="0.3">
      <c r="A262" t="s">
        <v>58</v>
      </c>
      <c r="B262" t="s">
        <v>49</v>
      </c>
      <c r="C262" s="2" t="str">
        <f t="shared" si="4"/>
        <v>Emotional-I</v>
      </c>
      <c r="D262">
        <v>0.69701890001306299</v>
      </c>
      <c r="E262" t="s">
        <v>59</v>
      </c>
      <c r="F262" t="s">
        <v>48</v>
      </c>
      <c r="G262" t="s">
        <v>50</v>
      </c>
      <c r="H262">
        <v>59</v>
      </c>
      <c r="I262">
        <v>19</v>
      </c>
      <c r="J262">
        <v>2</v>
      </c>
      <c r="K262" t="s">
        <v>50</v>
      </c>
      <c r="L262">
        <v>1</v>
      </c>
      <c r="M262">
        <v>0.48359810002148101</v>
      </c>
      <c r="N262" t="s">
        <v>51</v>
      </c>
      <c r="O262">
        <v>2</v>
      </c>
      <c r="P262">
        <v>19</v>
      </c>
      <c r="Q262">
        <v>59</v>
      </c>
      <c r="R262">
        <v>7</v>
      </c>
      <c r="S262">
        <v>87.157429800019599</v>
      </c>
      <c r="X262">
        <v>87.147488300048195</v>
      </c>
      <c r="Y262">
        <v>87.157429800019599</v>
      </c>
      <c r="Z262">
        <v>87.657866000023205</v>
      </c>
      <c r="AA262">
        <v>87.657866000023205</v>
      </c>
      <c r="AB262">
        <v>87.657866000023205</v>
      </c>
      <c r="AC262">
        <v>88.145008400024295</v>
      </c>
      <c r="AD262" t="s">
        <v>50</v>
      </c>
      <c r="AE262">
        <v>1</v>
      </c>
      <c r="AF262">
        <v>0.48359810002148101</v>
      </c>
      <c r="AG262" t="s">
        <v>51</v>
      </c>
      <c r="AK262" t="s">
        <v>91</v>
      </c>
      <c r="AL262">
        <v>1</v>
      </c>
      <c r="AM262" t="s">
        <v>80</v>
      </c>
      <c r="AN262" t="s">
        <v>43</v>
      </c>
      <c r="AP262" t="s">
        <v>44</v>
      </c>
      <c r="AQ262">
        <v>59.456390224006398</v>
      </c>
      <c r="AR262" t="s">
        <v>81</v>
      </c>
    </row>
    <row r="263" spans="1:44" x14ac:dyDescent="0.3">
      <c r="A263" t="s">
        <v>78</v>
      </c>
      <c r="B263" t="s">
        <v>49</v>
      </c>
      <c r="C263" s="2" t="str">
        <f t="shared" si="4"/>
        <v>Neutral</v>
      </c>
      <c r="D263">
        <v>0.75163169996812895</v>
      </c>
      <c r="E263" t="s">
        <v>47</v>
      </c>
      <c r="F263" t="s">
        <v>56</v>
      </c>
      <c r="G263" t="s">
        <v>57</v>
      </c>
      <c r="H263">
        <v>60</v>
      </c>
      <c r="I263">
        <v>0</v>
      </c>
      <c r="J263">
        <v>3</v>
      </c>
      <c r="K263" t="s">
        <v>57</v>
      </c>
      <c r="L263">
        <v>1</v>
      </c>
      <c r="M263">
        <v>0.86322549998294495</v>
      </c>
      <c r="N263" t="s">
        <v>51</v>
      </c>
      <c r="O263">
        <v>3</v>
      </c>
      <c r="P263">
        <v>0</v>
      </c>
      <c r="Q263">
        <v>60</v>
      </c>
      <c r="R263">
        <v>17</v>
      </c>
      <c r="S263">
        <v>88.157857900019707</v>
      </c>
      <c r="X263">
        <v>88.148088900023097</v>
      </c>
      <c r="Y263">
        <v>88.157857900019707</v>
      </c>
      <c r="Z263">
        <v>88.657862700056199</v>
      </c>
      <c r="AA263">
        <v>88.657862700056199</v>
      </c>
      <c r="AB263">
        <v>88.657862700056199</v>
      </c>
      <c r="AC263">
        <v>89.527871199999893</v>
      </c>
      <c r="AD263" t="s">
        <v>57</v>
      </c>
      <c r="AE263">
        <v>1</v>
      </c>
      <c r="AF263">
        <v>0.86322549998294495</v>
      </c>
      <c r="AG263" t="s">
        <v>51</v>
      </c>
      <c r="AK263" t="s">
        <v>91</v>
      </c>
      <c r="AL263">
        <v>1</v>
      </c>
      <c r="AM263" t="s">
        <v>80</v>
      </c>
      <c r="AN263" t="s">
        <v>43</v>
      </c>
      <c r="AP263" t="s">
        <v>44</v>
      </c>
      <c r="AQ263">
        <v>59.456390224006398</v>
      </c>
      <c r="AR263" t="s">
        <v>81</v>
      </c>
    </row>
    <row r="264" spans="1:44" hidden="1" x14ac:dyDescent="0.3">
      <c r="A264" t="s">
        <v>64</v>
      </c>
      <c r="B264" t="s">
        <v>49</v>
      </c>
      <c r="C264" s="2" t="str">
        <f t="shared" si="4"/>
        <v>Neutral</v>
      </c>
      <c r="D264">
        <v>0.73600010003428895</v>
      </c>
      <c r="E264" t="s">
        <v>47</v>
      </c>
      <c r="F264" t="s">
        <v>53</v>
      </c>
      <c r="G264" t="s">
        <v>54</v>
      </c>
      <c r="H264">
        <v>61</v>
      </c>
      <c r="I264">
        <v>1</v>
      </c>
      <c r="J264">
        <v>3</v>
      </c>
      <c r="K264" t="s">
        <v>63</v>
      </c>
      <c r="L264">
        <v>0</v>
      </c>
      <c r="M264">
        <v>0.60449090000474803</v>
      </c>
      <c r="N264" t="s">
        <v>51</v>
      </c>
      <c r="O264">
        <v>3</v>
      </c>
      <c r="P264">
        <v>1</v>
      </c>
      <c r="Q264">
        <v>61</v>
      </c>
      <c r="R264">
        <v>18</v>
      </c>
      <c r="S264">
        <v>89.540728300053104</v>
      </c>
      <c r="X264">
        <v>89.530756700027197</v>
      </c>
      <c r="Y264">
        <v>89.540728300053104</v>
      </c>
      <c r="Z264">
        <v>90.041312600020305</v>
      </c>
      <c r="AA264">
        <v>90.041312600020305</v>
      </c>
      <c r="AB264">
        <v>90.041312600020305</v>
      </c>
      <c r="AC264">
        <v>90.647578000032794</v>
      </c>
      <c r="AD264" t="s">
        <v>63</v>
      </c>
      <c r="AE264">
        <v>0</v>
      </c>
      <c r="AF264">
        <v>0.60449090000474803</v>
      </c>
      <c r="AG264" t="s">
        <v>51</v>
      </c>
      <c r="AK264" t="s">
        <v>91</v>
      </c>
      <c r="AL264">
        <v>1</v>
      </c>
      <c r="AM264" t="s">
        <v>80</v>
      </c>
      <c r="AN264" t="s">
        <v>43</v>
      </c>
      <c r="AP264" t="s">
        <v>44</v>
      </c>
      <c r="AQ264">
        <v>59.456390224006398</v>
      </c>
      <c r="AR264" t="s">
        <v>81</v>
      </c>
    </row>
    <row r="265" spans="1:44" x14ac:dyDescent="0.3">
      <c r="A265" t="s">
        <v>72</v>
      </c>
      <c r="B265" t="s">
        <v>62</v>
      </c>
      <c r="C265" s="2" t="str">
        <f t="shared" si="4"/>
        <v>Emotional-C</v>
      </c>
      <c r="D265">
        <v>0.77165509999031201</v>
      </c>
      <c r="E265" t="s">
        <v>59</v>
      </c>
      <c r="F265" t="s">
        <v>61</v>
      </c>
      <c r="G265" t="s">
        <v>63</v>
      </c>
      <c r="H265">
        <v>62</v>
      </c>
      <c r="I265">
        <v>2</v>
      </c>
      <c r="J265">
        <v>3</v>
      </c>
      <c r="K265" t="s">
        <v>63</v>
      </c>
      <c r="L265">
        <v>1</v>
      </c>
      <c r="M265">
        <v>0.95112959999823898</v>
      </c>
      <c r="N265" t="s">
        <v>51</v>
      </c>
      <c r="O265">
        <v>3</v>
      </c>
      <c r="P265">
        <v>2</v>
      </c>
      <c r="Q265">
        <v>62</v>
      </c>
      <c r="R265">
        <v>8</v>
      </c>
      <c r="S265">
        <v>90.674591500020995</v>
      </c>
      <c r="X265">
        <v>90.651814500044495</v>
      </c>
      <c r="Y265">
        <v>90.674591500020995</v>
      </c>
      <c r="Z265">
        <v>91.157562400039694</v>
      </c>
      <c r="AA265">
        <v>91.157562400039694</v>
      </c>
      <c r="AB265">
        <v>91.157562400039694</v>
      </c>
      <c r="AC265">
        <v>92.111419400025596</v>
      </c>
      <c r="AD265" t="s">
        <v>63</v>
      </c>
      <c r="AE265">
        <v>1</v>
      </c>
      <c r="AF265">
        <v>0.95112959999823898</v>
      </c>
      <c r="AG265" t="s">
        <v>51</v>
      </c>
      <c r="AK265" t="s">
        <v>91</v>
      </c>
      <c r="AL265">
        <v>1</v>
      </c>
      <c r="AM265" t="s">
        <v>80</v>
      </c>
      <c r="AN265" t="s">
        <v>43</v>
      </c>
      <c r="AP265" t="s">
        <v>44</v>
      </c>
      <c r="AQ265">
        <v>59.456390224006398</v>
      </c>
      <c r="AR265" t="s">
        <v>81</v>
      </c>
    </row>
    <row r="266" spans="1:44" x14ac:dyDescent="0.3">
      <c r="A266" t="s">
        <v>71</v>
      </c>
      <c r="B266" t="s">
        <v>49</v>
      </c>
      <c r="C266" s="2" t="str">
        <f t="shared" si="4"/>
        <v>Neutral</v>
      </c>
      <c r="D266">
        <v>1.300340900023</v>
      </c>
      <c r="E266" t="s">
        <v>47</v>
      </c>
      <c r="F266" t="s">
        <v>48</v>
      </c>
      <c r="G266" t="s">
        <v>50</v>
      </c>
      <c r="H266">
        <v>63</v>
      </c>
      <c r="I266">
        <v>3</v>
      </c>
      <c r="J266">
        <v>3</v>
      </c>
      <c r="K266" t="s">
        <v>50</v>
      </c>
      <c r="L266">
        <v>1</v>
      </c>
      <c r="M266">
        <v>0.825581799959763</v>
      </c>
      <c r="N266" t="s">
        <v>51</v>
      </c>
      <c r="O266">
        <v>3</v>
      </c>
      <c r="P266">
        <v>3</v>
      </c>
      <c r="Q266">
        <v>63</v>
      </c>
      <c r="R266">
        <v>15</v>
      </c>
      <c r="S266">
        <v>92.124472100054803</v>
      </c>
      <c r="X266">
        <v>92.115622200013604</v>
      </c>
      <c r="Y266">
        <v>92.124472100054803</v>
      </c>
      <c r="Z266">
        <v>92.624428300012298</v>
      </c>
      <c r="AA266">
        <v>92.624428300012298</v>
      </c>
      <c r="AB266">
        <v>92.624428300012298</v>
      </c>
      <c r="AC266">
        <v>93.461043100047306</v>
      </c>
      <c r="AD266" t="s">
        <v>50</v>
      </c>
      <c r="AE266">
        <v>1</v>
      </c>
      <c r="AF266">
        <v>0.825581799959763</v>
      </c>
      <c r="AG266" t="s">
        <v>51</v>
      </c>
      <c r="AK266" t="s">
        <v>91</v>
      </c>
      <c r="AL266">
        <v>1</v>
      </c>
      <c r="AM266" t="s">
        <v>80</v>
      </c>
      <c r="AN266" t="s">
        <v>43</v>
      </c>
      <c r="AP266" t="s">
        <v>44</v>
      </c>
      <c r="AQ266">
        <v>59.456390224006398</v>
      </c>
      <c r="AR266" t="s">
        <v>81</v>
      </c>
    </row>
    <row r="267" spans="1:44" x14ac:dyDescent="0.3">
      <c r="A267" t="s">
        <v>58</v>
      </c>
      <c r="B267" t="s">
        <v>49</v>
      </c>
      <c r="C267" s="2" t="str">
        <f t="shared" si="4"/>
        <v>Emotional-I</v>
      </c>
      <c r="D267">
        <v>0.49648589995922499</v>
      </c>
      <c r="E267" t="s">
        <v>59</v>
      </c>
      <c r="F267" t="s">
        <v>48</v>
      </c>
      <c r="G267" t="s">
        <v>50</v>
      </c>
      <c r="H267">
        <v>64</v>
      </c>
      <c r="I267">
        <v>4</v>
      </c>
      <c r="J267">
        <v>3</v>
      </c>
      <c r="K267" t="s">
        <v>50</v>
      </c>
      <c r="L267">
        <v>1</v>
      </c>
      <c r="M267">
        <v>0.64167769998311996</v>
      </c>
      <c r="N267" t="s">
        <v>51</v>
      </c>
      <c r="O267">
        <v>3</v>
      </c>
      <c r="P267">
        <v>4</v>
      </c>
      <c r="Q267">
        <v>64</v>
      </c>
      <c r="R267">
        <v>7</v>
      </c>
      <c r="S267">
        <v>93.474059300031499</v>
      </c>
      <c r="X267">
        <v>93.464020700019304</v>
      </c>
      <c r="Y267">
        <v>93.474059300031499</v>
      </c>
      <c r="Z267">
        <v>93.974329200049397</v>
      </c>
      <c r="AA267">
        <v>93.974329200049397</v>
      </c>
      <c r="AB267">
        <v>93.974329200049397</v>
      </c>
      <c r="AC267">
        <v>94.630336700007305</v>
      </c>
      <c r="AD267" t="s">
        <v>50</v>
      </c>
      <c r="AE267">
        <v>1</v>
      </c>
      <c r="AF267">
        <v>0.64167769998311996</v>
      </c>
      <c r="AG267" t="s">
        <v>51</v>
      </c>
      <c r="AK267" t="s">
        <v>91</v>
      </c>
      <c r="AL267">
        <v>1</v>
      </c>
      <c r="AM267" t="s">
        <v>80</v>
      </c>
      <c r="AN267" t="s">
        <v>43</v>
      </c>
      <c r="AP267" t="s">
        <v>44</v>
      </c>
      <c r="AQ267">
        <v>59.456390224006398</v>
      </c>
      <c r="AR267" t="s">
        <v>81</v>
      </c>
    </row>
    <row r="268" spans="1:44" x14ac:dyDescent="0.3">
      <c r="A268" t="s">
        <v>75</v>
      </c>
      <c r="B268" t="s">
        <v>49</v>
      </c>
      <c r="C268" s="2" t="str">
        <f t="shared" si="4"/>
        <v>Neutral</v>
      </c>
      <c r="D268">
        <v>0.86749229999259103</v>
      </c>
      <c r="E268" t="s">
        <v>47</v>
      </c>
      <c r="F268" t="s">
        <v>61</v>
      </c>
      <c r="G268" t="s">
        <v>63</v>
      </c>
      <c r="H268">
        <v>65</v>
      </c>
      <c r="I268">
        <v>5</v>
      </c>
      <c r="J268">
        <v>3</v>
      </c>
      <c r="K268" t="s">
        <v>63</v>
      </c>
      <c r="L268">
        <v>1</v>
      </c>
      <c r="M268">
        <v>0.97379260003799495</v>
      </c>
      <c r="N268" t="s">
        <v>51</v>
      </c>
      <c r="O268">
        <v>3</v>
      </c>
      <c r="P268">
        <v>5</v>
      </c>
      <c r="Q268">
        <v>65</v>
      </c>
      <c r="R268">
        <v>16</v>
      </c>
      <c r="S268">
        <v>94.640677000046693</v>
      </c>
      <c r="X268">
        <v>94.633908900024807</v>
      </c>
      <c r="Y268">
        <v>94.640677000046693</v>
      </c>
      <c r="Z268">
        <v>95.141322500014198</v>
      </c>
      <c r="AA268">
        <v>95.141322500014198</v>
      </c>
      <c r="AB268">
        <v>95.141322500014198</v>
      </c>
      <c r="AC268">
        <v>96.1262858000118</v>
      </c>
      <c r="AD268" t="s">
        <v>63</v>
      </c>
      <c r="AE268">
        <v>1</v>
      </c>
      <c r="AF268">
        <v>0.97379260003799495</v>
      </c>
      <c r="AG268" t="s">
        <v>51</v>
      </c>
      <c r="AK268" t="s">
        <v>91</v>
      </c>
      <c r="AL268">
        <v>1</v>
      </c>
      <c r="AM268" t="s">
        <v>80</v>
      </c>
      <c r="AN268" t="s">
        <v>43</v>
      </c>
      <c r="AP268" t="s">
        <v>44</v>
      </c>
      <c r="AQ268">
        <v>59.456390224006398</v>
      </c>
      <c r="AR268" t="s">
        <v>81</v>
      </c>
    </row>
    <row r="269" spans="1:44" x14ac:dyDescent="0.3">
      <c r="A269" t="s">
        <v>77</v>
      </c>
      <c r="B269" t="s">
        <v>62</v>
      </c>
      <c r="C269" s="2" t="str">
        <f t="shared" si="4"/>
        <v>Emotional-C</v>
      </c>
      <c r="D269">
        <v>0.50864880002336499</v>
      </c>
      <c r="E269" t="s">
        <v>59</v>
      </c>
      <c r="F269" t="s">
        <v>61</v>
      </c>
      <c r="G269" t="s">
        <v>63</v>
      </c>
      <c r="H269">
        <v>66</v>
      </c>
      <c r="I269">
        <v>6</v>
      </c>
      <c r="J269">
        <v>3</v>
      </c>
      <c r="K269" t="s">
        <v>63</v>
      </c>
      <c r="L269">
        <v>1</v>
      </c>
      <c r="M269">
        <v>0.43732650001766099</v>
      </c>
      <c r="N269" t="s">
        <v>51</v>
      </c>
      <c r="O269">
        <v>3</v>
      </c>
      <c r="P269">
        <v>6</v>
      </c>
      <c r="Q269">
        <v>66</v>
      </c>
      <c r="R269">
        <v>4</v>
      </c>
      <c r="S269">
        <v>96.139948600029996</v>
      </c>
      <c r="X269">
        <v>96.1288408000255</v>
      </c>
      <c r="Y269">
        <v>96.139948600029996</v>
      </c>
      <c r="Z269">
        <v>96.639407000038702</v>
      </c>
      <c r="AA269">
        <v>96.639407000038702</v>
      </c>
      <c r="AB269">
        <v>96.639407000038702</v>
      </c>
      <c r="AC269">
        <v>97.077108600002205</v>
      </c>
      <c r="AD269" t="s">
        <v>63</v>
      </c>
      <c r="AE269">
        <v>1</v>
      </c>
      <c r="AF269">
        <v>0.43732650001766099</v>
      </c>
      <c r="AG269" t="s">
        <v>51</v>
      </c>
      <c r="AK269" t="s">
        <v>91</v>
      </c>
      <c r="AL269">
        <v>1</v>
      </c>
      <c r="AM269" t="s">
        <v>80</v>
      </c>
      <c r="AN269" t="s">
        <v>43</v>
      </c>
      <c r="AP269" t="s">
        <v>44</v>
      </c>
      <c r="AQ269">
        <v>59.456390224006398</v>
      </c>
      <c r="AR269" t="s">
        <v>81</v>
      </c>
    </row>
    <row r="270" spans="1:44" x14ac:dyDescent="0.3">
      <c r="A270" t="s">
        <v>66</v>
      </c>
      <c r="B270" t="s">
        <v>49</v>
      </c>
      <c r="C270" s="2" t="str">
        <f t="shared" si="4"/>
        <v>Neutral</v>
      </c>
      <c r="D270">
        <v>0.90305409999564201</v>
      </c>
      <c r="E270" t="s">
        <v>47</v>
      </c>
      <c r="F270" t="s">
        <v>61</v>
      </c>
      <c r="G270" t="s">
        <v>63</v>
      </c>
      <c r="H270">
        <v>67</v>
      </c>
      <c r="I270">
        <v>7</v>
      </c>
      <c r="J270">
        <v>3</v>
      </c>
      <c r="K270" t="s">
        <v>63</v>
      </c>
      <c r="L270">
        <v>1</v>
      </c>
      <c r="M270">
        <v>0.48822259996086298</v>
      </c>
      <c r="N270" t="s">
        <v>51</v>
      </c>
      <c r="O270">
        <v>3</v>
      </c>
      <c r="P270">
        <v>7</v>
      </c>
      <c r="Q270">
        <v>67</v>
      </c>
      <c r="R270">
        <v>12</v>
      </c>
      <c r="S270">
        <v>97.090515100047895</v>
      </c>
      <c r="X270">
        <v>97.079971700033596</v>
      </c>
      <c r="Y270">
        <v>97.090515100047895</v>
      </c>
      <c r="Z270">
        <v>97.589380500023196</v>
      </c>
      <c r="AA270">
        <v>97.589380500023196</v>
      </c>
      <c r="AB270">
        <v>97.589380500023196</v>
      </c>
      <c r="AC270">
        <v>98.094298900046795</v>
      </c>
      <c r="AD270" t="s">
        <v>63</v>
      </c>
      <c r="AE270">
        <v>1</v>
      </c>
      <c r="AF270">
        <v>0.48822259996086298</v>
      </c>
      <c r="AG270" t="s">
        <v>51</v>
      </c>
      <c r="AK270" t="s">
        <v>91</v>
      </c>
      <c r="AL270">
        <v>1</v>
      </c>
      <c r="AM270" t="s">
        <v>80</v>
      </c>
      <c r="AN270" t="s">
        <v>43</v>
      </c>
      <c r="AP270" t="s">
        <v>44</v>
      </c>
      <c r="AQ270">
        <v>59.456390224006398</v>
      </c>
      <c r="AR270" t="s">
        <v>81</v>
      </c>
    </row>
    <row r="271" spans="1:44" x14ac:dyDescent="0.3">
      <c r="A271" t="s">
        <v>76</v>
      </c>
      <c r="B271" t="s">
        <v>49</v>
      </c>
      <c r="C271" s="2" t="str">
        <f t="shared" si="4"/>
        <v>Emotional-I</v>
      </c>
      <c r="D271">
        <v>0.81091459997696802</v>
      </c>
      <c r="E271" t="s">
        <v>59</v>
      </c>
      <c r="F271" t="s">
        <v>48</v>
      </c>
      <c r="G271" t="s">
        <v>50</v>
      </c>
      <c r="H271">
        <v>68</v>
      </c>
      <c r="I271">
        <v>8</v>
      </c>
      <c r="J271">
        <v>3</v>
      </c>
      <c r="K271" t="s">
        <v>50</v>
      </c>
      <c r="L271">
        <v>1</v>
      </c>
      <c r="M271">
        <v>0.90782289998605803</v>
      </c>
      <c r="N271" t="s">
        <v>51</v>
      </c>
      <c r="O271">
        <v>3</v>
      </c>
      <c r="P271">
        <v>8</v>
      </c>
      <c r="Q271">
        <v>68</v>
      </c>
      <c r="R271">
        <v>3</v>
      </c>
      <c r="S271">
        <v>98.107438200036995</v>
      </c>
      <c r="X271">
        <v>98.0985862000379</v>
      </c>
      <c r="Y271">
        <v>98.107438200036995</v>
      </c>
      <c r="Z271">
        <v>98.607287700055096</v>
      </c>
      <c r="AA271">
        <v>98.607287700055096</v>
      </c>
      <c r="AB271">
        <v>98.607287700055096</v>
      </c>
      <c r="AC271">
        <v>99.526040700031402</v>
      </c>
      <c r="AD271" t="s">
        <v>50</v>
      </c>
      <c r="AE271">
        <v>1</v>
      </c>
      <c r="AF271">
        <v>0.90782289998605803</v>
      </c>
      <c r="AG271" t="s">
        <v>51</v>
      </c>
      <c r="AK271" t="s">
        <v>91</v>
      </c>
      <c r="AL271">
        <v>1</v>
      </c>
      <c r="AM271" t="s">
        <v>80</v>
      </c>
      <c r="AN271" t="s">
        <v>43</v>
      </c>
      <c r="AP271" t="s">
        <v>44</v>
      </c>
      <c r="AQ271">
        <v>59.456390224006398</v>
      </c>
      <c r="AR271" t="s">
        <v>81</v>
      </c>
    </row>
    <row r="272" spans="1:44" x14ac:dyDescent="0.3">
      <c r="A272" t="s">
        <v>73</v>
      </c>
      <c r="B272" t="s">
        <v>49</v>
      </c>
      <c r="C272" s="2" t="str">
        <f t="shared" si="4"/>
        <v>Emotional-I</v>
      </c>
      <c r="D272">
        <v>1.21671840001363</v>
      </c>
      <c r="E272" t="s">
        <v>59</v>
      </c>
      <c r="F272" t="s">
        <v>56</v>
      </c>
      <c r="G272" t="s">
        <v>57</v>
      </c>
      <c r="H272">
        <v>69</v>
      </c>
      <c r="I272">
        <v>9</v>
      </c>
      <c r="J272">
        <v>3</v>
      </c>
      <c r="K272" t="s">
        <v>57</v>
      </c>
      <c r="L272">
        <v>1</v>
      </c>
      <c r="M272">
        <v>0.57385469996370297</v>
      </c>
      <c r="N272" t="s">
        <v>51</v>
      </c>
      <c r="O272">
        <v>3</v>
      </c>
      <c r="P272">
        <v>9</v>
      </c>
      <c r="Q272">
        <v>69</v>
      </c>
      <c r="R272">
        <v>1</v>
      </c>
      <c r="S272">
        <v>99.539469300012499</v>
      </c>
      <c r="X272">
        <v>99.528577500022905</v>
      </c>
      <c r="Y272">
        <v>99.539469300012499</v>
      </c>
      <c r="Z272">
        <v>100.040983600018</v>
      </c>
      <c r="AA272">
        <v>100.040983600018</v>
      </c>
      <c r="AB272">
        <v>100.040983600018</v>
      </c>
      <c r="AC272">
        <v>100.62766140000799</v>
      </c>
      <c r="AD272" t="s">
        <v>57</v>
      </c>
      <c r="AE272">
        <v>1</v>
      </c>
      <c r="AF272">
        <v>0.57385469996370297</v>
      </c>
      <c r="AG272" t="s">
        <v>51</v>
      </c>
      <c r="AK272" t="s">
        <v>91</v>
      </c>
      <c r="AL272">
        <v>1</v>
      </c>
      <c r="AM272" t="s">
        <v>80</v>
      </c>
      <c r="AN272" t="s">
        <v>43</v>
      </c>
      <c r="AP272" t="s">
        <v>44</v>
      </c>
      <c r="AQ272">
        <v>59.456390224006398</v>
      </c>
      <c r="AR272" t="s">
        <v>81</v>
      </c>
    </row>
    <row r="273" spans="1:44" x14ac:dyDescent="0.3">
      <c r="A273" t="s">
        <v>46</v>
      </c>
      <c r="B273" t="s">
        <v>49</v>
      </c>
      <c r="C273" s="2" t="str">
        <f t="shared" si="4"/>
        <v>Neutral</v>
      </c>
      <c r="D273">
        <v>0.58055340003920697</v>
      </c>
      <c r="E273" t="s">
        <v>47</v>
      </c>
      <c r="F273" t="s">
        <v>48</v>
      </c>
      <c r="G273" t="s">
        <v>50</v>
      </c>
      <c r="H273">
        <v>70</v>
      </c>
      <c r="I273">
        <v>10</v>
      </c>
      <c r="J273">
        <v>3</v>
      </c>
      <c r="K273" t="s">
        <v>50</v>
      </c>
      <c r="L273">
        <v>1</v>
      </c>
      <c r="M273">
        <v>0.83155800000531599</v>
      </c>
      <c r="N273" t="s">
        <v>51</v>
      </c>
      <c r="O273">
        <v>3</v>
      </c>
      <c r="P273">
        <v>10</v>
      </c>
      <c r="Q273">
        <v>70</v>
      </c>
      <c r="R273">
        <v>19</v>
      </c>
      <c r="S273">
        <v>100.640241900051</v>
      </c>
      <c r="X273">
        <v>100.630938400048</v>
      </c>
      <c r="Y273">
        <v>100.640241900051</v>
      </c>
      <c r="Z273">
        <v>101.140194200037</v>
      </c>
      <c r="AA273">
        <v>101.140194200037</v>
      </c>
      <c r="AB273">
        <v>101.140194200037</v>
      </c>
      <c r="AC273">
        <v>101.978452400013</v>
      </c>
      <c r="AD273" t="s">
        <v>50</v>
      </c>
      <c r="AE273">
        <v>1</v>
      </c>
      <c r="AF273">
        <v>0.83155800000531599</v>
      </c>
      <c r="AG273" t="s">
        <v>51</v>
      </c>
      <c r="AK273" t="s">
        <v>91</v>
      </c>
      <c r="AL273">
        <v>1</v>
      </c>
      <c r="AM273" t="s">
        <v>80</v>
      </c>
      <c r="AN273" t="s">
        <v>43</v>
      </c>
      <c r="AP273" t="s">
        <v>44</v>
      </c>
      <c r="AQ273">
        <v>59.456390224006398</v>
      </c>
      <c r="AR273" t="s">
        <v>81</v>
      </c>
    </row>
    <row r="274" spans="1:44" x14ac:dyDescent="0.3">
      <c r="A274" t="s">
        <v>67</v>
      </c>
      <c r="B274" t="s">
        <v>49</v>
      </c>
      <c r="C274" s="2" t="str">
        <f t="shared" si="4"/>
        <v>Neutral</v>
      </c>
      <c r="D274">
        <v>0.76223300001583905</v>
      </c>
      <c r="E274" t="s">
        <v>47</v>
      </c>
      <c r="F274" t="s">
        <v>53</v>
      </c>
      <c r="G274" t="s">
        <v>54</v>
      </c>
      <c r="H274">
        <v>71</v>
      </c>
      <c r="I274">
        <v>11</v>
      </c>
      <c r="J274">
        <v>3</v>
      </c>
      <c r="K274" t="s">
        <v>54</v>
      </c>
      <c r="L274">
        <v>1</v>
      </c>
      <c r="M274">
        <v>0.56933359999675304</v>
      </c>
      <c r="N274" t="s">
        <v>51</v>
      </c>
      <c r="O274">
        <v>3</v>
      </c>
      <c r="P274">
        <v>11</v>
      </c>
      <c r="Q274">
        <v>71</v>
      </c>
      <c r="R274">
        <v>10</v>
      </c>
      <c r="S274">
        <v>101.99101770005601</v>
      </c>
      <c r="X274">
        <v>101.982164500048</v>
      </c>
      <c r="Y274">
        <v>101.99101770005601</v>
      </c>
      <c r="Z274">
        <v>102.491562200011</v>
      </c>
      <c r="AA274">
        <v>102.491562200011</v>
      </c>
      <c r="AB274">
        <v>102.491562200011</v>
      </c>
      <c r="AC274">
        <v>103.07760850002499</v>
      </c>
      <c r="AD274" t="s">
        <v>54</v>
      </c>
      <c r="AE274">
        <v>1</v>
      </c>
      <c r="AF274">
        <v>0.56933359999675304</v>
      </c>
      <c r="AG274" t="s">
        <v>51</v>
      </c>
      <c r="AK274" t="s">
        <v>91</v>
      </c>
      <c r="AL274">
        <v>1</v>
      </c>
      <c r="AM274" t="s">
        <v>80</v>
      </c>
      <c r="AN274" t="s">
        <v>43</v>
      </c>
      <c r="AP274" t="s">
        <v>44</v>
      </c>
      <c r="AQ274">
        <v>59.456390224006398</v>
      </c>
      <c r="AR274" t="s">
        <v>81</v>
      </c>
    </row>
    <row r="275" spans="1:44" x14ac:dyDescent="0.3">
      <c r="A275" t="s">
        <v>55</v>
      </c>
      <c r="B275" t="s">
        <v>49</v>
      </c>
      <c r="C275" s="2" t="str">
        <f t="shared" si="4"/>
        <v>Neutral</v>
      </c>
      <c r="D275">
        <v>0.65434110001660795</v>
      </c>
      <c r="E275" t="s">
        <v>47</v>
      </c>
      <c r="F275" t="s">
        <v>56</v>
      </c>
      <c r="G275" t="s">
        <v>57</v>
      </c>
      <c r="H275">
        <v>72</v>
      </c>
      <c r="I275">
        <v>12</v>
      </c>
      <c r="J275">
        <v>3</v>
      </c>
      <c r="K275" t="s">
        <v>57</v>
      </c>
      <c r="L275">
        <v>1</v>
      </c>
      <c r="M275">
        <v>2.4507550999987799</v>
      </c>
      <c r="N275" t="s">
        <v>51</v>
      </c>
      <c r="O275">
        <v>3</v>
      </c>
      <c r="P275">
        <v>12</v>
      </c>
      <c r="Q275">
        <v>72</v>
      </c>
      <c r="R275">
        <v>13</v>
      </c>
      <c r="S275">
        <v>103.090367200027</v>
      </c>
      <c r="X275">
        <v>103.08070590003599</v>
      </c>
      <c r="Y275">
        <v>103.090367200027</v>
      </c>
      <c r="Z275">
        <v>103.590353900042</v>
      </c>
      <c r="AA275">
        <v>103.590353900042</v>
      </c>
      <c r="AB275">
        <v>103.590353900042</v>
      </c>
      <c r="AC275">
        <v>106.04476290004</v>
      </c>
      <c r="AD275" t="s">
        <v>57</v>
      </c>
      <c r="AE275">
        <v>1</v>
      </c>
      <c r="AF275">
        <v>2.4507550999987799</v>
      </c>
      <c r="AG275" t="s">
        <v>51</v>
      </c>
      <c r="AK275" t="s">
        <v>91</v>
      </c>
      <c r="AL275">
        <v>1</v>
      </c>
      <c r="AM275" t="s">
        <v>80</v>
      </c>
      <c r="AN275" t="s">
        <v>43</v>
      </c>
      <c r="AP275" t="s">
        <v>44</v>
      </c>
      <c r="AQ275">
        <v>59.456390224006398</v>
      </c>
      <c r="AR275" t="s">
        <v>81</v>
      </c>
    </row>
    <row r="276" spans="1:44" x14ac:dyDescent="0.3">
      <c r="A276" t="s">
        <v>68</v>
      </c>
      <c r="B276" t="s">
        <v>49</v>
      </c>
      <c r="C276" s="2" t="str">
        <f t="shared" si="4"/>
        <v>Emotional-I</v>
      </c>
      <c r="D276">
        <v>0.48499070003162997</v>
      </c>
      <c r="E276" t="s">
        <v>59</v>
      </c>
      <c r="F276" t="s">
        <v>53</v>
      </c>
      <c r="G276" t="s">
        <v>54</v>
      </c>
      <c r="H276">
        <v>73</v>
      </c>
      <c r="I276">
        <v>13</v>
      </c>
      <c r="J276">
        <v>3</v>
      </c>
      <c r="K276" t="s">
        <v>54</v>
      </c>
      <c r="L276">
        <v>1</v>
      </c>
      <c r="M276">
        <v>1.50234340003225</v>
      </c>
      <c r="N276" t="s">
        <v>51</v>
      </c>
      <c r="O276">
        <v>3</v>
      </c>
      <c r="P276">
        <v>13</v>
      </c>
      <c r="Q276">
        <v>73</v>
      </c>
      <c r="R276">
        <v>6</v>
      </c>
      <c r="S276">
        <v>106.057020300009</v>
      </c>
      <c r="X276">
        <v>106.047929899999</v>
      </c>
      <c r="Y276">
        <v>106.057020300009</v>
      </c>
      <c r="Z276">
        <v>106.55712740001</v>
      </c>
      <c r="AA276">
        <v>106.55712740001</v>
      </c>
      <c r="AB276">
        <v>106.55712740001</v>
      </c>
      <c r="AC276">
        <v>108.060883000027</v>
      </c>
      <c r="AD276" t="s">
        <v>54</v>
      </c>
      <c r="AE276">
        <v>1</v>
      </c>
      <c r="AF276">
        <v>1.50234340003225</v>
      </c>
      <c r="AG276" t="s">
        <v>51</v>
      </c>
      <c r="AK276" t="s">
        <v>91</v>
      </c>
      <c r="AL276">
        <v>1</v>
      </c>
      <c r="AM276" t="s">
        <v>80</v>
      </c>
      <c r="AN276" t="s">
        <v>43</v>
      </c>
      <c r="AP276" t="s">
        <v>44</v>
      </c>
      <c r="AQ276">
        <v>59.456390224006398</v>
      </c>
      <c r="AR276" t="s">
        <v>81</v>
      </c>
    </row>
    <row r="277" spans="1:44" x14ac:dyDescent="0.3">
      <c r="A277" t="s">
        <v>69</v>
      </c>
      <c r="B277" t="s">
        <v>49</v>
      </c>
      <c r="C277" s="2" t="str">
        <f t="shared" si="4"/>
        <v>Emotional-I</v>
      </c>
      <c r="D277">
        <v>0.75169119995553002</v>
      </c>
      <c r="E277" t="s">
        <v>59</v>
      </c>
      <c r="F277" t="s">
        <v>56</v>
      </c>
      <c r="G277" t="s">
        <v>57</v>
      </c>
      <c r="H277">
        <v>74</v>
      </c>
      <c r="I277">
        <v>14</v>
      </c>
      <c r="J277">
        <v>3</v>
      </c>
      <c r="K277" t="s">
        <v>57</v>
      </c>
      <c r="L277">
        <v>1</v>
      </c>
      <c r="M277">
        <v>0.69701890001306299</v>
      </c>
      <c r="N277" t="s">
        <v>51</v>
      </c>
      <c r="O277">
        <v>3</v>
      </c>
      <c r="P277">
        <v>14</v>
      </c>
      <c r="Q277">
        <v>74</v>
      </c>
      <c r="R277">
        <v>5</v>
      </c>
      <c r="S277">
        <v>108.073965000046</v>
      </c>
      <c r="X277">
        <v>108.064086300029</v>
      </c>
      <c r="Y277">
        <v>108.073965000046</v>
      </c>
      <c r="Z277">
        <v>108.574090800015</v>
      </c>
      <c r="AA277">
        <v>108.574090800015</v>
      </c>
      <c r="AB277">
        <v>108.574090800015</v>
      </c>
      <c r="AC277">
        <v>109.276897200034</v>
      </c>
      <c r="AD277" t="s">
        <v>57</v>
      </c>
      <c r="AE277">
        <v>1</v>
      </c>
      <c r="AF277">
        <v>0.69701890001306299</v>
      </c>
      <c r="AG277" t="s">
        <v>51</v>
      </c>
      <c r="AK277" t="s">
        <v>91</v>
      </c>
      <c r="AL277">
        <v>1</v>
      </c>
      <c r="AM277" t="s">
        <v>80</v>
      </c>
      <c r="AN277" t="s">
        <v>43</v>
      </c>
      <c r="AP277" t="s">
        <v>44</v>
      </c>
      <c r="AQ277">
        <v>59.456390224006398</v>
      </c>
      <c r="AR277" t="s">
        <v>81</v>
      </c>
    </row>
    <row r="278" spans="1:44" x14ac:dyDescent="0.3">
      <c r="A278" t="s">
        <v>70</v>
      </c>
      <c r="B278" t="s">
        <v>49</v>
      </c>
      <c r="C278" s="2" t="str">
        <f t="shared" si="4"/>
        <v>Emotional-I</v>
      </c>
      <c r="D278">
        <v>0.78777059999993004</v>
      </c>
      <c r="E278" t="s">
        <v>59</v>
      </c>
      <c r="F278" t="s">
        <v>53</v>
      </c>
      <c r="G278" t="s">
        <v>54</v>
      </c>
      <c r="H278">
        <v>75</v>
      </c>
      <c r="I278">
        <v>15</v>
      </c>
      <c r="J278">
        <v>3</v>
      </c>
      <c r="K278" t="s">
        <v>54</v>
      </c>
      <c r="L278">
        <v>1</v>
      </c>
      <c r="M278">
        <v>0.75163169996812895</v>
      </c>
      <c r="N278" t="s">
        <v>51</v>
      </c>
      <c r="O278">
        <v>3</v>
      </c>
      <c r="P278">
        <v>15</v>
      </c>
      <c r="Q278">
        <v>75</v>
      </c>
      <c r="R278">
        <v>2</v>
      </c>
      <c r="S278">
        <v>109.290666000044</v>
      </c>
      <c r="X278">
        <v>109.279442200029</v>
      </c>
      <c r="Y278">
        <v>109.290666000044</v>
      </c>
      <c r="Z278">
        <v>109.790030500036</v>
      </c>
      <c r="AA278">
        <v>109.790030500036</v>
      </c>
      <c r="AB278">
        <v>109.790030500036</v>
      </c>
      <c r="AC278">
        <v>110.544533000036</v>
      </c>
      <c r="AD278" t="s">
        <v>54</v>
      </c>
      <c r="AE278">
        <v>1</v>
      </c>
      <c r="AF278">
        <v>0.75163169996812895</v>
      </c>
      <c r="AG278" t="s">
        <v>51</v>
      </c>
      <c r="AK278" t="s">
        <v>91</v>
      </c>
      <c r="AL278">
        <v>1</v>
      </c>
      <c r="AM278" t="s">
        <v>80</v>
      </c>
      <c r="AN278" t="s">
        <v>43</v>
      </c>
      <c r="AP278" t="s">
        <v>44</v>
      </c>
      <c r="AQ278">
        <v>59.456390224006398</v>
      </c>
      <c r="AR278" t="s">
        <v>81</v>
      </c>
    </row>
    <row r="279" spans="1:44" x14ac:dyDescent="0.3">
      <c r="A279" t="s">
        <v>74</v>
      </c>
      <c r="B279" t="s">
        <v>49</v>
      </c>
      <c r="C279" s="2" t="str">
        <f t="shared" si="4"/>
        <v>Neutral</v>
      </c>
      <c r="D279">
        <v>0.87392350001027796</v>
      </c>
      <c r="E279" t="s">
        <v>47</v>
      </c>
      <c r="F279" t="s">
        <v>48</v>
      </c>
      <c r="G279" t="s">
        <v>50</v>
      </c>
      <c r="H279">
        <v>76</v>
      </c>
      <c r="I279">
        <v>16</v>
      </c>
      <c r="J279">
        <v>3</v>
      </c>
      <c r="K279" t="s">
        <v>50</v>
      </c>
      <c r="L279">
        <v>1</v>
      </c>
      <c r="M279">
        <v>0.73600010003428895</v>
      </c>
      <c r="N279" t="s">
        <v>51</v>
      </c>
      <c r="O279">
        <v>3</v>
      </c>
      <c r="P279">
        <v>16</v>
      </c>
      <c r="Q279">
        <v>76</v>
      </c>
      <c r="R279">
        <v>11</v>
      </c>
      <c r="S279">
        <v>110.55794300005</v>
      </c>
      <c r="X279">
        <v>110.548715900047</v>
      </c>
      <c r="Y279">
        <v>110.55794300005</v>
      </c>
      <c r="Z279">
        <v>111.057038200029</v>
      </c>
      <c r="AA279">
        <v>111.057038200029</v>
      </c>
      <c r="AB279">
        <v>111.057038200029</v>
      </c>
      <c r="AC279">
        <v>111.794718100049</v>
      </c>
      <c r="AD279" t="s">
        <v>50</v>
      </c>
      <c r="AE279">
        <v>1</v>
      </c>
      <c r="AF279">
        <v>0.73600010003428895</v>
      </c>
      <c r="AG279" t="s">
        <v>51</v>
      </c>
      <c r="AK279" t="s">
        <v>91</v>
      </c>
      <c r="AL279">
        <v>1</v>
      </c>
      <c r="AM279" t="s">
        <v>80</v>
      </c>
      <c r="AN279" t="s">
        <v>43</v>
      </c>
      <c r="AP279" t="s">
        <v>44</v>
      </c>
      <c r="AQ279">
        <v>59.456390224006398</v>
      </c>
      <c r="AR279" t="s">
        <v>81</v>
      </c>
    </row>
    <row r="280" spans="1:44" x14ac:dyDescent="0.3">
      <c r="A280" t="s">
        <v>65</v>
      </c>
      <c r="B280" t="s">
        <v>49</v>
      </c>
      <c r="C280" s="2" t="str">
        <f t="shared" si="4"/>
        <v>Emotional-I</v>
      </c>
      <c r="D280">
        <v>0.66903950000414603</v>
      </c>
      <c r="E280" t="s">
        <v>59</v>
      </c>
      <c r="F280" t="s">
        <v>56</v>
      </c>
      <c r="G280" t="s">
        <v>57</v>
      </c>
      <c r="H280">
        <v>77</v>
      </c>
      <c r="I280">
        <v>17</v>
      </c>
      <c r="J280">
        <v>3</v>
      </c>
      <c r="K280" t="s">
        <v>57</v>
      </c>
      <c r="L280">
        <v>1</v>
      </c>
      <c r="M280">
        <v>0.77165509999031201</v>
      </c>
      <c r="N280" t="s">
        <v>51</v>
      </c>
      <c r="O280">
        <v>3</v>
      </c>
      <c r="P280">
        <v>17</v>
      </c>
      <c r="Q280">
        <v>77</v>
      </c>
      <c r="R280">
        <v>9</v>
      </c>
      <c r="S280">
        <v>111.807204500015</v>
      </c>
      <c r="X280">
        <v>111.797493600053</v>
      </c>
      <c r="Y280">
        <v>111.807204500015</v>
      </c>
      <c r="Z280">
        <v>112.307225800002</v>
      </c>
      <c r="AA280">
        <v>112.307225800002</v>
      </c>
      <c r="AB280">
        <v>112.307225800002</v>
      </c>
      <c r="AC280">
        <v>113.09428710001499</v>
      </c>
      <c r="AD280" t="s">
        <v>57</v>
      </c>
      <c r="AE280">
        <v>1</v>
      </c>
      <c r="AF280">
        <v>0.77165509999031201</v>
      </c>
      <c r="AG280" t="s">
        <v>51</v>
      </c>
      <c r="AK280" t="s">
        <v>91</v>
      </c>
      <c r="AL280">
        <v>1</v>
      </c>
      <c r="AM280" t="s">
        <v>80</v>
      </c>
      <c r="AN280" t="s">
        <v>43</v>
      </c>
      <c r="AP280" t="s">
        <v>44</v>
      </c>
      <c r="AQ280">
        <v>59.456390224006398</v>
      </c>
      <c r="AR280" t="s">
        <v>81</v>
      </c>
    </row>
    <row r="281" spans="1:44" x14ac:dyDescent="0.3">
      <c r="A281" t="s">
        <v>60</v>
      </c>
      <c r="B281" t="s">
        <v>62</v>
      </c>
      <c r="C281" s="2" t="str">
        <f t="shared" si="4"/>
        <v>Emotional-C</v>
      </c>
      <c r="D281">
        <v>0.89887959999032296</v>
      </c>
      <c r="E281" t="s">
        <v>59</v>
      </c>
      <c r="F281" t="s">
        <v>61</v>
      </c>
      <c r="G281" t="s">
        <v>63</v>
      </c>
      <c r="H281">
        <v>78</v>
      </c>
      <c r="I281">
        <v>18</v>
      </c>
      <c r="J281">
        <v>3</v>
      </c>
      <c r="K281" t="s">
        <v>63</v>
      </c>
      <c r="L281">
        <v>1</v>
      </c>
      <c r="M281">
        <v>1.300340900023</v>
      </c>
      <c r="N281" t="s">
        <v>51</v>
      </c>
      <c r="O281">
        <v>3</v>
      </c>
      <c r="P281">
        <v>18</v>
      </c>
      <c r="Q281">
        <v>78</v>
      </c>
      <c r="R281">
        <v>0</v>
      </c>
      <c r="S281">
        <v>113.10668680001901</v>
      </c>
      <c r="X281">
        <v>113.097329300013</v>
      </c>
      <c r="Y281">
        <v>113.10668680001901</v>
      </c>
      <c r="Z281">
        <v>113.606488400022</v>
      </c>
      <c r="AA281">
        <v>113.606488400022</v>
      </c>
      <c r="AB281">
        <v>113.606488400022</v>
      </c>
      <c r="AC281">
        <v>114.910807300009</v>
      </c>
      <c r="AD281" t="s">
        <v>63</v>
      </c>
      <c r="AE281">
        <v>1</v>
      </c>
      <c r="AF281">
        <v>1.300340900023</v>
      </c>
      <c r="AG281" t="s">
        <v>51</v>
      </c>
      <c r="AK281" t="s">
        <v>91</v>
      </c>
      <c r="AL281">
        <v>1</v>
      </c>
      <c r="AM281" t="s">
        <v>80</v>
      </c>
      <c r="AN281" t="s">
        <v>43</v>
      </c>
      <c r="AP281" t="s">
        <v>44</v>
      </c>
      <c r="AQ281">
        <v>59.456390224006398</v>
      </c>
      <c r="AR281" t="s">
        <v>81</v>
      </c>
    </row>
    <row r="282" spans="1:44" hidden="1" x14ac:dyDescent="0.3">
      <c r="A282" t="s">
        <v>52</v>
      </c>
      <c r="B282" t="s">
        <v>49</v>
      </c>
      <c r="C282" s="2" t="str">
        <f t="shared" si="4"/>
        <v>Neutral</v>
      </c>
      <c r="D282">
        <v>1.2281358999898599</v>
      </c>
      <c r="E282" t="s">
        <v>47</v>
      </c>
      <c r="F282" t="s">
        <v>53</v>
      </c>
      <c r="G282" t="s">
        <v>54</v>
      </c>
      <c r="H282">
        <v>79</v>
      </c>
      <c r="I282">
        <v>19</v>
      </c>
      <c r="J282">
        <v>3</v>
      </c>
      <c r="K282" t="s">
        <v>50</v>
      </c>
      <c r="L282">
        <v>0</v>
      </c>
      <c r="M282">
        <v>0.80442830000538301</v>
      </c>
      <c r="N282" t="s">
        <v>51</v>
      </c>
      <c r="O282">
        <v>3</v>
      </c>
      <c r="P282">
        <v>19</v>
      </c>
      <c r="Q282">
        <v>79</v>
      </c>
      <c r="R282">
        <v>14</v>
      </c>
      <c r="S282">
        <v>114.92305140005099</v>
      </c>
      <c r="X282">
        <v>114.913675900024</v>
      </c>
      <c r="Y282">
        <v>114.92305140005099</v>
      </c>
      <c r="Z282">
        <v>115.422958100039</v>
      </c>
      <c r="AA282">
        <v>115.422958100039</v>
      </c>
      <c r="AB282">
        <v>115.422958100039</v>
      </c>
      <c r="AC282">
        <v>116.244312900002</v>
      </c>
      <c r="AD282" t="s">
        <v>50</v>
      </c>
      <c r="AE282">
        <v>0</v>
      </c>
      <c r="AF282">
        <v>0.80442830000538301</v>
      </c>
      <c r="AG282" t="s">
        <v>51</v>
      </c>
      <c r="AK282" t="s">
        <v>91</v>
      </c>
      <c r="AL282">
        <v>1</v>
      </c>
      <c r="AM282" t="s">
        <v>80</v>
      </c>
      <c r="AN282" t="s">
        <v>43</v>
      </c>
      <c r="AP282" t="s">
        <v>44</v>
      </c>
      <c r="AQ282">
        <v>59.456390224006398</v>
      </c>
      <c r="AR282" t="s">
        <v>81</v>
      </c>
    </row>
    <row r="283" spans="1:44" x14ac:dyDescent="0.3">
      <c r="A283" t="s">
        <v>70</v>
      </c>
      <c r="B283" t="s">
        <v>49</v>
      </c>
      <c r="C283" s="2" t="str">
        <f t="shared" si="4"/>
        <v>Emotional-I</v>
      </c>
      <c r="D283">
        <v>0.48114250000799003</v>
      </c>
      <c r="E283" t="s">
        <v>59</v>
      </c>
      <c r="F283" t="s">
        <v>53</v>
      </c>
      <c r="G283" t="s">
        <v>54</v>
      </c>
      <c r="H283">
        <v>80</v>
      </c>
      <c r="I283">
        <v>0</v>
      </c>
      <c r="J283">
        <v>4</v>
      </c>
      <c r="K283" t="s">
        <v>54</v>
      </c>
      <c r="L283">
        <v>1</v>
      </c>
      <c r="M283">
        <v>0.49648589995922499</v>
      </c>
      <c r="N283" t="s">
        <v>51</v>
      </c>
      <c r="O283">
        <v>4</v>
      </c>
      <c r="P283">
        <v>0</v>
      </c>
      <c r="Q283">
        <v>80</v>
      </c>
      <c r="R283">
        <v>2</v>
      </c>
      <c r="S283">
        <v>116.256359900056</v>
      </c>
      <c r="X283">
        <v>116.247784100007</v>
      </c>
      <c r="Y283">
        <v>116.256359900056</v>
      </c>
      <c r="Z283">
        <v>116.756459300057</v>
      </c>
      <c r="AA283">
        <v>116.756459300057</v>
      </c>
      <c r="AB283">
        <v>116.756459300057</v>
      </c>
      <c r="AC283">
        <v>117.260729800036</v>
      </c>
      <c r="AD283" t="s">
        <v>54</v>
      </c>
      <c r="AE283">
        <v>1</v>
      </c>
      <c r="AF283">
        <v>0.49648589995922499</v>
      </c>
      <c r="AG283" t="s">
        <v>51</v>
      </c>
      <c r="AK283" t="s">
        <v>91</v>
      </c>
      <c r="AL283">
        <v>1</v>
      </c>
      <c r="AM283" t="s">
        <v>80</v>
      </c>
      <c r="AN283" t="s">
        <v>43</v>
      </c>
      <c r="AP283" t="s">
        <v>44</v>
      </c>
      <c r="AQ283">
        <v>59.456390224006398</v>
      </c>
      <c r="AR283" t="s">
        <v>81</v>
      </c>
    </row>
    <row r="284" spans="1:44" x14ac:dyDescent="0.3">
      <c r="A284" t="s">
        <v>60</v>
      </c>
      <c r="B284" t="s">
        <v>62</v>
      </c>
      <c r="C284" s="2" t="str">
        <f t="shared" si="4"/>
        <v>Emotional-C</v>
      </c>
      <c r="D284">
        <v>0.78444579994538799</v>
      </c>
      <c r="E284" t="s">
        <v>59</v>
      </c>
      <c r="F284" t="s">
        <v>61</v>
      </c>
      <c r="G284" t="s">
        <v>63</v>
      </c>
      <c r="H284">
        <v>81</v>
      </c>
      <c r="I284">
        <v>1</v>
      </c>
      <c r="J284">
        <v>4</v>
      </c>
      <c r="K284" t="s">
        <v>63</v>
      </c>
      <c r="L284">
        <v>1</v>
      </c>
      <c r="M284">
        <v>0.86749229999259103</v>
      </c>
      <c r="N284" t="s">
        <v>51</v>
      </c>
      <c r="O284">
        <v>4</v>
      </c>
      <c r="P284">
        <v>1</v>
      </c>
      <c r="Q284">
        <v>81</v>
      </c>
      <c r="R284">
        <v>0</v>
      </c>
      <c r="S284">
        <v>117.27301660005401</v>
      </c>
      <c r="X284">
        <v>117.263521400047</v>
      </c>
      <c r="Y284">
        <v>117.27301660005401</v>
      </c>
      <c r="Z284">
        <v>117.773467600054</v>
      </c>
      <c r="AA284">
        <v>117.773467600054</v>
      </c>
      <c r="AB284">
        <v>117.773467600054</v>
      </c>
      <c r="AC284">
        <v>118.644548400014</v>
      </c>
      <c r="AD284" t="s">
        <v>63</v>
      </c>
      <c r="AE284">
        <v>1</v>
      </c>
      <c r="AF284">
        <v>0.86749229999259103</v>
      </c>
      <c r="AG284" t="s">
        <v>51</v>
      </c>
      <c r="AK284" t="s">
        <v>91</v>
      </c>
      <c r="AL284">
        <v>1</v>
      </c>
      <c r="AM284" t="s">
        <v>80</v>
      </c>
      <c r="AN284" t="s">
        <v>43</v>
      </c>
      <c r="AP284" t="s">
        <v>44</v>
      </c>
      <c r="AQ284">
        <v>59.456390224006398</v>
      </c>
      <c r="AR284" t="s">
        <v>81</v>
      </c>
    </row>
    <row r="285" spans="1:44" x14ac:dyDescent="0.3">
      <c r="A285" t="s">
        <v>66</v>
      </c>
      <c r="B285" t="s">
        <v>49</v>
      </c>
      <c r="C285" s="2" t="str">
        <f t="shared" si="4"/>
        <v>Neutral</v>
      </c>
      <c r="D285">
        <v>0.79380789998685897</v>
      </c>
      <c r="E285" t="s">
        <v>47</v>
      </c>
      <c r="F285" t="s">
        <v>61</v>
      </c>
      <c r="G285" t="s">
        <v>63</v>
      </c>
      <c r="H285">
        <v>82</v>
      </c>
      <c r="I285">
        <v>2</v>
      </c>
      <c r="J285">
        <v>4</v>
      </c>
      <c r="K285" t="s">
        <v>63</v>
      </c>
      <c r="L285">
        <v>1</v>
      </c>
      <c r="M285">
        <v>0.50864880002336499</v>
      </c>
      <c r="N285" t="s">
        <v>51</v>
      </c>
      <c r="O285">
        <v>4</v>
      </c>
      <c r="P285">
        <v>2</v>
      </c>
      <c r="Q285">
        <v>82</v>
      </c>
      <c r="R285">
        <v>12</v>
      </c>
      <c r="S285">
        <v>118.656369900039</v>
      </c>
      <c r="X285">
        <v>118.648218600021</v>
      </c>
      <c r="Y285">
        <v>118.656369900039</v>
      </c>
      <c r="Z285">
        <v>119.15624590002599</v>
      </c>
      <c r="AA285">
        <v>119.15624590002599</v>
      </c>
      <c r="AB285">
        <v>119.15624590002599</v>
      </c>
      <c r="AC285">
        <v>119.67650710005501</v>
      </c>
      <c r="AD285" t="s">
        <v>63</v>
      </c>
      <c r="AE285">
        <v>1</v>
      </c>
      <c r="AF285">
        <v>0.50864880002336499</v>
      </c>
      <c r="AG285" t="s">
        <v>51</v>
      </c>
      <c r="AK285" t="s">
        <v>91</v>
      </c>
      <c r="AL285">
        <v>1</v>
      </c>
      <c r="AM285" t="s">
        <v>80</v>
      </c>
      <c r="AN285" t="s">
        <v>43</v>
      </c>
      <c r="AP285" t="s">
        <v>44</v>
      </c>
      <c r="AQ285">
        <v>59.456390224006398</v>
      </c>
      <c r="AR285" t="s">
        <v>81</v>
      </c>
    </row>
    <row r="286" spans="1:44" x14ac:dyDescent="0.3">
      <c r="A286" t="s">
        <v>69</v>
      </c>
      <c r="B286" t="s">
        <v>49</v>
      </c>
      <c r="C286" s="2" t="str">
        <f t="shared" si="4"/>
        <v>Emotional-I</v>
      </c>
      <c r="D286">
        <v>0.94320430001243905</v>
      </c>
      <c r="E286" t="s">
        <v>59</v>
      </c>
      <c r="F286" t="s">
        <v>56</v>
      </c>
      <c r="G286" t="s">
        <v>57</v>
      </c>
      <c r="H286">
        <v>83</v>
      </c>
      <c r="I286">
        <v>3</v>
      </c>
      <c r="J286">
        <v>4</v>
      </c>
      <c r="K286" t="s">
        <v>57</v>
      </c>
      <c r="L286">
        <v>1</v>
      </c>
      <c r="M286">
        <v>0.90305409999564201</v>
      </c>
      <c r="N286" t="s">
        <v>51</v>
      </c>
      <c r="O286">
        <v>4</v>
      </c>
      <c r="P286">
        <v>3</v>
      </c>
      <c r="Q286">
        <v>83</v>
      </c>
      <c r="R286">
        <v>5</v>
      </c>
      <c r="S286">
        <v>119.68972090003</v>
      </c>
      <c r="X286">
        <v>119.679263200028</v>
      </c>
      <c r="Y286">
        <v>119.68972090003</v>
      </c>
      <c r="Z286">
        <v>120.189894600014</v>
      </c>
      <c r="AA286">
        <v>120.189894600014</v>
      </c>
      <c r="AB286">
        <v>120.189894600014</v>
      </c>
      <c r="AC286">
        <v>121.11086160002699</v>
      </c>
      <c r="AD286" t="s">
        <v>57</v>
      </c>
      <c r="AE286">
        <v>1</v>
      </c>
      <c r="AF286">
        <v>0.90305409999564201</v>
      </c>
      <c r="AG286" t="s">
        <v>51</v>
      </c>
      <c r="AK286" t="s">
        <v>91</v>
      </c>
      <c r="AL286">
        <v>1</v>
      </c>
      <c r="AM286" t="s">
        <v>80</v>
      </c>
      <c r="AN286" t="s">
        <v>43</v>
      </c>
      <c r="AP286" t="s">
        <v>44</v>
      </c>
      <c r="AQ286">
        <v>59.456390224006398</v>
      </c>
      <c r="AR286" t="s">
        <v>81</v>
      </c>
    </row>
    <row r="287" spans="1:44" x14ac:dyDescent="0.3">
      <c r="A287" t="s">
        <v>58</v>
      </c>
      <c r="B287" t="s">
        <v>49</v>
      </c>
      <c r="C287" s="2" t="str">
        <f t="shared" si="4"/>
        <v>Emotional-I</v>
      </c>
      <c r="D287">
        <v>0.88969849998829797</v>
      </c>
      <c r="E287" t="s">
        <v>59</v>
      </c>
      <c r="F287" t="s">
        <v>48</v>
      </c>
      <c r="G287" t="s">
        <v>50</v>
      </c>
      <c r="H287">
        <v>84</v>
      </c>
      <c r="I287">
        <v>4</v>
      </c>
      <c r="J287">
        <v>4</v>
      </c>
      <c r="K287" t="s">
        <v>50</v>
      </c>
      <c r="L287">
        <v>1</v>
      </c>
      <c r="M287">
        <v>0.81091459997696802</v>
      </c>
      <c r="N287" t="s">
        <v>51</v>
      </c>
      <c r="O287">
        <v>4</v>
      </c>
      <c r="P287">
        <v>4</v>
      </c>
      <c r="Q287">
        <v>84</v>
      </c>
      <c r="R287">
        <v>7</v>
      </c>
      <c r="S287">
        <v>121.12266060005599</v>
      </c>
      <c r="X287">
        <v>121.114720200013</v>
      </c>
      <c r="Y287">
        <v>121.12266060005599</v>
      </c>
      <c r="Z287">
        <v>121.623113300011</v>
      </c>
      <c r="AA287">
        <v>121.623113300011</v>
      </c>
      <c r="AB287">
        <v>121.623113300011</v>
      </c>
      <c r="AC287">
        <v>122.443285400047</v>
      </c>
      <c r="AD287" t="s">
        <v>50</v>
      </c>
      <c r="AE287">
        <v>1</v>
      </c>
      <c r="AF287">
        <v>0.81091459997696802</v>
      </c>
      <c r="AG287" t="s">
        <v>51</v>
      </c>
      <c r="AK287" t="s">
        <v>91</v>
      </c>
      <c r="AL287">
        <v>1</v>
      </c>
      <c r="AM287" t="s">
        <v>80</v>
      </c>
      <c r="AN287" t="s">
        <v>43</v>
      </c>
      <c r="AP287" t="s">
        <v>44</v>
      </c>
      <c r="AQ287">
        <v>59.456390224006398</v>
      </c>
      <c r="AR287" t="s">
        <v>81</v>
      </c>
    </row>
    <row r="288" spans="1:44" x14ac:dyDescent="0.3">
      <c r="A288" t="s">
        <v>67</v>
      </c>
      <c r="B288" t="s">
        <v>49</v>
      </c>
      <c r="C288" s="2" t="str">
        <f t="shared" si="4"/>
        <v>Neutral</v>
      </c>
      <c r="D288">
        <v>0.50705780001589995</v>
      </c>
      <c r="E288" t="s">
        <v>47</v>
      </c>
      <c r="F288" t="s">
        <v>53</v>
      </c>
      <c r="G288" t="s">
        <v>54</v>
      </c>
      <c r="H288">
        <v>85</v>
      </c>
      <c r="I288">
        <v>5</v>
      </c>
      <c r="J288">
        <v>4</v>
      </c>
      <c r="K288" t="s">
        <v>54</v>
      </c>
      <c r="L288">
        <v>1</v>
      </c>
      <c r="M288">
        <v>1.21671840001363</v>
      </c>
      <c r="N288" t="s">
        <v>51</v>
      </c>
      <c r="O288">
        <v>4</v>
      </c>
      <c r="P288">
        <v>5</v>
      </c>
      <c r="Q288">
        <v>85</v>
      </c>
      <c r="R288">
        <v>10</v>
      </c>
      <c r="S288">
        <v>122.456576200027</v>
      </c>
      <c r="X288">
        <v>122.44619300001</v>
      </c>
      <c r="Y288">
        <v>122.456576200027</v>
      </c>
      <c r="Z288">
        <v>122.956308200024</v>
      </c>
      <c r="AA288">
        <v>122.956308200024</v>
      </c>
      <c r="AB288">
        <v>122.956308200024</v>
      </c>
      <c r="AC288">
        <v>124.17651460005401</v>
      </c>
      <c r="AD288" t="s">
        <v>54</v>
      </c>
      <c r="AE288">
        <v>1</v>
      </c>
      <c r="AF288">
        <v>1.21671840001363</v>
      </c>
      <c r="AG288" t="s">
        <v>51</v>
      </c>
      <c r="AK288" t="s">
        <v>91</v>
      </c>
      <c r="AL288">
        <v>1</v>
      </c>
      <c r="AM288" t="s">
        <v>80</v>
      </c>
      <c r="AN288" t="s">
        <v>43</v>
      </c>
      <c r="AP288" t="s">
        <v>44</v>
      </c>
      <c r="AQ288">
        <v>59.456390224006398</v>
      </c>
      <c r="AR288" t="s">
        <v>81</v>
      </c>
    </row>
    <row r="289" spans="1:44" x14ac:dyDescent="0.3">
      <c r="A289" t="s">
        <v>77</v>
      </c>
      <c r="B289" t="s">
        <v>62</v>
      </c>
      <c r="C289" s="2" t="str">
        <f t="shared" si="4"/>
        <v>Emotional-C</v>
      </c>
      <c r="D289">
        <v>0.67520800000056602</v>
      </c>
      <c r="E289" t="s">
        <v>59</v>
      </c>
      <c r="F289" t="s">
        <v>61</v>
      </c>
      <c r="G289" t="s">
        <v>63</v>
      </c>
      <c r="H289">
        <v>86</v>
      </c>
      <c r="I289">
        <v>6</v>
      </c>
      <c r="J289">
        <v>4</v>
      </c>
      <c r="K289" t="s">
        <v>63</v>
      </c>
      <c r="L289">
        <v>1</v>
      </c>
      <c r="M289">
        <v>0.58055340003920697</v>
      </c>
      <c r="N289" t="s">
        <v>51</v>
      </c>
      <c r="O289">
        <v>4</v>
      </c>
      <c r="P289">
        <v>6</v>
      </c>
      <c r="Q289">
        <v>86</v>
      </c>
      <c r="R289">
        <v>4</v>
      </c>
      <c r="S289">
        <v>124.18981260003</v>
      </c>
      <c r="X289">
        <v>124.179380500048</v>
      </c>
      <c r="Y289">
        <v>124.18981260003</v>
      </c>
      <c r="Z289">
        <v>124.68973840004701</v>
      </c>
      <c r="AA289">
        <v>124.68973840004701</v>
      </c>
      <c r="AB289">
        <v>124.68973840004701</v>
      </c>
      <c r="AC289">
        <v>125.276417700049</v>
      </c>
      <c r="AD289" t="s">
        <v>63</v>
      </c>
      <c r="AE289">
        <v>1</v>
      </c>
      <c r="AF289">
        <v>0.58055340003920697</v>
      </c>
      <c r="AG289" t="s">
        <v>51</v>
      </c>
      <c r="AK289" t="s">
        <v>91</v>
      </c>
      <c r="AL289">
        <v>1</v>
      </c>
      <c r="AM289" t="s">
        <v>80</v>
      </c>
      <c r="AN289" t="s">
        <v>43</v>
      </c>
      <c r="AP289" t="s">
        <v>44</v>
      </c>
      <c r="AQ289">
        <v>59.456390224006398</v>
      </c>
      <c r="AR289" t="s">
        <v>81</v>
      </c>
    </row>
    <row r="290" spans="1:44" x14ac:dyDescent="0.3">
      <c r="A290" t="s">
        <v>64</v>
      </c>
      <c r="B290" t="s">
        <v>49</v>
      </c>
      <c r="C290" s="2" t="str">
        <f t="shared" si="4"/>
        <v>Neutral</v>
      </c>
      <c r="D290">
        <v>0.71770509995985698</v>
      </c>
      <c r="E290" t="s">
        <v>47</v>
      </c>
      <c r="F290" t="s">
        <v>53</v>
      </c>
      <c r="G290" t="s">
        <v>54</v>
      </c>
      <c r="H290">
        <v>87</v>
      </c>
      <c r="I290">
        <v>7</v>
      </c>
      <c r="J290">
        <v>4</v>
      </c>
      <c r="K290" t="s">
        <v>54</v>
      </c>
      <c r="L290">
        <v>1</v>
      </c>
      <c r="M290">
        <v>0.76223300001583905</v>
      </c>
      <c r="N290" t="s">
        <v>51</v>
      </c>
      <c r="O290">
        <v>4</v>
      </c>
      <c r="P290">
        <v>7</v>
      </c>
      <c r="Q290">
        <v>87</v>
      </c>
      <c r="R290">
        <v>18</v>
      </c>
      <c r="S290">
        <v>125.289239000005</v>
      </c>
      <c r="X290">
        <v>125.279030600038</v>
      </c>
      <c r="Y290">
        <v>125.289239000005</v>
      </c>
      <c r="Z290">
        <v>125.790055400051</v>
      </c>
      <c r="AA290">
        <v>125.790055400051</v>
      </c>
      <c r="AB290">
        <v>125.790055400051</v>
      </c>
      <c r="AC290">
        <v>126.55973950005099</v>
      </c>
      <c r="AD290" t="s">
        <v>54</v>
      </c>
      <c r="AE290">
        <v>1</v>
      </c>
      <c r="AF290">
        <v>0.76223300001583905</v>
      </c>
      <c r="AG290" t="s">
        <v>51</v>
      </c>
      <c r="AK290" t="s">
        <v>91</v>
      </c>
      <c r="AL290">
        <v>1</v>
      </c>
      <c r="AM290" t="s">
        <v>80</v>
      </c>
      <c r="AN290" t="s">
        <v>43</v>
      </c>
      <c r="AP290" t="s">
        <v>44</v>
      </c>
      <c r="AQ290">
        <v>59.456390224006398</v>
      </c>
      <c r="AR290" t="s">
        <v>81</v>
      </c>
    </row>
    <row r="291" spans="1:44" x14ac:dyDescent="0.3">
      <c r="A291" t="s">
        <v>78</v>
      </c>
      <c r="B291" t="s">
        <v>49</v>
      </c>
      <c r="C291" s="2" t="str">
        <f t="shared" si="4"/>
        <v>Neutral</v>
      </c>
      <c r="D291">
        <v>0.92051480000372898</v>
      </c>
      <c r="E291" t="s">
        <v>47</v>
      </c>
      <c r="F291" t="s">
        <v>56</v>
      </c>
      <c r="G291" t="s">
        <v>57</v>
      </c>
      <c r="H291">
        <v>88</v>
      </c>
      <c r="I291">
        <v>8</v>
      </c>
      <c r="J291">
        <v>4</v>
      </c>
      <c r="K291" t="s">
        <v>57</v>
      </c>
      <c r="L291">
        <v>1</v>
      </c>
      <c r="M291">
        <v>0.65434110001660795</v>
      </c>
      <c r="N291" t="s">
        <v>51</v>
      </c>
      <c r="O291">
        <v>4</v>
      </c>
      <c r="P291">
        <v>8</v>
      </c>
      <c r="Q291">
        <v>88</v>
      </c>
      <c r="R291">
        <v>17</v>
      </c>
      <c r="S291">
        <v>126.572864400048</v>
      </c>
      <c r="X291">
        <v>126.562631000007</v>
      </c>
      <c r="Y291">
        <v>126.572864400048</v>
      </c>
      <c r="Z291">
        <v>127.072403100028</v>
      </c>
      <c r="AA291">
        <v>127.072403100028</v>
      </c>
      <c r="AB291">
        <v>127.072403100028</v>
      </c>
      <c r="AC291">
        <v>127.74456620001</v>
      </c>
      <c r="AD291" t="s">
        <v>57</v>
      </c>
      <c r="AE291">
        <v>1</v>
      </c>
      <c r="AF291">
        <v>0.65434110001660795</v>
      </c>
      <c r="AG291" t="s">
        <v>51</v>
      </c>
      <c r="AK291" t="s">
        <v>91</v>
      </c>
      <c r="AL291">
        <v>1</v>
      </c>
      <c r="AM291" t="s">
        <v>80</v>
      </c>
      <c r="AN291" t="s">
        <v>43</v>
      </c>
      <c r="AP291" t="s">
        <v>44</v>
      </c>
      <c r="AQ291">
        <v>59.456390224006398</v>
      </c>
      <c r="AR291" t="s">
        <v>81</v>
      </c>
    </row>
    <row r="292" spans="1:44" x14ac:dyDescent="0.3">
      <c r="A292" t="s">
        <v>73</v>
      </c>
      <c r="B292" t="s">
        <v>49</v>
      </c>
      <c r="C292" s="2" t="str">
        <f t="shared" si="4"/>
        <v>Emotional-I</v>
      </c>
      <c r="D292">
        <v>1.1085071999695999</v>
      </c>
      <c r="E292" t="s">
        <v>59</v>
      </c>
      <c r="F292" t="s">
        <v>56</v>
      </c>
      <c r="G292" t="s">
        <v>57</v>
      </c>
      <c r="H292">
        <v>89</v>
      </c>
      <c r="I292">
        <v>9</v>
      </c>
      <c r="J292">
        <v>4</v>
      </c>
      <c r="K292" t="s">
        <v>57</v>
      </c>
      <c r="L292">
        <v>1</v>
      </c>
      <c r="M292">
        <v>0.48499070003162997</v>
      </c>
      <c r="N292" t="s">
        <v>51</v>
      </c>
      <c r="O292">
        <v>4</v>
      </c>
      <c r="P292">
        <v>9</v>
      </c>
      <c r="Q292">
        <v>89</v>
      </c>
      <c r="R292">
        <v>1</v>
      </c>
      <c r="S292">
        <v>127.756018400017</v>
      </c>
      <c r="X292">
        <v>127.74882830004201</v>
      </c>
      <c r="Y292">
        <v>127.756018400017</v>
      </c>
      <c r="Z292">
        <v>128.25560120004201</v>
      </c>
      <c r="AA292">
        <v>128.25560120004201</v>
      </c>
      <c r="AB292">
        <v>128.25560120004201</v>
      </c>
      <c r="AC292">
        <v>128.74393320002099</v>
      </c>
      <c r="AD292" t="s">
        <v>57</v>
      </c>
      <c r="AE292">
        <v>1</v>
      </c>
      <c r="AF292">
        <v>0.48499070003162997</v>
      </c>
      <c r="AG292" t="s">
        <v>51</v>
      </c>
      <c r="AK292" t="s">
        <v>91</v>
      </c>
      <c r="AL292">
        <v>1</v>
      </c>
      <c r="AM292" t="s">
        <v>80</v>
      </c>
      <c r="AN292" t="s">
        <v>43</v>
      </c>
      <c r="AP292" t="s">
        <v>44</v>
      </c>
      <c r="AQ292">
        <v>59.456390224006398</v>
      </c>
      <c r="AR292" t="s">
        <v>81</v>
      </c>
    </row>
    <row r="293" spans="1:44" x14ac:dyDescent="0.3">
      <c r="A293" t="s">
        <v>68</v>
      </c>
      <c r="B293" t="s">
        <v>49</v>
      </c>
      <c r="C293" s="2" t="str">
        <f t="shared" si="4"/>
        <v>Emotional-I</v>
      </c>
      <c r="D293">
        <v>1.08399229997303</v>
      </c>
      <c r="E293" t="s">
        <v>59</v>
      </c>
      <c r="F293" t="s">
        <v>53</v>
      </c>
      <c r="G293" t="s">
        <v>54</v>
      </c>
      <c r="H293">
        <v>90</v>
      </c>
      <c r="I293">
        <v>10</v>
      </c>
      <c r="J293">
        <v>4</v>
      </c>
      <c r="K293" t="s">
        <v>54</v>
      </c>
      <c r="L293">
        <v>1</v>
      </c>
      <c r="M293">
        <v>0.75169119995553002</v>
      </c>
      <c r="N293" t="s">
        <v>51</v>
      </c>
      <c r="O293">
        <v>4</v>
      </c>
      <c r="P293">
        <v>10</v>
      </c>
      <c r="Q293">
        <v>90</v>
      </c>
      <c r="R293">
        <v>6</v>
      </c>
      <c r="S293">
        <v>128.75620880001199</v>
      </c>
      <c r="X293">
        <v>128.74704560002999</v>
      </c>
      <c r="Y293">
        <v>128.75620880001199</v>
      </c>
      <c r="Z293">
        <v>129.25634270004201</v>
      </c>
      <c r="AA293">
        <v>129.25634270004201</v>
      </c>
      <c r="AB293">
        <v>129.25634270004201</v>
      </c>
      <c r="AC293">
        <v>130.009922900004</v>
      </c>
      <c r="AD293" t="s">
        <v>54</v>
      </c>
      <c r="AE293">
        <v>1</v>
      </c>
      <c r="AF293">
        <v>0.75169119995553002</v>
      </c>
      <c r="AG293" t="s">
        <v>51</v>
      </c>
      <c r="AK293" t="s">
        <v>91</v>
      </c>
      <c r="AL293">
        <v>1</v>
      </c>
      <c r="AM293" t="s">
        <v>80</v>
      </c>
      <c r="AN293" t="s">
        <v>43</v>
      </c>
      <c r="AP293" t="s">
        <v>44</v>
      </c>
      <c r="AQ293">
        <v>59.456390224006398</v>
      </c>
      <c r="AR293" t="s">
        <v>81</v>
      </c>
    </row>
    <row r="294" spans="1:44" x14ac:dyDescent="0.3">
      <c r="A294" t="s">
        <v>65</v>
      </c>
      <c r="B294" t="s">
        <v>49</v>
      </c>
      <c r="C294" s="2" t="str">
        <f t="shared" si="4"/>
        <v>Emotional-I</v>
      </c>
      <c r="D294">
        <v>0.70006210001883995</v>
      </c>
      <c r="E294" t="s">
        <v>59</v>
      </c>
      <c r="F294" t="s">
        <v>56</v>
      </c>
      <c r="G294" t="s">
        <v>57</v>
      </c>
      <c r="H294">
        <v>91</v>
      </c>
      <c r="I294">
        <v>11</v>
      </c>
      <c r="J294">
        <v>4</v>
      </c>
      <c r="K294" t="s">
        <v>57</v>
      </c>
      <c r="L294">
        <v>1</v>
      </c>
      <c r="M294">
        <v>0.78777059999993004</v>
      </c>
      <c r="N294" t="s">
        <v>51</v>
      </c>
      <c r="O294">
        <v>4</v>
      </c>
      <c r="P294">
        <v>11</v>
      </c>
      <c r="Q294">
        <v>91</v>
      </c>
      <c r="R294">
        <v>9</v>
      </c>
      <c r="S294">
        <v>130.02297790005099</v>
      </c>
      <c r="X294">
        <v>130.01278660003999</v>
      </c>
      <c r="Y294">
        <v>130.02297790005099</v>
      </c>
      <c r="Z294">
        <v>130.522669100028</v>
      </c>
      <c r="AA294">
        <v>130.522669100028</v>
      </c>
      <c r="AB294">
        <v>130.522669100028</v>
      </c>
      <c r="AC294">
        <v>131.32723850000099</v>
      </c>
      <c r="AD294" t="s">
        <v>57</v>
      </c>
      <c r="AE294">
        <v>1</v>
      </c>
      <c r="AF294">
        <v>0.78777059999993004</v>
      </c>
      <c r="AG294" t="s">
        <v>51</v>
      </c>
      <c r="AK294" t="s">
        <v>91</v>
      </c>
      <c r="AL294">
        <v>1</v>
      </c>
      <c r="AM294" t="s">
        <v>80</v>
      </c>
      <c r="AN294" t="s">
        <v>43</v>
      </c>
      <c r="AP294" t="s">
        <v>44</v>
      </c>
      <c r="AQ294">
        <v>59.456390224006398</v>
      </c>
      <c r="AR294" t="s">
        <v>81</v>
      </c>
    </row>
    <row r="295" spans="1:44" x14ac:dyDescent="0.3">
      <c r="A295" t="s">
        <v>74</v>
      </c>
      <c r="B295" t="s">
        <v>49</v>
      </c>
      <c r="C295" s="2" t="str">
        <f t="shared" si="4"/>
        <v>Neutral</v>
      </c>
      <c r="D295">
        <v>0.87709189997985904</v>
      </c>
      <c r="E295" t="s">
        <v>47</v>
      </c>
      <c r="F295" t="s">
        <v>48</v>
      </c>
      <c r="G295" t="s">
        <v>50</v>
      </c>
      <c r="H295">
        <v>92</v>
      </c>
      <c r="I295">
        <v>12</v>
      </c>
      <c r="J295">
        <v>4</v>
      </c>
      <c r="K295" t="s">
        <v>50</v>
      </c>
      <c r="L295">
        <v>1</v>
      </c>
      <c r="M295">
        <v>0.87392350001027796</v>
      </c>
      <c r="N295" t="s">
        <v>51</v>
      </c>
      <c r="O295">
        <v>4</v>
      </c>
      <c r="P295">
        <v>12</v>
      </c>
      <c r="Q295">
        <v>92</v>
      </c>
      <c r="R295">
        <v>11</v>
      </c>
      <c r="S295">
        <v>131.33947760000501</v>
      </c>
      <c r="X295">
        <v>131.33053190005</v>
      </c>
      <c r="Y295">
        <v>131.33947760000501</v>
      </c>
      <c r="Z295">
        <v>131.83862560003701</v>
      </c>
      <c r="AA295">
        <v>131.83862560003701</v>
      </c>
      <c r="AB295">
        <v>131.83862560003701</v>
      </c>
      <c r="AC295">
        <v>132.72655580000699</v>
      </c>
      <c r="AD295" t="s">
        <v>50</v>
      </c>
      <c r="AE295">
        <v>1</v>
      </c>
      <c r="AF295">
        <v>0.87392350001027796</v>
      </c>
      <c r="AG295" t="s">
        <v>51</v>
      </c>
      <c r="AK295" t="s">
        <v>91</v>
      </c>
      <c r="AL295">
        <v>1</v>
      </c>
      <c r="AM295" t="s">
        <v>80</v>
      </c>
      <c r="AN295" t="s">
        <v>43</v>
      </c>
      <c r="AP295" t="s">
        <v>44</v>
      </c>
      <c r="AQ295">
        <v>59.456390224006398</v>
      </c>
      <c r="AR295" t="s">
        <v>81</v>
      </c>
    </row>
    <row r="296" spans="1:44" x14ac:dyDescent="0.3">
      <c r="A296" t="s">
        <v>75</v>
      </c>
      <c r="B296" t="s">
        <v>49</v>
      </c>
      <c r="C296" s="2" t="str">
        <f t="shared" si="4"/>
        <v>Neutral</v>
      </c>
      <c r="D296">
        <v>0.84245870000449896</v>
      </c>
      <c r="E296" t="s">
        <v>47</v>
      </c>
      <c r="F296" t="s">
        <v>61</v>
      </c>
      <c r="G296" t="s">
        <v>63</v>
      </c>
      <c r="H296">
        <v>93</v>
      </c>
      <c r="I296">
        <v>13</v>
      </c>
      <c r="J296">
        <v>4</v>
      </c>
      <c r="K296" t="s">
        <v>63</v>
      </c>
      <c r="L296">
        <v>1</v>
      </c>
      <c r="M296">
        <v>0.66903950000414603</v>
      </c>
      <c r="N296" t="s">
        <v>51</v>
      </c>
      <c r="O296">
        <v>4</v>
      </c>
      <c r="P296">
        <v>13</v>
      </c>
      <c r="Q296">
        <v>93</v>
      </c>
      <c r="R296">
        <v>16</v>
      </c>
      <c r="S296">
        <v>132.73900100000901</v>
      </c>
      <c r="X296">
        <v>132.729339000012</v>
      </c>
      <c r="Y296">
        <v>132.73900100000901</v>
      </c>
      <c r="Z296">
        <v>133.23881480004599</v>
      </c>
      <c r="AA296">
        <v>133.23881480004599</v>
      </c>
      <c r="AB296">
        <v>133.23881480004599</v>
      </c>
      <c r="AC296">
        <v>133.91084630001501</v>
      </c>
      <c r="AD296" t="s">
        <v>63</v>
      </c>
      <c r="AE296">
        <v>1</v>
      </c>
      <c r="AF296">
        <v>0.66903950000414603</v>
      </c>
      <c r="AG296" t="s">
        <v>51</v>
      </c>
      <c r="AK296" t="s">
        <v>91</v>
      </c>
      <c r="AL296">
        <v>1</v>
      </c>
      <c r="AM296" t="s">
        <v>80</v>
      </c>
      <c r="AN296" t="s">
        <v>43</v>
      </c>
      <c r="AP296" t="s">
        <v>44</v>
      </c>
      <c r="AQ296">
        <v>59.456390224006398</v>
      </c>
      <c r="AR296" t="s">
        <v>81</v>
      </c>
    </row>
    <row r="297" spans="1:44" x14ac:dyDescent="0.3">
      <c r="A297" t="s">
        <v>72</v>
      </c>
      <c r="B297" t="s">
        <v>62</v>
      </c>
      <c r="C297" s="2" t="str">
        <f t="shared" si="4"/>
        <v>Emotional-C</v>
      </c>
      <c r="D297">
        <v>0.72768060001544599</v>
      </c>
      <c r="E297" t="s">
        <v>59</v>
      </c>
      <c r="F297" t="s">
        <v>61</v>
      </c>
      <c r="G297" t="s">
        <v>63</v>
      </c>
      <c r="H297">
        <v>94</v>
      </c>
      <c r="I297">
        <v>14</v>
      </c>
      <c r="J297">
        <v>4</v>
      </c>
      <c r="K297" t="s">
        <v>63</v>
      </c>
      <c r="L297">
        <v>1</v>
      </c>
      <c r="M297">
        <v>0.89887959999032296</v>
      </c>
      <c r="N297" t="s">
        <v>51</v>
      </c>
      <c r="O297">
        <v>4</v>
      </c>
      <c r="P297">
        <v>14</v>
      </c>
      <c r="Q297">
        <v>94</v>
      </c>
      <c r="R297">
        <v>8</v>
      </c>
      <c r="S297">
        <v>133.92305760004001</v>
      </c>
      <c r="X297">
        <v>133.914361900009</v>
      </c>
      <c r="Y297">
        <v>133.92305760004001</v>
      </c>
      <c r="Z297">
        <v>134.42294860002499</v>
      </c>
      <c r="AA297">
        <v>134.42294860002499</v>
      </c>
      <c r="AB297">
        <v>134.42294860002499</v>
      </c>
      <c r="AC297">
        <v>135.32728690002099</v>
      </c>
      <c r="AD297" t="s">
        <v>63</v>
      </c>
      <c r="AE297">
        <v>1</v>
      </c>
      <c r="AF297">
        <v>0.89887959999032296</v>
      </c>
      <c r="AG297" t="s">
        <v>51</v>
      </c>
      <c r="AK297" t="s">
        <v>91</v>
      </c>
      <c r="AL297">
        <v>1</v>
      </c>
      <c r="AM297" t="s">
        <v>80</v>
      </c>
      <c r="AN297" t="s">
        <v>43</v>
      </c>
      <c r="AP297" t="s">
        <v>44</v>
      </c>
      <c r="AQ297">
        <v>59.456390224006398</v>
      </c>
      <c r="AR297" t="s">
        <v>81</v>
      </c>
    </row>
    <row r="298" spans="1:44" x14ac:dyDescent="0.3">
      <c r="A298" t="s">
        <v>76</v>
      </c>
      <c r="B298" t="s">
        <v>49</v>
      </c>
      <c r="C298" s="2" t="str">
        <f t="shared" si="4"/>
        <v>Emotional-I</v>
      </c>
      <c r="D298">
        <v>0.76039930002298195</v>
      </c>
      <c r="E298" t="s">
        <v>59</v>
      </c>
      <c r="F298" t="s">
        <v>48</v>
      </c>
      <c r="G298" t="s">
        <v>50</v>
      </c>
      <c r="H298">
        <v>95</v>
      </c>
      <c r="I298">
        <v>15</v>
      </c>
      <c r="J298">
        <v>4</v>
      </c>
      <c r="K298" t="s">
        <v>50</v>
      </c>
      <c r="L298">
        <v>1</v>
      </c>
      <c r="M298">
        <v>1.2281358999898599</v>
      </c>
      <c r="N298" t="s">
        <v>51</v>
      </c>
      <c r="O298">
        <v>4</v>
      </c>
      <c r="P298">
        <v>15</v>
      </c>
      <c r="Q298">
        <v>95</v>
      </c>
      <c r="R298">
        <v>3</v>
      </c>
      <c r="S298">
        <v>135.33882370003201</v>
      </c>
      <c r="X298">
        <v>135.33038180001299</v>
      </c>
      <c r="Y298">
        <v>135.33882370003201</v>
      </c>
      <c r="Z298">
        <v>135.83905880001799</v>
      </c>
      <c r="AA298">
        <v>135.83905880001799</v>
      </c>
      <c r="AB298">
        <v>135.83905880001799</v>
      </c>
      <c r="AC298">
        <v>137.075802100007</v>
      </c>
      <c r="AD298" t="s">
        <v>50</v>
      </c>
      <c r="AE298">
        <v>1</v>
      </c>
      <c r="AF298">
        <v>1.2281358999898599</v>
      </c>
      <c r="AG298" t="s">
        <v>51</v>
      </c>
      <c r="AK298" t="s">
        <v>91</v>
      </c>
      <c r="AL298">
        <v>1</v>
      </c>
      <c r="AM298" t="s">
        <v>80</v>
      </c>
      <c r="AN298" t="s">
        <v>43</v>
      </c>
      <c r="AP298" t="s">
        <v>44</v>
      </c>
      <c r="AQ298">
        <v>59.456390224006398</v>
      </c>
      <c r="AR298" t="s">
        <v>81</v>
      </c>
    </row>
    <row r="299" spans="1:44" x14ac:dyDescent="0.3">
      <c r="A299" t="s">
        <v>71</v>
      </c>
      <c r="B299" t="s">
        <v>49</v>
      </c>
      <c r="C299" s="2" t="str">
        <f t="shared" si="4"/>
        <v>Neutral</v>
      </c>
      <c r="D299">
        <v>0.75049600005149797</v>
      </c>
      <c r="E299" t="s">
        <v>47</v>
      </c>
      <c r="F299" t="s">
        <v>48</v>
      </c>
      <c r="G299" t="s">
        <v>50</v>
      </c>
      <c r="H299">
        <v>96</v>
      </c>
      <c r="I299">
        <v>16</v>
      </c>
      <c r="J299">
        <v>4</v>
      </c>
      <c r="K299" t="s">
        <v>50</v>
      </c>
      <c r="L299">
        <v>1</v>
      </c>
      <c r="M299">
        <v>0.48114250000799003</v>
      </c>
      <c r="N299" t="s">
        <v>51</v>
      </c>
      <c r="O299">
        <v>4</v>
      </c>
      <c r="P299">
        <v>16</v>
      </c>
      <c r="Q299">
        <v>96</v>
      </c>
      <c r="R299">
        <v>15</v>
      </c>
      <c r="S299">
        <v>137.088552200002</v>
      </c>
      <c r="X299">
        <v>137.07883900002301</v>
      </c>
      <c r="Y299">
        <v>137.088552200002</v>
      </c>
      <c r="Z299">
        <v>137.58941490005199</v>
      </c>
      <c r="AA299">
        <v>137.58941490005199</v>
      </c>
      <c r="AB299">
        <v>137.58941490005199</v>
      </c>
      <c r="AC299">
        <v>138.07636690000001</v>
      </c>
      <c r="AD299" t="s">
        <v>50</v>
      </c>
      <c r="AE299">
        <v>1</v>
      </c>
      <c r="AF299">
        <v>0.48114250000799003</v>
      </c>
      <c r="AG299" t="s">
        <v>51</v>
      </c>
      <c r="AK299" t="s">
        <v>91</v>
      </c>
      <c r="AL299">
        <v>1</v>
      </c>
      <c r="AM299" t="s">
        <v>80</v>
      </c>
      <c r="AN299" t="s">
        <v>43</v>
      </c>
      <c r="AP299" t="s">
        <v>44</v>
      </c>
      <c r="AQ299">
        <v>59.456390224006398</v>
      </c>
      <c r="AR299" t="s">
        <v>81</v>
      </c>
    </row>
    <row r="300" spans="1:44" x14ac:dyDescent="0.3">
      <c r="A300" t="s">
        <v>55</v>
      </c>
      <c r="B300" t="s">
        <v>49</v>
      </c>
      <c r="C300" s="2" t="str">
        <f t="shared" si="4"/>
        <v>Neutral</v>
      </c>
      <c r="D300">
        <v>0.64106980001088198</v>
      </c>
      <c r="E300" t="s">
        <v>47</v>
      </c>
      <c r="F300" t="s">
        <v>56</v>
      </c>
      <c r="G300" t="s">
        <v>57</v>
      </c>
      <c r="H300">
        <v>97</v>
      </c>
      <c r="I300">
        <v>17</v>
      </c>
      <c r="J300">
        <v>4</v>
      </c>
      <c r="K300" t="s">
        <v>57</v>
      </c>
      <c r="L300">
        <v>1</v>
      </c>
      <c r="M300">
        <v>0.78444579994538799</v>
      </c>
      <c r="N300" t="s">
        <v>51</v>
      </c>
      <c r="O300">
        <v>4</v>
      </c>
      <c r="P300">
        <v>17</v>
      </c>
      <c r="Q300">
        <v>97</v>
      </c>
      <c r="R300">
        <v>13</v>
      </c>
      <c r="S300">
        <v>138.08886900002801</v>
      </c>
      <c r="X300">
        <v>138.079455099999</v>
      </c>
      <c r="Y300">
        <v>138.08886900002801</v>
      </c>
      <c r="Z300">
        <v>138.58864390000201</v>
      </c>
      <c r="AA300">
        <v>138.58864390000201</v>
      </c>
      <c r="AB300">
        <v>138.58864390000201</v>
      </c>
      <c r="AC300">
        <v>139.37578590004699</v>
      </c>
      <c r="AD300" t="s">
        <v>57</v>
      </c>
      <c r="AE300">
        <v>1</v>
      </c>
      <c r="AF300">
        <v>0.78444579994538799</v>
      </c>
      <c r="AG300" t="s">
        <v>51</v>
      </c>
      <c r="AK300" t="s">
        <v>91</v>
      </c>
      <c r="AL300">
        <v>1</v>
      </c>
      <c r="AM300" t="s">
        <v>80</v>
      </c>
      <c r="AN300" t="s">
        <v>43</v>
      </c>
      <c r="AP300" t="s">
        <v>44</v>
      </c>
      <c r="AQ300">
        <v>59.456390224006398</v>
      </c>
      <c r="AR300" t="s">
        <v>81</v>
      </c>
    </row>
    <row r="301" spans="1:44" x14ac:dyDescent="0.3">
      <c r="A301" t="s">
        <v>52</v>
      </c>
      <c r="B301" t="s">
        <v>49</v>
      </c>
      <c r="C301" s="2" t="str">
        <f t="shared" si="4"/>
        <v>Neutral</v>
      </c>
      <c r="D301">
        <v>0.78075699997134496</v>
      </c>
      <c r="E301" t="s">
        <v>47</v>
      </c>
      <c r="F301" t="s">
        <v>53</v>
      </c>
      <c r="G301" t="s">
        <v>54</v>
      </c>
      <c r="H301">
        <v>98</v>
      </c>
      <c r="I301">
        <v>18</v>
      </c>
      <c r="J301">
        <v>4</v>
      </c>
      <c r="K301" t="s">
        <v>54</v>
      </c>
      <c r="L301">
        <v>1</v>
      </c>
      <c r="M301">
        <v>0.79380789998685897</v>
      </c>
      <c r="N301" t="s">
        <v>51</v>
      </c>
      <c r="O301">
        <v>4</v>
      </c>
      <c r="P301">
        <v>18</v>
      </c>
      <c r="Q301">
        <v>98</v>
      </c>
      <c r="R301">
        <v>14</v>
      </c>
      <c r="S301">
        <v>139.388921400008</v>
      </c>
      <c r="X301">
        <v>139.379070000024</v>
      </c>
      <c r="Y301">
        <v>139.388921400008</v>
      </c>
      <c r="Z301">
        <v>139.89167660003201</v>
      </c>
      <c r="AA301">
        <v>139.89167660003201</v>
      </c>
      <c r="AB301">
        <v>139.89167660003201</v>
      </c>
      <c r="AC301">
        <v>140.69231050001599</v>
      </c>
      <c r="AD301" t="s">
        <v>54</v>
      </c>
      <c r="AE301">
        <v>1</v>
      </c>
      <c r="AF301">
        <v>0.79380789998685897</v>
      </c>
      <c r="AG301" t="s">
        <v>51</v>
      </c>
      <c r="AK301" t="s">
        <v>91</v>
      </c>
      <c r="AL301">
        <v>1</v>
      </c>
      <c r="AM301" t="s">
        <v>80</v>
      </c>
      <c r="AN301" t="s">
        <v>43</v>
      </c>
      <c r="AP301" t="s">
        <v>44</v>
      </c>
      <c r="AQ301">
        <v>59.456390224006398</v>
      </c>
      <c r="AR301" t="s">
        <v>81</v>
      </c>
    </row>
    <row r="302" spans="1:44" x14ac:dyDescent="0.3">
      <c r="A302" t="s">
        <v>46</v>
      </c>
      <c r="B302" t="s">
        <v>49</v>
      </c>
      <c r="C302" s="2" t="str">
        <f t="shared" si="4"/>
        <v>Neutral</v>
      </c>
      <c r="D302">
        <v>0.61075839999830295</v>
      </c>
      <c r="E302" t="s">
        <v>47</v>
      </c>
      <c r="F302" t="s">
        <v>48</v>
      </c>
      <c r="G302" t="s">
        <v>50</v>
      </c>
      <c r="H302">
        <v>99</v>
      </c>
      <c r="I302">
        <v>19</v>
      </c>
      <c r="J302">
        <v>4</v>
      </c>
      <c r="K302" t="s">
        <v>50</v>
      </c>
      <c r="L302">
        <v>1</v>
      </c>
      <c r="M302">
        <v>0.94320430001243905</v>
      </c>
      <c r="N302" t="s">
        <v>51</v>
      </c>
      <c r="O302">
        <v>4</v>
      </c>
      <c r="P302">
        <v>19</v>
      </c>
      <c r="Q302">
        <v>99</v>
      </c>
      <c r="R302">
        <v>19</v>
      </c>
      <c r="S302">
        <v>140.705200900032</v>
      </c>
      <c r="X302">
        <v>140.695047200017</v>
      </c>
      <c r="Y302">
        <v>140.705200900032</v>
      </c>
      <c r="Z302">
        <v>141.205282500013</v>
      </c>
      <c r="AA302">
        <v>141.205282500013</v>
      </c>
      <c r="AB302">
        <v>141.205282500013</v>
      </c>
      <c r="AC302">
        <v>142.15899830002999</v>
      </c>
      <c r="AD302" t="s">
        <v>50</v>
      </c>
      <c r="AE302">
        <v>1</v>
      </c>
      <c r="AF302">
        <v>0.94320430001243905</v>
      </c>
      <c r="AG302" t="s">
        <v>51</v>
      </c>
      <c r="AK302" t="s">
        <v>91</v>
      </c>
      <c r="AL302">
        <v>1</v>
      </c>
      <c r="AM302" t="s">
        <v>80</v>
      </c>
      <c r="AN302" t="s">
        <v>43</v>
      </c>
      <c r="AP302" t="s">
        <v>44</v>
      </c>
      <c r="AQ302">
        <v>59.456390224006398</v>
      </c>
      <c r="AR302" t="s">
        <v>81</v>
      </c>
    </row>
    <row r="303" spans="1:44" x14ac:dyDescent="0.3">
      <c r="A303" t="s">
        <v>52</v>
      </c>
      <c r="B303" t="s">
        <v>49</v>
      </c>
      <c r="C303" s="2" t="str">
        <f t="shared" si="4"/>
        <v>Neutral</v>
      </c>
      <c r="D303">
        <v>0.66439470002660495</v>
      </c>
      <c r="E303" t="s">
        <v>47</v>
      </c>
      <c r="F303" t="s">
        <v>53</v>
      </c>
      <c r="G303" t="s">
        <v>54</v>
      </c>
      <c r="H303">
        <v>100</v>
      </c>
      <c r="I303">
        <v>0</v>
      </c>
      <c r="J303">
        <v>5</v>
      </c>
      <c r="K303" t="s">
        <v>54</v>
      </c>
      <c r="L303">
        <v>1</v>
      </c>
      <c r="M303">
        <v>0.88969849998829797</v>
      </c>
      <c r="N303" t="s">
        <v>51</v>
      </c>
      <c r="O303">
        <v>5</v>
      </c>
      <c r="P303">
        <v>0</v>
      </c>
      <c r="Q303">
        <v>100</v>
      </c>
      <c r="R303">
        <v>14</v>
      </c>
      <c r="S303">
        <v>142.17197080003001</v>
      </c>
      <c r="X303">
        <v>142.16296070005001</v>
      </c>
      <c r="Y303">
        <v>142.17197080003001</v>
      </c>
      <c r="Z303">
        <v>142.67221680004101</v>
      </c>
      <c r="AA303">
        <v>142.67221680004101</v>
      </c>
      <c r="AB303">
        <v>142.67221680004101</v>
      </c>
      <c r="AC303">
        <v>143.57560540002299</v>
      </c>
      <c r="AD303" t="s">
        <v>54</v>
      </c>
      <c r="AE303">
        <v>1</v>
      </c>
      <c r="AF303">
        <v>0.88969849998829797</v>
      </c>
      <c r="AG303" t="s">
        <v>51</v>
      </c>
      <c r="AK303" t="s">
        <v>91</v>
      </c>
      <c r="AL303">
        <v>1</v>
      </c>
      <c r="AM303" t="s">
        <v>80</v>
      </c>
      <c r="AN303" t="s">
        <v>43</v>
      </c>
      <c r="AP303" t="s">
        <v>44</v>
      </c>
      <c r="AQ303">
        <v>59.456390224006398</v>
      </c>
      <c r="AR303" t="s">
        <v>81</v>
      </c>
    </row>
    <row r="304" spans="1:44" x14ac:dyDescent="0.3">
      <c r="A304" t="s">
        <v>64</v>
      </c>
      <c r="B304" t="s">
        <v>49</v>
      </c>
      <c r="C304" s="2" t="str">
        <f t="shared" si="4"/>
        <v>Neutral</v>
      </c>
      <c r="D304">
        <v>0.50935070001287297</v>
      </c>
      <c r="E304" t="s">
        <v>47</v>
      </c>
      <c r="F304" t="s">
        <v>53</v>
      </c>
      <c r="G304" t="s">
        <v>54</v>
      </c>
      <c r="H304">
        <v>101</v>
      </c>
      <c r="I304">
        <v>1</v>
      </c>
      <c r="J304">
        <v>5</v>
      </c>
      <c r="K304" t="s">
        <v>54</v>
      </c>
      <c r="L304">
        <v>1</v>
      </c>
      <c r="M304">
        <v>0.50705780001589995</v>
      </c>
      <c r="N304" t="s">
        <v>51</v>
      </c>
      <c r="O304">
        <v>5</v>
      </c>
      <c r="P304">
        <v>1</v>
      </c>
      <c r="Q304">
        <v>101</v>
      </c>
      <c r="R304">
        <v>18</v>
      </c>
      <c r="S304">
        <v>143.58880670001901</v>
      </c>
      <c r="X304">
        <v>143.57865080004501</v>
      </c>
      <c r="Y304">
        <v>143.58880670001901</v>
      </c>
      <c r="Z304">
        <v>144.08876640000301</v>
      </c>
      <c r="AA304">
        <v>144.08876640000301</v>
      </c>
      <c r="AB304">
        <v>144.08876640000301</v>
      </c>
      <c r="AC304">
        <v>144.60998740000599</v>
      </c>
      <c r="AD304" t="s">
        <v>54</v>
      </c>
      <c r="AE304">
        <v>1</v>
      </c>
      <c r="AF304">
        <v>0.50705780001589995</v>
      </c>
      <c r="AG304" t="s">
        <v>51</v>
      </c>
      <c r="AK304" t="s">
        <v>91</v>
      </c>
      <c r="AL304">
        <v>1</v>
      </c>
      <c r="AM304" t="s">
        <v>80</v>
      </c>
      <c r="AN304" t="s">
        <v>43</v>
      </c>
      <c r="AP304" t="s">
        <v>44</v>
      </c>
      <c r="AQ304">
        <v>59.456390224006398</v>
      </c>
      <c r="AR304" t="s">
        <v>81</v>
      </c>
    </row>
    <row r="305" spans="1:44" x14ac:dyDescent="0.3">
      <c r="A305" t="s">
        <v>69</v>
      </c>
      <c r="B305" t="s">
        <v>49</v>
      </c>
      <c r="C305" s="2" t="str">
        <f t="shared" si="4"/>
        <v>Emotional-I</v>
      </c>
      <c r="D305">
        <v>0.69650630000978697</v>
      </c>
      <c r="E305" t="s">
        <v>59</v>
      </c>
      <c r="F305" t="s">
        <v>56</v>
      </c>
      <c r="G305" t="s">
        <v>57</v>
      </c>
      <c r="H305">
        <v>102</v>
      </c>
      <c r="I305">
        <v>2</v>
      </c>
      <c r="J305">
        <v>5</v>
      </c>
      <c r="K305" t="s">
        <v>57</v>
      </c>
      <c r="L305">
        <v>1</v>
      </c>
      <c r="M305">
        <v>0.67520800000056602</v>
      </c>
      <c r="N305" t="s">
        <v>51</v>
      </c>
      <c r="O305">
        <v>5</v>
      </c>
      <c r="P305">
        <v>2</v>
      </c>
      <c r="Q305">
        <v>102</v>
      </c>
      <c r="R305">
        <v>5</v>
      </c>
      <c r="S305">
        <v>144.62199180002699</v>
      </c>
      <c r="X305">
        <v>144.61363790003799</v>
      </c>
      <c r="Y305">
        <v>144.62199180002699</v>
      </c>
      <c r="Z305">
        <v>145.12230540002901</v>
      </c>
      <c r="AA305">
        <v>145.12230540002901</v>
      </c>
      <c r="AB305">
        <v>145.12230540002901</v>
      </c>
      <c r="AC305">
        <v>145.80960460001299</v>
      </c>
      <c r="AD305" t="s">
        <v>57</v>
      </c>
      <c r="AE305">
        <v>1</v>
      </c>
      <c r="AF305">
        <v>0.67520800000056602</v>
      </c>
      <c r="AG305" t="s">
        <v>51</v>
      </c>
      <c r="AK305" t="s">
        <v>91</v>
      </c>
      <c r="AL305">
        <v>1</v>
      </c>
      <c r="AM305" t="s">
        <v>80</v>
      </c>
      <c r="AN305" t="s">
        <v>43</v>
      </c>
      <c r="AP305" t="s">
        <v>44</v>
      </c>
      <c r="AQ305">
        <v>59.456390224006398</v>
      </c>
      <c r="AR305" t="s">
        <v>81</v>
      </c>
    </row>
    <row r="306" spans="1:44" x14ac:dyDescent="0.3">
      <c r="A306" t="s">
        <v>75</v>
      </c>
      <c r="B306" t="s">
        <v>49</v>
      </c>
      <c r="C306" s="2" t="str">
        <f t="shared" si="4"/>
        <v>Neutral</v>
      </c>
      <c r="D306">
        <v>0.76956739998422496</v>
      </c>
      <c r="E306" t="s">
        <v>47</v>
      </c>
      <c r="F306" t="s">
        <v>61</v>
      </c>
      <c r="G306" t="s">
        <v>63</v>
      </c>
      <c r="H306">
        <v>103</v>
      </c>
      <c r="I306">
        <v>3</v>
      </c>
      <c r="J306">
        <v>5</v>
      </c>
      <c r="K306" t="s">
        <v>63</v>
      </c>
      <c r="L306">
        <v>1</v>
      </c>
      <c r="M306">
        <v>0.71770509995985698</v>
      </c>
      <c r="N306" t="s">
        <v>51</v>
      </c>
      <c r="O306">
        <v>5</v>
      </c>
      <c r="P306">
        <v>3</v>
      </c>
      <c r="Q306">
        <v>103</v>
      </c>
      <c r="R306">
        <v>16</v>
      </c>
      <c r="S306">
        <v>145.82197980000601</v>
      </c>
      <c r="X306">
        <v>145.81267370004201</v>
      </c>
      <c r="Y306">
        <v>145.82197980000601</v>
      </c>
      <c r="Z306">
        <v>146.322674400056</v>
      </c>
      <c r="AA306">
        <v>146.322674400056</v>
      </c>
      <c r="AB306">
        <v>146.322674400056</v>
      </c>
      <c r="AC306">
        <v>147.04325540002901</v>
      </c>
      <c r="AD306" t="s">
        <v>63</v>
      </c>
      <c r="AE306">
        <v>1</v>
      </c>
      <c r="AF306">
        <v>0.71770509995985698</v>
      </c>
      <c r="AG306" t="s">
        <v>51</v>
      </c>
      <c r="AK306" t="s">
        <v>91</v>
      </c>
      <c r="AL306">
        <v>1</v>
      </c>
      <c r="AM306" t="s">
        <v>80</v>
      </c>
      <c r="AN306" t="s">
        <v>43</v>
      </c>
      <c r="AP306" t="s">
        <v>44</v>
      </c>
      <c r="AQ306">
        <v>59.456390224006398</v>
      </c>
      <c r="AR306" t="s">
        <v>81</v>
      </c>
    </row>
    <row r="307" spans="1:44" x14ac:dyDescent="0.3">
      <c r="A307" t="s">
        <v>74</v>
      </c>
      <c r="B307" t="s">
        <v>49</v>
      </c>
      <c r="C307" s="2" t="str">
        <f t="shared" si="4"/>
        <v>Neutral</v>
      </c>
      <c r="D307">
        <v>0.46329659997718398</v>
      </c>
      <c r="E307" t="s">
        <v>47</v>
      </c>
      <c r="F307" t="s">
        <v>48</v>
      </c>
      <c r="G307" t="s">
        <v>50</v>
      </c>
      <c r="H307">
        <v>104</v>
      </c>
      <c r="I307">
        <v>4</v>
      </c>
      <c r="J307">
        <v>5</v>
      </c>
      <c r="K307" t="s">
        <v>50</v>
      </c>
      <c r="L307">
        <v>1</v>
      </c>
      <c r="M307">
        <v>0.92051480000372898</v>
      </c>
      <c r="N307" t="s">
        <v>51</v>
      </c>
      <c r="O307">
        <v>5</v>
      </c>
      <c r="P307">
        <v>4</v>
      </c>
      <c r="Q307">
        <v>104</v>
      </c>
      <c r="R307">
        <v>11</v>
      </c>
      <c r="S307">
        <v>147.05539810005499</v>
      </c>
      <c r="X307">
        <v>147.04602450004299</v>
      </c>
      <c r="Y307">
        <v>147.05539810005499</v>
      </c>
      <c r="Z307">
        <v>147.55497120000601</v>
      </c>
      <c r="AA307">
        <v>147.55497120000601</v>
      </c>
      <c r="AB307">
        <v>147.55497120000601</v>
      </c>
      <c r="AC307">
        <v>148.47652650001601</v>
      </c>
      <c r="AD307" t="s">
        <v>50</v>
      </c>
      <c r="AE307">
        <v>1</v>
      </c>
      <c r="AF307">
        <v>0.92051480000372898</v>
      </c>
      <c r="AG307" t="s">
        <v>51</v>
      </c>
      <c r="AK307" t="s">
        <v>91</v>
      </c>
      <c r="AL307">
        <v>1</v>
      </c>
      <c r="AM307" t="s">
        <v>80</v>
      </c>
      <c r="AN307" t="s">
        <v>43</v>
      </c>
      <c r="AP307" t="s">
        <v>44</v>
      </c>
      <c r="AQ307">
        <v>59.456390224006398</v>
      </c>
      <c r="AR307" t="s">
        <v>81</v>
      </c>
    </row>
    <row r="308" spans="1:44" x14ac:dyDescent="0.3">
      <c r="A308" t="s">
        <v>73</v>
      </c>
      <c r="B308" t="s">
        <v>49</v>
      </c>
      <c r="C308" s="2" t="str">
        <f t="shared" si="4"/>
        <v>Emotional-I</v>
      </c>
      <c r="D308">
        <v>1.0788416999857799</v>
      </c>
      <c r="E308" t="s">
        <v>59</v>
      </c>
      <c r="F308" t="s">
        <v>56</v>
      </c>
      <c r="G308" t="s">
        <v>57</v>
      </c>
      <c r="H308">
        <v>105</v>
      </c>
      <c r="I308">
        <v>5</v>
      </c>
      <c r="J308">
        <v>5</v>
      </c>
      <c r="K308" t="s">
        <v>57</v>
      </c>
      <c r="L308">
        <v>1</v>
      </c>
      <c r="M308">
        <v>1.1085071999695999</v>
      </c>
      <c r="N308" t="s">
        <v>51</v>
      </c>
      <c r="O308">
        <v>5</v>
      </c>
      <c r="P308">
        <v>5</v>
      </c>
      <c r="Q308">
        <v>105</v>
      </c>
      <c r="R308">
        <v>1</v>
      </c>
      <c r="S308">
        <v>148.488755400001</v>
      </c>
      <c r="X308">
        <v>148.47911730001201</v>
      </c>
      <c r="Y308">
        <v>148.488755400001</v>
      </c>
      <c r="Z308">
        <v>148.98837590002199</v>
      </c>
      <c r="AA308">
        <v>148.98837590002199</v>
      </c>
      <c r="AB308">
        <v>148.98837590002199</v>
      </c>
      <c r="AC308">
        <v>150.108746400044</v>
      </c>
      <c r="AD308" t="s">
        <v>57</v>
      </c>
      <c r="AE308">
        <v>1</v>
      </c>
      <c r="AF308">
        <v>1.1085071999695999</v>
      </c>
      <c r="AG308" t="s">
        <v>51</v>
      </c>
      <c r="AK308" t="s">
        <v>91</v>
      </c>
      <c r="AL308">
        <v>1</v>
      </c>
      <c r="AM308" t="s">
        <v>80</v>
      </c>
      <c r="AN308" t="s">
        <v>43</v>
      </c>
      <c r="AP308" t="s">
        <v>44</v>
      </c>
      <c r="AQ308">
        <v>59.456390224006398</v>
      </c>
      <c r="AR308" t="s">
        <v>81</v>
      </c>
    </row>
    <row r="309" spans="1:44" x14ac:dyDescent="0.3">
      <c r="A309" t="s">
        <v>71</v>
      </c>
      <c r="B309" t="s">
        <v>49</v>
      </c>
      <c r="C309" s="2" t="str">
        <f t="shared" si="4"/>
        <v>Neutral</v>
      </c>
      <c r="D309">
        <v>0.68130360002396595</v>
      </c>
      <c r="E309" t="s">
        <v>47</v>
      </c>
      <c r="F309" t="s">
        <v>48</v>
      </c>
      <c r="G309" t="s">
        <v>50</v>
      </c>
      <c r="H309">
        <v>106</v>
      </c>
      <c r="I309">
        <v>6</v>
      </c>
      <c r="J309">
        <v>5</v>
      </c>
      <c r="K309" t="s">
        <v>50</v>
      </c>
      <c r="L309">
        <v>1</v>
      </c>
      <c r="M309">
        <v>1.08399229997303</v>
      </c>
      <c r="N309" t="s">
        <v>51</v>
      </c>
      <c r="O309">
        <v>5</v>
      </c>
      <c r="P309">
        <v>6</v>
      </c>
      <c r="Q309">
        <v>106</v>
      </c>
      <c r="R309">
        <v>15</v>
      </c>
      <c r="S309">
        <v>150.121896399999</v>
      </c>
      <c r="X309">
        <v>150.111442300025</v>
      </c>
      <c r="Y309">
        <v>150.121896399999</v>
      </c>
      <c r="Z309">
        <v>150.62190850003299</v>
      </c>
      <c r="AA309">
        <v>150.62190850003299</v>
      </c>
      <c r="AB309">
        <v>150.62190850003299</v>
      </c>
      <c r="AC309">
        <v>151.70971510000501</v>
      </c>
      <c r="AD309" t="s">
        <v>50</v>
      </c>
      <c r="AE309">
        <v>1</v>
      </c>
      <c r="AF309">
        <v>1.08399229997303</v>
      </c>
      <c r="AG309" t="s">
        <v>51</v>
      </c>
      <c r="AK309" t="s">
        <v>91</v>
      </c>
      <c r="AL309">
        <v>1</v>
      </c>
      <c r="AM309" t="s">
        <v>80</v>
      </c>
      <c r="AN309" t="s">
        <v>43</v>
      </c>
      <c r="AP309" t="s">
        <v>44</v>
      </c>
      <c r="AQ309">
        <v>59.456390224006398</v>
      </c>
      <c r="AR309" t="s">
        <v>81</v>
      </c>
    </row>
    <row r="310" spans="1:44" x14ac:dyDescent="0.3">
      <c r="A310" t="s">
        <v>77</v>
      </c>
      <c r="B310" t="s">
        <v>62</v>
      </c>
      <c r="C310" s="2" t="str">
        <f t="shared" si="4"/>
        <v>Emotional-C</v>
      </c>
      <c r="D310">
        <v>0.82972819998394698</v>
      </c>
      <c r="E310" t="s">
        <v>59</v>
      </c>
      <c r="F310" t="s">
        <v>61</v>
      </c>
      <c r="G310" t="s">
        <v>63</v>
      </c>
      <c r="H310">
        <v>107</v>
      </c>
      <c r="I310">
        <v>7</v>
      </c>
      <c r="J310">
        <v>5</v>
      </c>
      <c r="K310" t="s">
        <v>63</v>
      </c>
      <c r="L310">
        <v>1</v>
      </c>
      <c r="M310">
        <v>0.70006210001883995</v>
      </c>
      <c r="N310" t="s">
        <v>51</v>
      </c>
      <c r="O310">
        <v>5</v>
      </c>
      <c r="P310">
        <v>7</v>
      </c>
      <c r="Q310">
        <v>107</v>
      </c>
      <c r="R310">
        <v>4</v>
      </c>
      <c r="S310">
        <v>151.72146600001699</v>
      </c>
      <c r="X310">
        <v>151.713228800043</v>
      </c>
      <c r="Y310">
        <v>151.72146600001699</v>
      </c>
      <c r="Z310">
        <v>152.22216370003201</v>
      </c>
      <c r="AA310">
        <v>152.22216370003201</v>
      </c>
      <c r="AB310">
        <v>152.22216370003201</v>
      </c>
      <c r="AC310">
        <v>152.92547760001599</v>
      </c>
      <c r="AD310" t="s">
        <v>63</v>
      </c>
      <c r="AE310">
        <v>1</v>
      </c>
      <c r="AF310">
        <v>0.70006210001883995</v>
      </c>
      <c r="AG310" t="s">
        <v>51</v>
      </c>
      <c r="AK310" t="s">
        <v>91</v>
      </c>
      <c r="AL310">
        <v>1</v>
      </c>
      <c r="AM310" t="s">
        <v>80</v>
      </c>
      <c r="AN310" t="s">
        <v>43</v>
      </c>
      <c r="AP310" t="s">
        <v>44</v>
      </c>
      <c r="AQ310">
        <v>59.456390224006398</v>
      </c>
      <c r="AR310" t="s">
        <v>81</v>
      </c>
    </row>
    <row r="311" spans="1:44" x14ac:dyDescent="0.3">
      <c r="A311" t="s">
        <v>76</v>
      </c>
      <c r="B311" t="s">
        <v>49</v>
      </c>
      <c r="C311" s="2" t="str">
        <f t="shared" si="4"/>
        <v>Emotional-I</v>
      </c>
      <c r="D311">
        <v>0.54726089996984195</v>
      </c>
      <c r="E311" t="s">
        <v>59</v>
      </c>
      <c r="F311" t="s">
        <v>48</v>
      </c>
      <c r="G311" t="s">
        <v>50</v>
      </c>
      <c r="H311">
        <v>108</v>
      </c>
      <c r="I311">
        <v>8</v>
      </c>
      <c r="J311">
        <v>5</v>
      </c>
      <c r="K311" t="s">
        <v>50</v>
      </c>
      <c r="L311">
        <v>1</v>
      </c>
      <c r="M311">
        <v>0.87709189997985904</v>
      </c>
      <c r="N311" t="s">
        <v>51</v>
      </c>
      <c r="O311">
        <v>5</v>
      </c>
      <c r="P311">
        <v>8</v>
      </c>
      <c r="Q311">
        <v>108</v>
      </c>
      <c r="R311">
        <v>3</v>
      </c>
      <c r="S311">
        <v>152.938180600001</v>
      </c>
      <c r="X311">
        <v>152.92814320005701</v>
      </c>
      <c r="Y311">
        <v>152.938180600001</v>
      </c>
      <c r="Z311">
        <v>153.43859300005701</v>
      </c>
      <c r="AA311">
        <v>153.43859300005701</v>
      </c>
      <c r="AB311">
        <v>153.43859300005701</v>
      </c>
      <c r="AC311">
        <v>154.325360200018</v>
      </c>
      <c r="AD311" t="s">
        <v>50</v>
      </c>
      <c r="AE311">
        <v>1</v>
      </c>
      <c r="AF311">
        <v>0.87709189997985904</v>
      </c>
      <c r="AG311" t="s">
        <v>51</v>
      </c>
      <c r="AK311" t="s">
        <v>91</v>
      </c>
      <c r="AL311">
        <v>1</v>
      </c>
      <c r="AM311" t="s">
        <v>80</v>
      </c>
      <c r="AN311" t="s">
        <v>43</v>
      </c>
      <c r="AP311" t="s">
        <v>44</v>
      </c>
      <c r="AQ311">
        <v>59.456390224006398</v>
      </c>
      <c r="AR311" t="s">
        <v>81</v>
      </c>
    </row>
    <row r="312" spans="1:44" x14ac:dyDescent="0.3">
      <c r="A312" t="s">
        <v>65</v>
      </c>
      <c r="B312" t="s">
        <v>49</v>
      </c>
      <c r="C312" s="2" t="str">
        <f t="shared" si="4"/>
        <v>Emotional-I</v>
      </c>
      <c r="D312">
        <v>0.49251139996340498</v>
      </c>
      <c r="E312" t="s">
        <v>59</v>
      </c>
      <c r="F312" t="s">
        <v>56</v>
      </c>
      <c r="G312" t="s">
        <v>57</v>
      </c>
      <c r="H312">
        <v>109</v>
      </c>
      <c r="I312">
        <v>9</v>
      </c>
      <c r="J312">
        <v>5</v>
      </c>
      <c r="K312" t="s">
        <v>57</v>
      </c>
      <c r="L312">
        <v>1</v>
      </c>
      <c r="M312">
        <v>0.84245870000449896</v>
      </c>
      <c r="N312" t="s">
        <v>51</v>
      </c>
      <c r="O312">
        <v>5</v>
      </c>
      <c r="P312">
        <v>9</v>
      </c>
      <c r="Q312">
        <v>109</v>
      </c>
      <c r="R312">
        <v>9</v>
      </c>
      <c r="S312">
        <v>154.33817290002401</v>
      </c>
      <c r="X312">
        <v>154.32909260003299</v>
      </c>
      <c r="Y312">
        <v>154.33817290002401</v>
      </c>
      <c r="Z312">
        <v>154.8383455</v>
      </c>
      <c r="AA312">
        <v>154.8383455</v>
      </c>
      <c r="AB312">
        <v>154.8383455</v>
      </c>
      <c r="AC312">
        <v>155.691526400041</v>
      </c>
      <c r="AD312" t="s">
        <v>57</v>
      </c>
      <c r="AE312">
        <v>1</v>
      </c>
      <c r="AF312">
        <v>0.84245870000449896</v>
      </c>
      <c r="AG312" t="s">
        <v>51</v>
      </c>
      <c r="AK312" t="s">
        <v>91</v>
      </c>
      <c r="AL312">
        <v>1</v>
      </c>
      <c r="AM312" t="s">
        <v>80</v>
      </c>
      <c r="AN312" t="s">
        <v>43</v>
      </c>
      <c r="AP312" t="s">
        <v>44</v>
      </c>
      <c r="AQ312">
        <v>59.456390224006398</v>
      </c>
      <c r="AR312" t="s">
        <v>81</v>
      </c>
    </row>
    <row r="313" spans="1:44" x14ac:dyDescent="0.3">
      <c r="A313" t="s">
        <v>67</v>
      </c>
      <c r="B313" t="s">
        <v>49</v>
      </c>
      <c r="C313" s="2" t="str">
        <f t="shared" si="4"/>
        <v>Neutral</v>
      </c>
      <c r="D313">
        <v>0.54339750000508502</v>
      </c>
      <c r="E313" t="s">
        <v>47</v>
      </c>
      <c r="F313" t="s">
        <v>53</v>
      </c>
      <c r="G313" t="s">
        <v>54</v>
      </c>
      <c r="H313">
        <v>110</v>
      </c>
      <c r="I313">
        <v>10</v>
      </c>
      <c r="J313">
        <v>5</v>
      </c>
      <c r="K313" t="s">
        <v>54</v>
      </c>
      <c r="L313">
        <v>1</v>
      </c>
      <c r="M313">
        <v>0.72768060001544599</v>
      </c>
      <c r="N313" t="s">
        <v>51</v>
      </c>
      <c r="O313">
        <v>5</v>
      </c>
      <c r="P313">
        <v>10</v>
      </c>
      <c r="Q313">
        <v>110</v>
      </c>
      <c r="R313">
        <v>10</v>
      </c>
      <c r="S313">
        <v>155.704882900055</v>
      </c>
      <c r="X313">
        <v>155.694339700043</v>
      </c>
      <c r="Y313">
        <v>155.704882900055</v>
      </c>
      <c r="Z313">
        <v>156.20490190002599</v>
      </c>
      <c r="AA313">
        <v>156.20490190002599</v>
      </c>
      <c r="AB313">
        <v>156.20490190002599</v>
      </c>
      <c r="AC313">
        <v>156.94148670003</v>
      </c>
      <c r="AD313" t="s">
        <v>54</v>
      </c>
      <c r="AE313">
        <v>1</v>
      </c>
      <c r="AF313">
        <v>0.72768060001544599</v>
      </c>
      <c r="AG313" t="s">
        <v>51</v>
      </c>
      <c r="AK313" t="s">
        <v>91</v>
      </c>
      <c r="AL313">
        <v>1</v>
      </c>
      <c r="AM313" t="s">
        <v>80</v>
      </c>
      <c r="AN313" t="s">
        <v>43</v>
      </c>
      <c r="AP313" t="s">
        <v>44</v>
      </c>
      <c r="AQ313">
        <v>59.456390224006398</v>
      </c>
      <c r="AR313" t="s">
        <v>81</v>
      </c>
    </row>
    <row r="314" spans="1:44" x14ac:dyDescent="0.3">
      <c r="A314" t="s">
        <v>78</v>
      </c>
      <c r="B314" t="s">
        <v>49</v>
      </c>
      <c r="C314" s="2" t="str">
        <f t="shared" si="4"/>
        <v>Neutral</v>
      </c>
      <c r="D314">
        <v>0.67262590001337197</v>
      </c>
      <c r="E314" t="s">
        <v>47</v>
      </c>
      <c r="F314" t="s">
        <v>56</v>
      </c>
      <c r="G314" t="s">
        <v>57</v>
      </c>
      <c r="H314">
        <v>111</v>
      </c>
      <c r="I314">
        <v>11</v>
      </c>
      <c r="J314">
        <v>5</v>
      </c>
      <c r="K314" t="s">
        <v>57</v>
      </c>
      <c r="L314">
        <v>1</v>
      </c>
      <c r="M314">
        <v>0.76039930002298195</v>
      </c>
      <c r="N314" t="s">
        <v>51</v>
      </c>
      <c r="O314">
        <v>5</v>
      </c>
      <c r="P314">
        <v>11</v>
      </c>
      <c r="Q314">
        <v>111</v>
      </c>
      <c r="R314">
        <v>17</v>
      </c>
      <c r="S314">
        <v>156.95473330002201</v>
      </c>
      <c r="X314">
        <v>156.945009000017</v>
      </c>
      <c r="Y314">
        <v>156.95473330002201</v>
      </c>
      <c r="Z314">
        <v>157.45489400002401</v>
      </c>
      <c r="AA314">
        <v>157.45489400002401</v>
      </c>
      <c r="AB314">
        <v>157.45489400002401</v>
      </c>
      <c r="AC314">
        <v>158.225017700053</v>
      </c>
      <c r="AD314" t="s">
        <v>57</v>
      </c>
      <c r="AE314">
        <v>1</v>
      </c>
      <c r="AF314">
        <v>0.76039930002298195</v>
      </c>
      <c r="AG314" t="s">
        <v>51</v>
      </c>
      <c r="AK314" t="s">
        <v>91</v>
      </c>
      <c r="AL314">
        <v>1</v>
      </c>
      <c r="AM314" t="s">
        <v>80</v>
      </c>
      <c r="AN314" t="s">
        <v>43</v>
      </c>
      <c r="AP314" t="s">
        <v>44</v>
      </c>
      <c r="AQ314">
        <v>59.456390224006398</v>
      </c>
      <c r="AR314" t="s">
        <v>81</v>
      </c>
    </row>
    <row r="315" spans="1:44" x14ac:dyDescent="0.3">
      <c r="A315" t="s">
        <v>58</v>
      </c>
      <c r="B315" t="s">
        <v>49</v>
      </c>
      <c r="C315" s="2" t="str">
        <f t="shared" si="4"/>
        <v>Emotional-I</v>
      </c>
      <c r="D315">
        <v>0.86609859997406602</v>
      </c>
      <c r="E315" t="s">
        <v>59</v>
      </c>
      <c r="F315" t="s">
        <v>48</v>
      </c>
      <c r="G315" t="s">
        <v>50</v>
      </c>
      <c r="H315">
        <v>112</v>
      </c>
      <c r="I315">
        <v>12</v>
      </c>
      <c r="J315">
        <v>5</v>
      </c>
      <c r="K315" t="s">
        <v>50</v>
      </c>
      <c r="L315">
        <v>1</v>
      </c>
      <c r="M315">
        <v>0.75049600005149797</v>
      </c>
      <c r="N315" t="s">
        <v>51</v>
      </c>
      <c r="O315">
        <v>5</v>
      </c>
      <c r="P315">
        <v>12</v>
      </c>
      <c r="Q315">
        <v>112</v>
      </c>
      <c r="R315">
        <v>7</v>
      </c>
      <c r="S315">
        <v>158.238417000044</v>
      </c>
      <c r="X315">
        <v>158.22785140003501</v>
      </c>
      <c r="Y315">
        <v>158.238417000044</v>
      </c>
      <c r="Z315">
        <v>158.73814660002199</v>
      </c>
      <c r="AA315">
        <v>158.73814660002199</v>
      </c>
      <c r="AB315">
        <v>158.73814660002199</v>
      </c>
      <c r="AC315">
        <v>159.49285780003899</v>
      </c>
      <c r="AD315" t="s">
        <v>50</v>
      </c>
      <c r="AE315">
        <v>1</v>
      </c>
      <c r="AF315">
        <v>0.75049600005149797</v>
      </c>
      <c r="AG315" t="s">
        <v>51</v>
      </c>
      <c r="AK315" t="s">
        <v>91</v>
      </c>
      <c r="AL315">
        <v>1</v>
      </c>
      <c r="AM315" t="s">
        <v>80</v>
      </c>
      <c r="AN315" t="s">
        <v>43</v>
      </c>
      <c r="AP315" t="s">
        <v>44</v>
      </c>
      <c r="AQ315">
        <v>59.456390224006398</v>
      </c>
      <c r="AR315" t="s">
        <v>81</v>
      </c>
    </row>
    <row r="316" spans="1:44" x14ac:dyDescent="0.3">
      <c r="A316" t="s">
        <v>46</v>
      </c>
      <c r="B316" t="s">
        <v>49</v>
      </c>
      <c r="C316" s="2" t="str">
        <f t="shared" si="4"/>
        <v>Neutral</v>
      </c>
      <c r="D316">
        <v>0.50555480003822595</v>
      </c>
      <c r="E316" t="s">
        <v>47</v>
      </c>
      <c r="F316" t="s">
        <v>48</v>
      </c>
      <c r="G316" t="s">
        <v>50</v>
      </c>
      <c r="H316">
        <v>113</v>
      </c>
      <c r="I316">
        <v>13</v>
      </c>
      <c r="J316">
        <v>5</v>
      </c>
      <c r="K316" t="s">
        <v>50</v>
      </c>
      <c r="L316">
        <v>1</v>
      </c>
      <c r="M316">
        <v>0.64106980001088198</v>
      </c>
      <c r="N316" t="s">
        <v>51</v>
      </c>
      <c r="O316">
        <v>5</v>
      </c>
      <c r="P316">
        <v>13</v>
      </c>
      <c r="Q316">
        <v>113</v>
      </c>
      <c r="R316">
        <v>19</v>
      </c>
      <c r="S316">
        <v>159.5047472</v>
      </c>
      <c r="X316">
        <v>159.495972600008</v>
      </c>
      <c r="Y316">
        <v>159.5047472</v>
      </c>
      <c r="Z316">
        <v>160.004677500051</v>
      </c>
      <c r="AA316">
        <v>160.004677500051</v>
      </c>
      <c r="AB316">
        <v>160.004677500051</v>
      </c>
      <c r="AC316">
        <v>160.65867460000999</v>
      </c>
      <c r="AD316" t="s">
        <v>50</v>
      </c>
      <c r="AE316">
        <v>1</v>
      </c>
      <c r="AF316">
        <v>0.64106980001088198</v>
      </c>
      <c r="AG316" t="s">
        <v>51</v>
      </c>
      <c r="AK316" t="s">
        <v>91</v>
      </c>
      <c r="AL316">
        <v>1</v>
      </c>
      <c r="AM316" t="s">
        <v>80</v>
      </c>
      <c r="AN316" t="s">
        <v>43</v>
      </c>
      <c r="AP316" t="s">
        <v>44</v>
      </c>
      <c r="AQ316">
        <v>59.456390224006398</v>
      </c>
      <c r="AR316" t="s">
        <v>81</v>
      </c>
    </row>
    <row r="317" spans="1:44" x14ac:dyDescent="0.3">
      <c r="A317" t="s">
        <v>68</v>
      </c>
      <c r="B317" t="s">
        <v>49</v>
      </c>
      <c r="C317" s="2" t="str">
        <f t="shared" si="4"/>
        <v>Emotional-I</v>
      </c>
      <c r="D317">
        <v>0.58312680001836203</v>
      </c>
      <c r="E317" t="s">
        <v>59</v>
      </c>
      <c r="F317" t="s">
        <v>53</v>
      </c>
      <c r="G317" t="s">
        <v>54</v>
      </c>
      <c r="H317">
        <v>114</v>
      </c>
      <c r="I317">
        <v>14</v>
      </c>
      <c r="J317">
        <v>5</v>
      </c>
      <c r="K317" t="s">
        <v>54</v>
      </c>
      <c r="L317">
        <v>1</v>
      </c>
      <c r="M317">
        <v>0.78075699997134496</v>
      </c>
      <c r="N317" t="s">
        <v>51</v>
      </c>
      <c r="O317">
        <v>5</v>
      </c>
      <c r="P317">
        <v>14</v>
      </c>
      <c r="Q317">
        <v>114</v>
      </c>
      <c r="R317">
        <v>6</v>
      </c>
      <c r="S317">
        <v>160.67120120004901</v>
      </c>
      <c r="X317">
        <v>160.66231070004801</v>
      </c>
      <c r="Y317">
        <v>160.67120120004901</v>
      </c>
      <c r="Z317">
        <v>161.171216300048</v>
      </c>
      <c r="AA317">
        <v>161.171216300048</v>
      </c>
      <c r="AB317">
        <v>161.171216300048</v>
      </c>
      <c r="AC317">
        <v>161.95898960001</v>
      </c>
      <c r="AD317" t="s">
        <v>54</v>
      </c>
      <c r="AE317">
        <v>1</v>
      </c>
      <c r="AF317">
        <v>0.78075699997134496</v>
      </c>
      <c r="AG317" t="s">
        <v>51</v>
      </c>
      <c r="AK317" t="s">
        <v>91</v>
      </c>
      <c r="AL317">
        <v>1</v>
      </c>
      <c r="AM317" t="s">
        <v>80</v>
      </c>
      <c r="AN317" t="s">
        <v>43</v>
      </c>
      <c r="AP317" t="s">
        <v>44</v>
      </c>
      <c r="AQ317">
        <v>59.456390224006398</v>
      </c>
      <c r="AR317" t="s">
        <v>81</v>
      </c>
    </row>
    <row r="318" spans="1:44" x14ac:dyDescent="0.3">
      <c r="A318" t="s">
        <v>55</v>
      </c>
      <c r="B318" t="s">
        <v>49</v>
      </c>
      <c r="C318" s="2" t="str">
        <f t="shared" si="4"/>
        <v>Neutral</v>
      </c>
      <c r="D318">
        <v>0.55244759999914095</v>
      </c>
      <c r="E318" t="s">
        <v>47</v>
      </c>
      <c r="F318" t="s">
        <v>56</v>
      </c>
      <c r="G318" t="s">
        <v>57</v>
      </c>
      <c r="H318">
        <v>115</v>
      </c>
      <c r="I318">
        <v>15</v>
      </c>
      <c r="J318">
        <v>5</v>
      </c>
      <c r="K318" t="s">
        <v>57</v>
      </c>
      <c r="L318">
        <v>1</v>
      </c>
      <c r="M318">
        <v>0.61075839999830295</v>
      </c>
      <c r="N318" t="s">
        <v>51</v>
      </c>
      <c r="O318">
        <v>5</v>
      </c>
      <c r="P318">
        <v>15</v>
      </c>
      <c r="Q318">
        <v>115</v>
      </c>
      <c r="R318">
        <v>13</v>
      </c>
      <c r="S318">
        <v>161.971753400051</v>
      </c>
      <c r="X318">
        <v>161.96254070004201</v>
      </c>
      <c r="Y318">
        <v>161.971753400051</v>
      </c>
      <c r="Z318">
        <v>162.47133860003601</v>
      </c>
      <c r="AA318">
        <v>162.47133860003601</v>
      </c>
      <c r="AB318">
        <v>162.47133860003601</v>
      </c>
      <c r="AC318">
        <v>163.09117580001401</v>
      </c>
      <c r="AD318" t="s">
        <v>57</v>
      </c>
      <c r="AE318">
        <v>1</v>
      </c>
      <c r="AF318">
        <v>0.61075839999830295</v>
      </c>
      <c r="AG318" t="s">
        <v>51</v>
      </c>
      <c r="AK318" t="s">
        <v>91</v>
      </c>
      <c r="AL318">
        <v>1</v>
      </c>
      <c r="AM318" t="s">
        <v>80</v>
      </c>
      <c r="AN318" t="s">
        <v>43</v>
      </c>
      <c r="AP318" t="s">
        <v>44</v>
      </c>
      <c r="AQ318">
        <v>59.456390224006398</v>
      </c>
      <c r="AR318" t="s">
        <v>81</v>
      </c>
    </row>
    <row r="319" spans="1:44" x14ac:dyDescent="0.3">
      <c r="A319" t="s">
        <v>72</v>
      </c>
      <c r="B319" t="s">
        <v>62</v>
      </c>
      <c r="C319" s="2" t="str">
        <f t="shared" si="4"/>
        <v>Emotional-C</v>
      </c>
      <c r="D319">
        <v>0.454715200001373</v>
      </c>
      <c r="E319" t="s">
        <v>59</v>
      </c>
      <c r="F319" t="s">
        <v>61</v>
      </c>
      <c r="G319" t="s">
        <v>63</v>
      </c>
      <c r="H319">
        <v>116</v>
      </c>
      <c r="I319">
        <v>16</v>
      </c>
      <c r="J319">
        <v>5</v>
      </c>
      <c r="K319" t="s">
        <v>63</v>
      </c>
      <c r="L319">
        <v>1</v>
      </c>
      <c r="M319">
        <v>0.66439470002660495</v>
      </c>
      <c r="N319" t="s">
        <v>51</v>
      </c>
      <c r="O319">
        <v>5</v>
      </c>
      <c r="P319">
        <v>16</v>
      </c>
      <c r="Q319">
        <v>116</v>
      </c>
      <c r="R319">
        <v>8</v>
      </c>
      <c r="S319">
        <v>163.10441780003001</v>
      </c>
      <c r="X319">
        <v>163.094386400014</v>
      </c>
      <c r="Y319">
        <v>163.10441780003001</v>
      </c>
      <c r="Z319">
        <v>163.60450960003001</v>
      </c>
      <c r="AA319">
        <v>163.60450960003001</v>
      </c>
      <c r="AB319">
        <v>163.60450960003001</v>
      </c>
      <c r="AC319">
        <v>164.27467390004301</v>
      </c>
      <c r="AD319" t="s">
        <v>63</v>
      </c>
      <c r="AE319">
        <v>1</v>
      </c>
      <c r="AF319">
        <v>0.66439470002660495</v>
      </c>
      <c r="AG319" t="s">
        <v>51</v>
      </c>
      <c r="AK319" t="s">
        <v>91</v>
      </c>
      <c r="AL319">
        <v>1</v>
      </c>
      <c r="AM319" t="s">
        <v>80</v>
      </c>
      <c r="AN319" t="s">
        <v>43</v>
      </c>
      <c r="AP319" t="s">
        <v>44</v>
      </c>
      <c r="AQ319">
        <v>59.456390224006398</v>
      </c>
      <c r="AR319" t="s">
        <v>81</v>
      </c>
    </row>
    <row r="320" spans="1:44" x14ac:dyDescent="0.3">
      <c r="A320" t="s">
        <v>60</v>
      </c>
      <c r="B320" t="s">
        <v>62</v>
      </c>
      <c r="C320" s="2" t="str">
        <f t="shared" si="4"/>
        <v>Emotional-C</v>
      </c>
      <c r="D320">
        <v>0.52072259999113102</v>
      </c>
      <c r="E320" t="s">
        <v>59</v>
      </c>
      <c r="F320" t="s">
        <v>61</v>
      </c>
      <c r="G320" t="s">
        <v>63</v>
      </c>
      <c r="H320">
        <v>117</v>
      </c>
      <c r="I320">
        <v>17</v>
      </c>
      <c r="J320">
        <v>5</v>
      </c>
      <c r="K320" t="s">
        <v>63</v>
      </c>
      <c r="L320">
        <v>1</v>
      </c>
      <c r="M320">
        <v>0.50935070001287297</v>
      </c>
      <c r="N320" t="s">
        <v>51</v>
      </c>
      <c r="O320">
        <v>5</v>
      </c>
      <c r="P320">
        <v>17</v>
      </c>
      <c r="Q320">
        <v>117</v>
      </c>
      <c r="R320">
        <v>0</v>
      </c>
      <c r="S320">
        <v>164.28775310004099</v>
      </c>
      <c r="X320">
        <v>164.27719780005199</v>
      </c>
      <c r="Y320">
        <v>164.28775310004099</v>
      </c>
      <c r="Z320">
        <v>164.78829510003499</v>
      </c>
      <c r="AA320">
        <v>164.78829510003499</v>
      </c>
      <c r="AB320">
        <v>164.78829510003499</v>
      </c>
      <c r="AC320">
        <v>165.30830020003401</v>
      </c>
      <c r="AD320" t="s">
        <v>63</v>
      </c>
      <c r="AE320">
        <v>1</v>
      </c>
      <c r="AF320">
        <v>0.50935070001287297</v>
      </c>
      <c r="AG320" t="s">
        <v>51</v>
      </c>
      <c r="AK320" t="s">
        <v>91</v>
      </c>
      <c r="AL320">
        <v>1</v>
      </c>
      <c r="AM320" t="s">
        <v>80</v>
      </c>
      <c r="AN320" t="s">
        <v>43</v>
      </c>
      <c r="AP320" t="s">
        <v>44</v>
      </c>
      <c r="AQ320">
        <v>59.456390224006398</v>
      </c>
      <c r="AR320" t="s">
        <v>81</v>
      </c>
    </row>
    <row r="321" spans="1:44" x14ac:dyDescent="0.3">
      <c r="A321" t="s">
        <v>70</v>
      </c>
      <c r="B321" t="s">
        <v>49</v>
      </c>
      <c r="C321" s="2" t="str">
        <f t="shared" si="4"/>
        <v>Emotional-I</v>
      </c>
      <c r="D321">
        <v>0.64283880003495097</v>
      </c>
      <c r="E321" t="s">
        <v>59</v>
      </c>
      <c r="F321" t="s">
        <v>53</v>
      </c>
      <c r="G321" t="s">
        <v>54</v>
      </c>
      <c r="H321">
        <v>118</v>
      </c>
      <c r="I321">
        <v>18</v>
      </c>
      <c r="J321">
        <v>5</v>
      </c>
      <c r="K321" t="s">
        <v>54</v>
      </c>
      <c r="L321">
        <v>1</v>
      </c>
      <c r="M321">
        <v>0.69650630000978697</v>
      </c>
      <c r="N321" t="s">
        <v>51</v>
      </c>
      <c r="O321">
        <v>5</v>
      </c>
      <c r="P321">
        <v>18</v>
      </c>
      <c r="Q321">
        <v>118</v>
      </c>
      <c r="R321">
        <v>2</v>
      </c>
      <c r="S321">
        <v>165.32170170004201</v>
      </c>
      <c r="X321">
        <v>165.31116450001699</v>
      </c>
      <c r="Y321">
        <v>165.32170170004201</v>
      </c>
      <c r="Z321">
        <v>165.822688600048</v>
      </c>
      <c r="AA321">
        <v>165.822688600048</v>
      </c>
      <c r="AB321">
        <v>165.822688600048</v>
      </c>
      <c r="AC321">
        <v>166.52584970003201</v>
      </c>
      <c r="AD321" t="s">
        <v>54</v>
      </c>
      <c r="AE321">
        <v>1</v>
      </c>
      <c r="AF321">
        <v>0.69650630000978697</v>
      </c>
      <c r="AG321" t="s">
        <v>51</v>
      </c>
      <c r="AK321" t="s">
        <v>91</v>
      </c>
      <c r="AL321">
        <v>1</v>
      </c>
      <c r="AM321" t="s">
        <v>80</v>
      </c>
      <c r="AN321" t="s">
        <v>43</v>
      </c>
      <c r="AP321" t="s">
        <v>44</v>
      </c>
      <c r="AQ321">
        <v>59.456390224006398</v>
      </c>
      <c r="AR321" t="s">
        <v>81</v>
      </c>
    </row>
    <row r="322" spans="1:44" x14ac:dyDescent="0.3">
      <c r="A322" t="s">
        <v>66</v>
      </c>
      <c r="B322" t="s">
        <v>49</v>
      </c>
      <c r="C322" s="2" t="str">
        <f t="shared" ref="C322:C385" si="5">IF(E322="neutral","Neutral",
IF(AND(E322="emotional",B322="C"),"Emotional-C",
IF(AND(E322="emotional",B322="I"),"Emotional-I","")))</f>
        <v>Neutral</v>
      </c>
      <c r="D322">
        <v>0.507485900016035</v>
      </c>
      <c r="E322" t="s">
        <v>47</v>
      </c>
      <c r="F322" t="s">
        <v>61</v>
      </c>
      <c r="G322" t="s">
        <v>63</v>
      </c>
      <c r="H322">
        <v>119</v>
      </c>
      <c r="I322">
        <v>19</v>
      </c>
      <c r="J322">
        <v>5</v>
      </c>
      <c r="K322" t="s">
        <v>63</v>
      </c>
      <c r="L322">
        <v>1</v>
      </c>
      <c r="M322">
        <v>0.76956739998422496</v>
      </c>
      <c r="N322" t="s">
        <v>51</v>
      </c>
      <c r="O322">
        <v>5</v>
      </c>
      <c r="P322">
        <v>19</v>
      </c>
      <c r="Q322">
        <v>119</v>
      </c>
      <c r="R322">
        <v>12</v>
      </c>
      <c r="S322">
        <v>166.537917400011</v>
      </c>
      <c r="X322">
        <v>166.52873950003399</v>
      </c>
      <c r="Y322">
        <v>166.537917400011</v>
      </c>
      <c r="Z322">
        <v>167.038161100004</v>
      </c>
      <c r="AA322">
        <v>167.038161100004</v>
      </c>
      <c r="AB322">
        <v>167.038161100004</v>
      </c>
      <c r="AC322">
        <v>167.808416200045</v>
      </c>
      <c r="AD322" t="s">
        <v>63</v>
      </c>
      <c r="AE322">
        <v>1</v>
      </c>
      <c r="AF322">
        <v>0.76956739998422496</v>
      </c>
      <c r="AG322" t="s">
        <v>51</v>
      </c>
      <c r="AK322" t="s">
        <v>91</v>
      </c>
      <c r="AL322">
        <v>1</v>
      </c>
      <c r="AM322" t="s">
        <v>80</v>
      </c>
      <c r="AN322" t="s">
        <v>43</v>
      </c>
      <c r="AP322" t="s">
        <v>44</v>
      </c>
      <c r="AQ322">
        <v>59.456390224006398</v>
      </c>
      <c r="AR322" t="s">
        <v>81</v>
      </c>
    </row>
    <row r="323" spans="1:44" x14ac:dyDescent="0.3">
      <c r="A323" t="s">
        <v>75</v>
      </c>
      <c r="B323" t="s">
        <v>49</v>
      </c>
      <c r="C323" s="2" t="str">
        <f t="shared" si="5"/>
        <v>Neutral</v>
      </c>
      <c r="D323">
        <v>0.51432749995728899</v>
      </c>
      <c r="E323" t="s">
        <v>47</v>
      </c>
      <c r="F323" t="s">
        <v>61</v>
      </c>
      <c r="G323" t="s">
        <v>63</v>
      </c>
      <c r="H323">
        <v>120</v>
      </c>
      <c r="I323">
        <v>0</v>
      </c>
      <c r="J323">
        <v>6</v>
      </c>
      <c r="K323" t="s">
        <v>63</v>
      </c>
      <c r="L323">
        <v>1</v>
      </c>
      <c r="M323">
        <v>0.46329659997718398</v>
      </c>
      <c r="N323" t="s">
        <v>51</v>
      </c>
      <c r="O323">
        <v>6</v>
      </c>
      <c r="P323">
        <v>0</v>
      </c>
      <c r="Q323">
        <v>120</v>
      </c>
      <c r="R323">
        <v>16</v>
      </c>
      <c r="S323">
        <v>167.82132940000099</v>
      </c>
      <c r="X323">
        <v>167.811090100032</v>
      </c>
      <c r="Y323">
        <v>167.82132940000099</v>
      </c>
      <c r="Z323">
        <v>168.32126290001901</v>
      </c>
      <c r="AA323">
        <v>168.32126290001901</v>
      </c>
      <c r="AB323">
        <v>168.32126290001901</v>
      </c>
      <c r="AC323">
        <v>168.79106300004</v>
      </c>
      <c r="AD323" t="s">
        <v>63</v>
      </c>
      <c r="AE323">
        <v>1</v>
      </c>
      <c r="AF323">
        <v>0.46329659997718398</v>
      </c>
      <c r="AG323" t="s">
        <v>51</v>
      </c>
      <c r="AK323" t="s">
        <v>91</v>
      </c>
      <c r="AL323">
        <v>1</v>
      </c>
      <c r="AM323" t="s">
        <v>80</v>
      </c>
      <c r="AN323" t="s">
        <v>43</v>
      </c>
      <c r="AP323" t="s">
        <v>44</v>
      </c>
      <c r="AQ323">
        <v>59.456390224006398</v>
      </c>
      <c r="AR323" t="s">
        <v>81</v>
      </c>
    </row>
    <row r="324" spans="1:44" hidden="1" x14ac:dyDescent="0.3">
      <c r="A324" t="s">
        <v>68</v>
      </c>
      <c r="B324" t="s">
        <v>49</v>
      </c>
      <c r="C324" s="2" t="str">
        <f t="shared" si="5"/>
        <v>Emotional-I</v>
      </c>
      <c r="D324">
        <v>0.73429559997748495</v>
      </c>
      <c r="E324" t="s">
        <v>59</v>
      </c>
      <c r="F324" t="s">
        <v>53</v>
      </c>
      <c r="G324" t="s">
        <v>54</v>
      </c>
      <c r="H324">
        <v>121</v>
      </c>
      <c r="I324">
        <v>1</v>
      </c>
      <c r="J324">
        <v>6</v>
      </c>
      <c r="K324" t="s">
        <v>50</v>
      </c>
      <c r="L324">
        <v>0</v>
      </c>
      <c r="M324">
        <v>0.60239409998757698</v>
      </c>
      <c r="N324" t="s">
        <v>51</v>
      </c>
      <c r="O324">
        <v>6</v>
      </c>
      <c r="P324">
        <v>1</v>
      </c>
      <c r="Q324">
        <v>121</v>
      </c>
      <c r="R324">
        <v>6</v>
      </c>
      <c r="S324">
        <v>168.80455740005701</v>
      </c>
      <c r="X324">
        <v>168.793713600025</v>
      </c>
      <c r="Y324">
        <v>168.80455740005701</v>
      </c>
      <c r="Z324">
        <v>169.30411910003701</v>
      </c>
      <c r="AA324">
        <v>169.30411910003701</v>
      </c>
      <c r="AB324">
        <v>169.30411910003701</v>
      </c>
      <c r="AC324">
        <v>169.90789170004399</v>
      </c>
      <c r="AD324" t="s">
        <v>50</v>
      </c>
      <c r="AE324">
        <v>0</v>
      </c>
      <c r="AF324">
        <v>0.60239409998757698</v>
      </c>
      <c r="AG324" t="s">
        <v>51</v>
      </c>
      <c r="AK324" t="s">
        <v>91</v>
      </c>
      <c r="AL324">
        <v>1</v>
      </c>
      <c r="AM324" t="s">
        <v>80</v>
      </c>
      <c r="AN324" t="s">
        <v>43</v>
      </c>
      <c r="AP324" t="s">
        <v>44</v>
      </c>
      <c r="AQ324">
        <v>59.456390224006398</v>
      </c>
      <c r="AR324" t="s">
        <v>81</v>
      </c>
    </row>
    <row r="325" spans="1:44" hidden="1" x14ac:dyDescent="0.3">
      <c r="A325" t="s">
        <v>70</v>
      </c>
      <c r="B325" t="s">
        <v>49</v>
      </c>
      <c r="C325" s="2" t="str">
        <f t="shared" si="5"/>
        <v>Emotional-I</v>
      </c>
      <c r="D325">
        <v>0.54356449999613599</v>
      </c>
      <c r="E325" t="s">
        <v>59</v>
      </c>
      <c r="F325" t="s">
        <v>53</v>
      </c>
      <c r="G325" t="s">
        <v>54</v>
      </c>
      <c r="H325">
        <v>122</v>
      </c>
      <c r="I325">
        <v>2</v>
      </c>
      <c r="J325">
        <v>6</v>
      </c>
      <c r="K325" t="s">
        <v>50</v>
      </c>
      <c r="L325">
        <v>0</v>
      </c>
      <c r="M325">
        <v>0.50514439999824301</v>
      </c>
      <c r="N325" t="s">
        <v>51</v>
      </c>
      <c r="O325">
        <v>6</v>
      </c>
      <c r="P325">
        <v>2</v>
      </c>
      <c r="Q325">
        <v>122</v>
      </c>
      <c r="R325">
        <v>2</v>
      </c>
      <c r="S325">
        <v>169.92130860005199</v>
      </c>
      <c r="X325">
        <v>169.91049269999999</v>
      </c>
      <c r="Y325">
        <v>169.92130860005199</v>
      </c>
      <c r="Z325">
        <v>170.42089440004199</v>
      </c>
      <c r="AA325">
        <v>170.42089440004199</v>
      </c>
      <c r="AB325">
        <v>170.42089440004199</v>
      </c>
      <c r="AC325">
        <v>170.94243829999999</v>
      </c>
      <c r="AD325" t="s">
        <v>50</v>
      </c>
      <c r="AE325">
        <v>0</v>
      </c>
      <c r="AF325">
        <v>0.50514439999824301</v>
      </c>
      <c r="AG325" t="s">
        <v>51</v>
      </c>
      <c r="AK325" t="s">
        <v>91</v>
      </c>
      <c r="AL325">
        <v>1</v>
      </c>
      <c r="AM325" t="s">
        <v>80</v>
      </c>
      <c r="AN325" t="s">
        <v>43</v>
      </c>
      <c r="AP325" t="s">
        <v>44</v>
      </c>
      <c r="AQ325">
        <v>59.456390224006398</v>
      </c>
      <c r="AR325" t="s">
        <v>81</v>
      </c>
    </row>
    <row r="326" spans="1:44" x14ac:dyDescent="0.3">
      <c r="A326" t="s">
        <v>58</v>
      </c>
      <c r="B326" t="s">
        <v>49</v>
      </c>
      <c r="C326" s="2" t="str">
        <f t="shared" si="5"/>
        <v>Emotional-I</v>
      </c>
      <c r="D326">
        <v>0.74851320002926502</v>
      </c>
      <c r="E326" t="s">
        <v>59</v>
      </c>
      <c r="F326" t="s">
        <v>48</v>
      </c>
      <c r="G326" t="s">
        <v>50</v>
      </c>
      <c r="H326">
        <v>123</v>
      </c>
      <c r="I326">
        <v>3</v>
      </c>
      <c r="J326">
        <v>6</v>
      </c>
      <c r="K326" t="s">
        <v>50</v>
      </c>
      <c r="L326">
        <v>1</v>
      </c>
      <c r="M326">
        <v>1.0788416999857799</v>
      </c>
      <c r="N326" t="s">
        <v>51</v>
      </c>
      <c r="O326">
        <v>6</v>
      </c>
      <c r="P326">
        <v>3</v>
      </c>
      <c r="Q326">
        <v>123</v>
      </c>
      <c r="R326">
        <v>7</v>
      </c>
      <c r="S326">
        <v>170.95418900000999</v>
      </c>
      <c r="X326">
        <v>170.946355400024</v>
      </c>
      <c r="Y326">
        <v>170.95418900000999</v>
      </c>
      <c r="Z326">
        <v>171.45473890000699</v>
      </c>
      <c r="AA326">
        <v>171.45473890000699</v>
      </c>
      <c r="AB326">
        <v>171.45473890000699</v>
      </c>
      <c r="AC326">
        <v>172.54106640000799</v>
      </c>
      <c r="AD326" t="s">
        <v>50</v>
      </c>
      <c r="AE326">
        <v>1</v>
      </c>
      <c r="AF326">
        <v>1.0788416999857799</v>
      </c>
      <c r="AG326" t="s">
        <v>51</v>
      </c>
      <c r="AK326" t="s">
        <v>91</v>
      </c>
      <c r="AL326">
        <v>1</v>
      </c>
      <c r="AM326" t="s">
        <v>80</v>
      </c>
      <c r="AN326" t="s">
        <v>43</v>
      </c>
      <c r="AP326" t="s">
        <v>44</v>
      </c>
      <c r="AQ326">
        <v>59.456390224006398</v>
      </c>
      <c r="AR326" t="s">
        <v>81</v>
      </c>
    </row>
    <row r="327" spans="1:44" x14ac:dyDescent="0.3">
      <c r="A327" t="s">
        <v>77</v>
      </c>
      <c r="B327" t="s">
        <v>62</v>
      </c>
      <c r="C327" s="2" t="str">
        <f t="shared" si="5"/>
        <v>Emotional-C</v>
      </c>
      <c r="D327">
        <v>0.71202279999852103</v>
      </c>
      <c r="E327" t="s">
        <v>59</v>
      </c>
      <c r="F327" t="s">
        <v>61</v>
      </c>
      <c r="G327" t="s">
        <v>63</v>
      </c>
      <c r="H327">
        <v>124</v>
      </c>
      <c r="I327">
        <v>4</v>
      </c>
      <c r="J327">
        <v>6</v>
      </c>
      <c r="K327" t="s">
        <v>63</v>
      </c>
      <c r="L327">
        <v>1</v>
      </c>
      <c r="M327">
        <v>0.68130360002396595</v>
      </c>
      <c r="N327" t="s">
        <v>51</v>
      </c>
      <c r="O327">
        <v>6</v>
      </c>
      <c r="P327">
        <v>4</v>
      </c>
      <c r="Q327">
        <v>124</v>
      </c>
      <c r="R327">
        <v>4</v>
      </c>
      <c r="S327">
        <v>172.553980000026</v>
      </c>
      <c r="X327">
        <v>172.543705100019</v>
      </c>
      <c r="Y327">
        <v>172.553980000026</v>
      </c>
      <c r="Z327">
        <v>173.05412560002799</v>
      </c>
      <c r="AA327">
        <v>173.05412560002799</v>
      </c>
      <c r="AB327">
        <v>173.05412560002799</v>
      </c>
      <c r="AC327">
        <v>173.74084290000599</v>
      </c>
      <c r="AD327" t="s">
        <v>63</v>
      </c>
      <c r="AE327">
        <v>1</v>
      </c>
      <c r="AF327">
        <v>0.68130360002396595</v>
      </c>
      <c r="AG327" t="s">
        <v>51</v>
      </c>
      <c r="AK327" t="s">
        <v>91</v>
      </c>
      <c r="AL327">
        <v>1</v>
      </c>
      <c r="AM327" t="s">
        <v>80</v>
      </c>
      <c r="AN327" t="s">
        <v>43</v>
      </c>
      <c r="AP327" t="s">
        <v>44</v>
      </c>
      <c r="AQ327">
        <v>59.456390224006398</v>
      </c>
      <c r="AR327" t="s">
        <v>81</v>
      </c>
    </row>
    <row r="328" spans="1:44" x14ac:dyDescent="0.3">
      <c r="A328" t="s">
        <v>60</v>
      </c>
      <c r="B328" t="s">
        <v>62</v>
      </c>
      <c r="C328" s="2" t="str">
        <f t="shared" si="5"/>
        <v>Emotional-C</v>
      </c>
      <c r="D328">
        <v>0.56940849998500198</v>
      </c>
      <c r="E328" t="s">
        <v>59</v>
      </c>
      <c r="F328" t="s">
        <v>61</v>
      </c>
      <c r="G328" t="s">
        <v>63</v>
      </c>
      <c r="H328">
        <v>125</v>
      </c>
      <c r="I328">
        <v>5</v>
      </c>
      <c r="J328">
        <v>6</v>
      </c>
      <c r="K328" t="s">
        <v>63</v>
      </c>
      <c r="L328">
        <v>1</v>
      </c>
      <c r="M328">
        <v>0.82972819998394698</v>
      </c>
      <c r="N328" t="s">
        <v>51</v>
      </c>
      <c r="O328">
        <v>6</v>
      </c>
      <c r="P328">
        <v>5</v>
      </c>
      <c r="Q328">
        <v>125</v>
      </c>
      <c r="R328">
        <v>0</v>
      </c>
      <c r="S328">
        <v>173.754229600017</v>
      </c>
      <c r="X328">
        <v>173.74324440001499</v>
      </c>
      <c r="Y328">
        <v>173.754229600017</v>
      </c>
      <c r="Z328">
        <v>174.254403600003</v>
      </c>
      <c r="AA328">
        <v>174.254403600003</v>
      </c>
      <c r="AB328">
        <v>174.254403600003</v>
      </c>
      <c r="AC328">
        <v>175.091267500014</v>
      </c>
      <c r="AD328" t="s">
        <v>63</v>
      </c>
      <c r="AE328">
        <v>1</v>
      </c>
      <c r="AF328">
        <v>0.82972819998394698</v>
      </c>
      <c r="AG328" t="s">
        <v>51</v>
      </c>
      <c r="AK328" t="s">
        <v>91</v>
      </c>
      <c r="AL328">
        <v>1</v>
      </c>
      <c r="AM328" t="s">
        <v>80</v>
      </c>
      <c r="AN328" t="s">
        <v>43</v>
      </c>
      <c r="AP328" t="s">
        <v>44</v>
      </c>
      <c r="AQ328">
        <v>59.456390224006398</v>
      </c>
      <c r="AR328" t="s">
        <v>81</v>
      </c>
    </row>
    <row r="329" spans="1:44" x14ac:dyDescent="0.3">
      <c r="A329" t="s">
        <v>46</v>
      </c>
      <c r="B329" t="s">
        <v>49</v>
      </c>
      <c r="C329" s="2" t="str">
        <f t="shared" si="5"/>
        <v>Neutral</v>
      </c>
      <c r="D329">
        <v>0.80841920000966605</v>
      </c>
      <c r="E329" t="s">
        <v>47</v>
      </c>
      <c r="F329" t="s">
        <v>48</v>
      </c>
      <c r="G329" t="s">
        <v>50</v>
      </c>
      <c r="H329">
        <v>126</v>
      </c>
      <c r="I329">
        <v>6</v>
      </c>
      <c r="J329">
        <v>6</v>
      </c>
      <c r="K329" t="s">
        <v>50</v>
      </c>
      <c r="L329">
        <v>1</v>
      </c>
      <c r="M329">
        <v>0.54726089996984195</v>
      </c>
      <c r="N329" t="s">
        <v>51</v>
      </c>
      <c r="O329">
        <v>6</v>
      </c>
      <c r="P329">
        <v>6</v>
      </c>
      <c r="Q329">
        <v>126</v>
      </c>
      <c r="R329">
        <v>19</v>
      </c>
      <c r="S329">
        <v>175.10402670002</v>
      </c>
      <c r="X329">
        <v>175.09391310001899</v>
      </c>
      <c r="Y329">
        <v>175.10402670002</v>
      </c>
      <c r="Z329">
        <v>175.603946800052</v>
      </c>
      <c r="AA329">
        <v>175.603946800052</v>
      </c>
      <c r="AB329">
        <v>175.603946800052</v>
      </c>
      <c r="AC329">
        <v>176.15877580002399</v>
      </c>
      <c r="AD329" t="s">
        <v>50</v>
      </c>
      <c r="AE329">
        <v>1</v>
      </c>
      <c r="AF329">
        <v>0.54726089996984195</v>
      </c>
      <c r="AG329" t="s">
        <v>51</v>
      </c>
      <c r="AK329" t="s">
        <v>91</v>
      </c>
      <c r="AL329">
        <v>1</v>
      </c>
      <c r="AM329" t="s">
        <v>80</v>
      </c>
      <c r="AN329" t="s">
        <v>43</v>
      </c>
      <c r="AP329" t="s">
        <v>44</v>
      </c>
      <c r="AQ329">
        <v>59.456390224006398</v>
      </c>
      <c r="AR329" t="s">
        <v>81</v>
      </c>
    </row>
    <row r="330" spans="1:44" x14ac:dyDescent="0.3">
      <c r="A330" t="s">
        <v>64</v>
      </c>
      <c r="B330" t="s">
        <v>49</v>
      </c>
      <c r="C330" s="2" t="str">
        <f t="shared" si="5"/>
        <v>Neutral</v>
      </c>
      <c r="D330">
        <v>0.96795240003848404</v>
      </c>
      <c r="E330" t="s">
        <v>47</v>
      </c>
      <c r="F330" t="s">
        <v>53</v>
      </c>
      <c r="G330" t="s">
        <v>54</v>
      </c>
      <c r="H330">
        <v>127</v>
      </c>
      <c r="I330">
        <v>7</v>
      </c>
      <c r="J330">
        <v>6</v>
      </c>
      <c r="K330" t="s">
        <v>54</v>
      </c>
      <c r="L330">
        <v>1</v>
      </c>
      <c r="M330">
        <v>0.49251139996340498</v>
      </c>
      <c r="N330" t="s">
        <v>51</v>
      </c>
      <c r="O330">
        <v>6</v>
      </c>
      <c r="P330">
        <v>7</v>
      </c>
      <c r="Q330">
        <v>127</v>
      </c>
      <c r="R330">
        <v>18</v>
      </c>
      <c r="S330">
        <v>176.17045510001401</v>
      </c>
      <c r="X330">
        <v>176.16177150001701</v>
      </c>
      <c r="Y330">
        <v>176.17045510001401</v>
      </c>
      <c r="Z330">
        <v>176.67062690004201</v>
      </c>
      <c r="AA330">
        <v>176.67062690004201</v>
      </c>
      <c r="AB330">
        <v>176.67062690004201</v>
      </c>
      <c r="AC330">
        <v>177.17429750005201</v>
      </c>
      <c r="AD330" t="s">
        <v>54</v>
      </c>
      <c r="AE330">
        <v>1</v>
      </c>
      <c r="AF330">
        <v>0.49251139996340498</v>
      </c>
      <c r="AG330" t="s">
        <v>51</v>
      </c>
      <c r="AK330" t="s">
        <v>91</v>
      </c>
      <c r="AL330">
        <v>1</v>
      </c>
      <c r="AM330" t="s">
        <v>80</v>
      </c>
      <c r="AN330" t="s">
        <v>43</v>
      </c>
      <c r="AP330" t="s">
        <v>44</v>
      </c>
      <c r="AQ330">
        <v>59.456390224006398</v>
      </c>
      <c r="AR330" t="s">
        <v>81</v>
      </c>
    </row>
    <row r="331" spans="1:44" x14ac:dyDescent="0.3">
      <c r="A331" t="s">
        <v>73</v>
      </c>
      <c r="B331" t="s">
        <v>49</v>
      </c>
      <c r="C331" s="2" t="str">
        <f t="shared" si="5"/>
        <v>Emotional-I</v>
      </c>
      <c r="D331">
        <v>0.62559200002578996</v>
      </c>
      <c r="E331" t="s">
        <v>59</v>
      </c>
      <c r="F331" t="s">
        <v>56</v>
      </c>
      <c r="G331" t="s">
        <v>57</v>
      </c>
      <c r="H331">
        <v>128</v>
      </c>
      <c r="I331">
        <v>8</v>
      </c>
      <c r="J331">
        <v>6</v>
      </c>
      <c r="K331" t="s">
        <v>57</v>
      </c>
      <c r="L331">
        <v>1</v>
      </c>
      <c r="M331">
        <v>0.54339750000508502</v>
      </c>
      <c r="N331" t="s">
        <v>51</v>
      </c>
      <c r="O331">
        <v>6</v>
      </c>
      <c r="P331">
        <v>8</v>
      </c>
      <c r="Q331">
        <v>128</v>
      </c>
      <c r="R331">
        <v>1</v>
      </c>
      <c r="S331">
        <v>177.187221700034</v>
      </c>
      <c r="X331">
        <v>177.176731600018</v>
      </c>
      <c r="Y331">
        <v>177.187221700034</v>
      </c>
      <c r="Z331">
        <v>177.687007700034</v>
      </c>
      <c r="AA331">
        <v>177.687007700034</v>
      </c>
      <c r="AB331">
        <v>177.687007700034</v>
      </c>
      <c r="AC331">
        <v>178.240613800007</v>
      </c>
      <c r="AD331" t="s">
        <v>57</v>
      </c>
      <c r="AE331">
        <v>1</v>
      </c>
      <c r="AF331">
        <v>0.54339750000508502</v>
      </c>
      <c r="AG331" t="s">
        <v>51</v>
      </c>
      <c r="AK331" t="s">
        <v>91</v>
      </c>
      <c r="AL331">
        <v>1</v>
      </c>
      <c r="AM331" t="s">
        <v>80</v>
      </c>
      <c r="AN331" t="s">
        <v>43</v>
      </c>
      <c r="AP331" t="s">
        <v>44</v>
      </c>
      <c r="AQ331">
        <v>59.456390224006398</v>
      </c>
      <c r="AR331" t="s">
        <v>81</v>
      </c>
    </row>
    <row r="332" spans="1:44" x14ac:dyDescent="0.3">
      <c r="A332" t="s">
        <v>72</v>
      </c>
      <c r="B332" t="s">
        <v>62</v>
      </c>
      <c r="C332" s="2" t="str">
        <f t="shared" si="5"/>
        <v>Emotional-C</v>
      </c>
      <c r="D332">
        <v>1.0002228000084801</v>
      </c>
      <c r="E332" t="s">
        <v>59</v>
      </c>
      <c r="F332" t="s">
        <v>61</v>
      </c>
      <c r="G332" t="s">
        <v>63</v>
      </c>
      <c r="H332">
        <v>129</v>
      </c>
      <c r="I332">
        <v>9</v>
      </c>
      <c r="J332">
        <v>6</v>
      </c>
      <c r="K332" t="s">
        <v>63</v>
      </c>
      <c r="L332">
        <v>1</v>
      </c>
      <c r="M332">
        <v>0.67262590001337197</v>
      </c>
      <c r="N332" t="s">
        <v>51</v>
      </c>
      <c r="O332">
        <v>6</v>
      </c>
      <c r="P332">
        <v>9</v>
      </c>
      <c r="Q332">
        <v>129</v>
      </c>
      <c r="R332">
        <v>8</v>
      </c>
      <c r="S332">
        <v>178.254276900028</v>
      </c>
      <c r="X332">
        <v>178.243689600029</v>
      </c>
      <c r="Y332">
        <v>178.254276900028</v>
      </c>
      <c r="Z332">
        <v>178.75358160003</v>
      </c>
      <c r="AA332">
        <v>178.75358160003</v>
      </c>
      <c r="AB332">
        <v>178.75358160003</v>
      </c>
      <c r="AC332">
        <v>179.442752600007</v>
      </c>
      <c r="AD332" t="s">
        <v>63</v>
      </c>
      <c r="AE332">
        <v>1</v>
      </c>
      <c r="AF332">
        <v>0.67262590001337197</v>
      </c>
      <c r="AG332" t="s">
        <v>51</v>
      </c>
      <c r="AK332" t="s">
        <v>91</v>
      </c>
      <c r="AL332">
        <v>1</v>
      </c>
      <c r="AM332" t="s">
        <v>80</v>
      </c>
      <c r="AN332" t="s">
        <v>43</v>
      </c>
      <c r="AP332" t="s">
        <v>44</v>
      </c>
      <c r="AQ332">
        <v>59.456390224006398</v>
      </c>
      <c r="AR332" t="s">
        <v>81</v>
      </c>
    </row>
    <row r="333" spans="1:44" x14ac:dyDescent="0.3">
      <c r="A333" t="s">
        <v>76</v>
      </c>
      <c r="B333" t="s">
        <v>49</v>
      </c>
      <c r="C333" s="2" t="str">
        <f t="shared" si="5"/>
        <v>Emotional-I</v>
      </c>
      <c r="D333">
        <v>0.77209490002132897</v>
      </c>
      <c r="E333" t="s">
        <v>59</v>
      </c>
      <c r="F333" t="s">
        <v>48</v>
      </c>
      <c r="G333" t="s">
        <v>50</v>
      </c>
      <c r="H333">
        <v>130</v>
      </c>
      <c r="I333">
        <v>10</v>
      </c>
      <c r="J333">
        <v>6</v>
      </c>
      <c r="K333" t="s">
        <v>50</v>
      </c>
      <c r="L333">
        <v>1</v>
      </c>
      <c r="M333">
        <v>0.86609859997406602</v>
      </c>
      <c r="N333" t="s">
        <v>51</v>
      </c>
      <c r="O333">
        <v>6</v>
      </c>
      <c r="P333">
        <v>10</v>
      </c>
      <c r="Q333">
        <v>130</v>
      </c>
      <c r="R333">
        <v>3</v>
      </c>
      <c r="S333">
        <v>179.45405930001201</v>
      </c>
      <c r="X333">
        <v>179.44588280003501</v>
      </c>
      <c r="Y333">
        <v>179.45405930001201</v>
      </c>
      <c r="Z333">
        <v>179.95383660000499</v>
      </c>
      <c r="AA333">
        <v>179.95383660000499</v>
      </c>
      <c r="AB333">
        <v>179.95383660000499</v>
      </c>
      <c r="AC333">
        <v>180.82419670000601</v>
      </c>
      <c r="AD333" t="s">
        <v>50</v>
      </c>
      <c r="AE333">
        <v>1</v>
      </c>
      <c r="AF333">
        <v>0.86609859997406602</v>
      </c>
      <c r="AG333" t="s">
        <v>51</v>
      </c>
      <c r="AK333" t="s">
        <v>91</v>
      </c>
      <c r="AL333">
        <v>1</v>
      </c>
      <c r="AM333" t="s">
        <v>80</v>
      </c>
      <c r="AN333" t="s">
        <v>43</v>
      </c>
      <c r="AP333" t="s">
        <v>44</v>
      </c>
      <c r="AQ333">
        <v>59.456390224006398</v>
      </c>
      <c r="AR333" t="s">
        <v>81</v>
      </c>
    </row>
    <row r="334" spans="1:44" x14ac:dyDescent="0.3">
      <c r="A334" t="s">
        <v>74</v>
      </c>
      <c r="B334" t="s">
        <v>49</v>
      </c>
      <c r="C334" s="2" t="str">
        <f t="shared" si="5"/>
        <v>Neutral</v>
      </c>
      <c r="D334">
        <v>0.47586870001396098</v>
      </c>
      <c r="E334" t="s">
        <v>47</v>
      </c>
      <c r="F334" t="s">
        <v>48</v>
      </c>
      <c r="G334" t="s">
        <v>50</v>
      </c>
      <c r="H334">
        <v>131</v>
      </c>
      <c r="I334">
        <v>11</v>
      </c>
      <c r="J334">
        <v>6</v>
      </c>
      <c r="K334" t="s">
        <v>50</v>
      </c>
      <c r="L334">
        <v>1</v>
      </c>
      <c r="M334">
        <v>0.50555480003822595</v>
      </c>
      <c r="N334" t="s">
        <v>51</v>
      </c>
      <c r="O334">
        <v>6</v>
      </c>
      <c r="P334">
        <v>11</v>
      </c>
      <c r="Q334">
        <v>131</v>
      </c>
      <c r="R334">
        <v>11</v>
      </c>
      <c r="S334">
        <v>180.83706000004801</v>
      </c>
      <c r="X334">
        <v>180.827089300029</v>
      </c>
      <c r="Y334">
        <v>180.83706000004801</v>
      </c>
      <c r="Z334">
        <v>181.33715550001901</v>
      </c>
      <c r="AA334">
        <v>181.33715550001901</v>
      </c>
      <c r="AB334">
        <v>181.33715550001901</v>
      </c>
      <c r="AC334">
        <v>181.85789330000901</v>
      </c>
      <c r="AD334" t="s">
        <v>50</v>
      </c>
      <c r="AE334">
        <v>1</v>
      </c>
      <c r="AF334">
        <v>0.50555480003822595</v>
      </c>
      <c r="AG334" t="s">
        <v>51</v>
      </c>
      <c r="AK334" t="s">
        <v>91</v>
      </c>
      <c r="AL334">
        <v>1</v>
      </c>
      <c r="AM334" t="s">
        <v>80</v>
      </c>
      <c r="AN334" t="s">
        <v>43</v>
      </c>
      <c r="AP334" t="s">
        <v>44</v>
      </c>
      <c r="AQ334">
        <v>59.456390224006398</v>
      </c>
      <c r="AR334" t="s">
        <v>81</v>
      </c>
    </row>
    <row r="335" spans="1:44" x14ac:dyDescent="0.3">
      <c r="A335" t="s">
        <v>65</v>
      </c>
      <c r="B335" t="s">
        <v>49</v>
      </c>
      <c r="C335" s="2" t="str">
        <f t="shared" si="5"/>
        <v>Emotional-I</v>
      </c>
      <c r="D335">
        <v>0.53532889997586597</v>
      </c>
      <c r="E335" t="s">
        <v>59</v>
      </c>
      <c r="F335" t="s">
        <v>56</v>
      </c>
      <c r="G335" t="s">
        <v>57</v>
      </c>
      <c r="H335">
        <v>132</v>
      </c>
      <c r="I335">
        <v>12</v>
      </c>
      <c r="J335">
        <v>6</v>
      </c>
      <c r="K335" t="s">
        <v>57</v>
      </c>
      <c r="L335">
        <v>1</v>
      </c>
      <c r="M335">
        <v>0.58312680001836203</v>
      </c>
      <c r="N335" t="s">
        <v>51</v>
      </c>
      <c r="O335">
        <v>6</v>
      </c>
      <c r="P335">
        <v>12</v>
      </c>
      <c r="Q335">
        <v>132</v>
      </c>
      <c r="R335">
        <v>9</v>
      </c>
      <c r="S335">
        <v>181.87041350000001</v>
      </c>
      <c r="X335">
        <v>181.860652900009</v>
      </c>
      <c r="Y335">
        <v>181.87041350000001</v>
      </c>
      <c r="Z335">
        <v>182.370549200044</v>
      </c>
      <c r="AA335">
        <v>182.370549200044</v>
      </c>
      <c r="AB335">
        <v>182.370549200044</v>
      </c>
      <c r="AC335">
        <v>182.957246900012</v>
      </c>
      <c r="AD335" t="s">
        <v>57</v>
      </c>
      <c r="AE335">
        <v>1</v>
      </c>
      <c r="AF335">
        <v>0.58312680001836203</v>
      </c>
      <c r="AG335" t="s">
        <v>51</v>
      </c>
      <c r="AK335" t="s">
        <v>91</v>
      </c>
      <c r="AL335">
        <v>1</v>
      </c>
      <c r="AM335" t="s">
        <v>80</v>
      </c>
      <c r="AN335" t="s">
        <v>43</v>
      </c>
      <c r="AP335" t="s">
        <v>44</v>
      </c>
      <c r="AQ335">
        <v>59.456390224006398</v>
      </c>
      <c r="AR335" t="s">
        <v>81</v>
      </c>
    </row>
    <row r="336" spans="1:44" x14ac:dyDescent="0.3">
      <c r="A336" t="s">
        <v>69</v>
      </c>
      <c r="B336" t="s">
        <v>49</v>
      </c>
      <c r="C336" s="2" t="str">
        <f t="shared" si="5"/>
        <v>Emotional-I</v>
      </c>
      <c r="D336">
        <v>0.55092220002552394</v>
      </c>
      <c r="E336" t="s">
        <v>59</v>
      </c>
      <c r="F336" t="s">
        <v>56</v>
      </c>
      <c r="G336" t="s">
        <v>57</v>
      </c>
      <c r="H336">
        <v>133</v>
      </c>
      <c r="I336">
        <v>13</v>
      </c>
      <c r="J336">
        <v>6</v>
      </c>
      <c r="K336" t="s">
        <v>57</v>
      </c>
      <c r="L336">
        <v>1</v>
      </c>
      <c r="M336">
        <v>0.55244759999914095</v>
      </c>
      <c r="N336" t="s">
        <v>51</v>
      </c>
      <c r="O336">
        <v>6</v>
      </c>
      <c r="P336">
        <v>13</v>
      </c>
      <c r="Q336">
        <v>133</v>
      </c>
      <c r="R336">
        <v>5</v>
      </c>
      <c r="S336">
        <v>182.97031830000901</v>
      </c>
      <c r="X336">
        <v>182.96001880004701</v>
      </c>
      <c r="Y336">
        <v>182.97031830000901</v>
      </c>
      <c r="Z336">
        <v>183.47012540005301</v>
      </c>
      <c r="AA336">
        <v>183.47012540005301</v>
      </c>
      <c r="AB336">
        <v>183.47012540005301</v>
      </c>
      <c r="AC336">
        <v>184.024327600025</v>
      </c>
      <c r="AD336" t="s">
        <v>57</v>
      </c>
      <c r="AE336">
        <v>1</v>
      </c>
      <c r="AF336">
        <v>0.55244759999914095</v>
      </c>
      <c r="AG336" t="s">
        <v>51</v>
      </c>
      <c r="AK336" t="s">
        <v>91</v>
      </c>
      <c r="AL336">
        <v>1</v>
      </c>
      <c r="AM336" t="s">
        <v>80</v>
      </c>
      <c r="AN336" t="s">
        <v>43</v>
      </c>
      <c r="AP336" t="s">
        <v>44</v>
      </c>
      <c r="AQ336">
        <v>59.456390224006398</v>
      </c>
      <c r="AR336" t="s">
        <v>81</v>
      </c>
    </row>
    <row r="337" spans="1:44" x14ac:dyDescent="0.3">
      <c r="A337" t="s">
        <v>67</v>
      </c>
      <c r="B337" t="s">
        <v>49</v>
      </c>
      <c r="C337" s="2" t="str">
        <f t="shared" si="5"/>
        <v>Neutral</v>
      </c>
      <c r="D337">
        <v>1.2138418999966201</v>
      </c>
      <c r="E337" t="s">
        <v>47</v>
      </c>
      <c r="F337" t="s">
        <v>53</v>
      </c>
      <c r="G337" t="s">
        <v>54</v>
      </c>
      <c r="H337">
        <v>134</v>
      </c>
      <c r="I337">
        <v>14</v>
      </c>
      <c r="J337">
        <v>6</v>
      </c>
      <c r="K337" t="s">
        <v>54</v>
      </c>
      <c r="L337">
        <v>1</v>
      </c>
      <c r="M337">
        <v>0.454715200001373</v>
      </c>
      <c r="N337" t="s">
        <v>51</v>
      </c>
      <c r="O337">
        <v>6</v>
      </c>
      <c r="P337">
        <v>14</v>
      </c>
      <c r="Q337">
        <v>134</v>
      </c>
      <c r="R337">
        <v>10</v>
      </c>
      <c r="S337">
        <v>184.037433000048</v>
      </c>
      <c r="X337">
        <v>184.027223500015</v>
      </c>
      <c r="Y337">
        <v>184.037433000048</v>
      </c>
      <c r="Z337">
        <v>184.53686220000901</v>
      </c>
      <c r="AA337">
        <v>184.53686220000901</v>
      </c>
      <c r="AB337">
        <v>184.53686220000901</v>
      </c>
      <c r="AC337">
        <v>185.008075600024</v>
      </c>
      <c r="AD337" t="s">
        <v>54</v>
      </c>
      <c r="AE337">
        <v>1</v>
      </c>
      <c r="AF337">
        <v>0.454715200001373</v>
      </c>
      <c r="AG337" t="s">
        <v>51</v>
      </c>
      <c r="AK337" t="s">
        <v>91</v>
      </c>
      <c r="AL337">
        <v>1</v>
      </c>
      <c r="AM337" t="s">
        <v>80</v>
      </c>
      <c r="AN337" t="s">
        <v>43</v>
      </c>
      <c r="AP337" t="s">
        <v>44</v>
      </c>
      <c r="AQ337">
        <v>59.456390224006398</v>
      </c>
      <c r="AR337" t="s">
        <v>81</v>
      </c>
    </row>
    <row r="338" spans="1:44" x14ac:dyDescent="0.3">
      <c r="A338" t="s">
        <v>55</v>
      </c>
      <c r="B338" t="s">
        <v>49</v>
      </c>
      <c r="C338" s="2" t="str">
        <f t="shared" si="5"/>
        <v>Neutral</v>
      </c>
      <c r="D338">
        <v>0.75810340000316501</v>
      </c>
      <c r="E338" t="s">
        <v>47</v>
      </c>
      <c r="F338" t="s">
        <v>56</v>
      </c>
      <c r="G338" t="s">
        <v>57</v>
      </c>
      <c r="H338">
        <v>135</v>
      </c>
      <c r="I338">
        <v>15</v>
      </c>
      <c r="J338">
        <v>6</v>
      </c>
      <c r="K338" t="s">
        <v>57</v>
      </c>
      <c r="L338">
        <v>1</v>
      </c>
      <c r="M338">
        <v>0.52072259999113102</v>
      </c>
      <c r="N338" t="s">
        <v>51</v>
      </c>
      <c r="O338">
        <v>6</v>
      </c>
      <c r="P338">
        <v>15</v>
      </c>
      <c r="Q338">
        <v>135</v>
      </c>
      <c r="R338">
        <v>13</v>
      </c>
      <c r="S338">
        <v>185.02036750002199</v>
      </c>
      <c r="X338">
        <v>185.01209930004501</v>
      </c>
      <c r="Y338">
        <v>185.02036750002199</v>
      </c>
      <c r="Z338">
        <v>185.52085310005299</v>
      </c>
      <c r="AA338">
        <v>185.52085310005299</v>
      </c>
      <c r="AB338">
        <v>185.52085310005299</v>
      </c>
      <c r="AC338">
        <v>186.057818400033</v>
      </c>
      <c r="AD338" t="s">
        <v>57</v>
      </c>
      <c r="AE338">
        <v>1</v>
      </c>
      <c r="AF338">
        <v>0.52072259999113102</v>
      </c>
      <c r="AG338" t="s">
        <v>51</v>
      </c>
      <c r="AK338" t="s">
        <v>91</v>
      </c>
      <c r="AL338">
        <v>1</v>
      </c>
      <c r="AM338" t="s">
        <v>80</v>
      </c>
      <c r="AN338" t="s">
        <v>43</v>
      </c>
      <c r="AP338" t="s">
        <v>44</v>
      </c>
      <c r="AQ338">
        <v>59.456390224006398</v>
      </c>
      <c r="AR338" t="s">
        <v>81</v>
      </c>
    </row>
    <row r="339" spans="1:44" x14ac:dyDescent="0.3">
      <c r="A339" t="s">
        <v>78</v>
      </c>
      <c r="B339" t="s">
        <v>49</v>
      </c>
      <c r="C339" s="2" t="str">
        <f t="shared" si="5"/>
        <v>Neutral</v>
      </c>
      <c r="D339">
        <v>0.61488580005243398</v>
      </c>
      <c r="E339" t="s">
        <v>47</v>
      </c>
      <c r="F339" t="s">
        <v>56</v>
      </c>
      <c r="G339" t="s">
        <v>57</v>
      </c>
      <c r="H339">
        <v>136</v>
      </c>
      <c r="I339">
        <v>16</v>
      </c>
      <c r="J339">
        <v>6</v>
      </c>
      <c r="K339" t="s">
        <v>57</v>
      </c>
      <c r="L339">
        <v>1</v>
      </c>
      <c r="M339">
        <v>0.64283880003495097</v>
      </c>
      <c r="N339" t="s">
        <v>51</v>
      </c>
      <c r="O339">
        <v>6</v>
      </c>
      <c r="P339">
        <v>16</v>
      </c>
      <c r="Q339">
        <v>136</v>
      </c>
      <c r="R339">
        <v>17</v>
      </c>
      <c r="S339">
        <v>186.070177300018</v>
      </c>
      <c r="X339">
        <v>186.060688700003</v>
      </c>
      <c r="Y339">
        <v>186.070177300018</v>
      </c>
      <c r="Z339">
        <v>186.56998379999999</v>
      </c>
      <c r="AA339">
        <v>186.56998379999999</v>
      </c>
      <c r="AB339">
        <v>186.56998379999999</v>
      </c>
      <c r="AC339">
        <v>187.223395700042</v>
      </c>
      <c r="AD339" t="s">
        <v>57</v>
      </c>
      <c r="AE339">
        <v>1</v>
      </c>
      <c r="AF339">
        <v>0.64283880003495097</v>
      </c>
      <c r="AG339" t="s">
        <v>51</v>
      </c>
      <c r="AK339" t="s">
        <v>91</v>
      </c>
      <c r="AL339">
        <v>1</v>
      </c>
      <c r="AM339" t="s">
        <v>80</v>
      </c>
      <c r="AN339" t="s">
        <v>43</v>
      </c>
      <c r="AP339" t="s">
        <v>44</v>
      </c>
      <c r="AQ339">
        <v>59.456390224006398</v>
      </c>
      <c r="AR339" t="s">
        <v>81</v>
      </c>
    </row>
    <row r="340" spans="1:44" x14ac:dyDescent="0.3">
      <c r="A340" t="s">
        <v>52</v>
      </c>
      <c r="B340" t="s">
        <v>49</v>
      </c>
      <c r="C340" s="2" t="str">
        <f t="shared" si="5"/>
        <v>Neutral</v>
      </c>
      <c r="D340">
        <v>0.93952060001902205</v>
      </c>
      <c r="E340" t="s">
        <v>47</v>
      </c>
      <c r="F340" t="s">
        <v>53</v>
      </c>
      <c r="G340" t="s">
        <v>54</v>
      </c>
      <c r="H340">
        <v>137</v>
      </c>
      <c r="I340">
        <v>17</v>
      </c>
      <c r="J340">
        <v>6</v>
      </c>
      <c r="K340" t="s">
        <v>54</v>
      </c>
      <c r="L340">
        <v>1</v>
      </c>
      <c r="M340">
        <v>0.507485900016035</v>
      </c>
      <c r="N340" t="s">
        <v>51</v>
      </c>
      <c r="O340">
        <v>6</v>
      </c>
      <c r="P340">
        <v>17</v>
      </c>
      <c r="Q340">
        <v>137</v>
      </c>
      <c r="R340">
        <v>14</v>
      </c>
      <c r="S340">
        <v>187.23685530002601</v>
      </c>
      <c r="X340">
        <v>187.226492000045</v>
      </c>
      <c r="Y340">
        <v>187.23685530002601</v>
      </c>
      <c r="Z340">
        <v>187.73657720000401</v>
      </c>
      <c r="AA340">
        <v>187.73657720000401</v>
      </c>
      <c r="AB340">
        <v>187.73657720000401</v>
      </c>
      <c r="AC340">
        <v>188.25719250005201</v>
      </c>
      <c r="AD340" t="s">
        <v>54</v>
      </c>
      <c r="AE340">
        <v>1</v>
      </c>
      <c r="AF340">
        <v>0.507485900016035</v>
      </c>
      <c r="AG340" t="s">
        <v>51</v>
      </c>
      <c r="AK340" t="s">
        <v>91</v>
      </c>
      <c r="AL340">
        <v>1</v>
      </c>
      <c r="AM340" t="s">
        <v>80</v>
      </c>
      <c r="AN340" t="s">
        <v>43</v>
      </c>
      <c r="AP340" t="s">
        <v>44</v>
      </c>
      <c r="AQ340">
        <v>59.456390224006398</v>
      </c>
      <c r="AR340" t="s">
        <v>81</v>
      </c>
    </row>
    <row r="341" spans="1:44" x14ac:dyDescent="0.3">
      <c r="A341" t="s">
        <v>66</v>
      </c>
      <c r="B341" t="s">
        <v>49</v>
      </c>
      <c r="C341" s="2" t="str">
        <f t="shared" si="5"/>
        <v>Neutral</v>
      </c>
      <c r="D341">
        <v>1.53591929998947</v>
      </c>
      <c r="E341" t="s">
        <v>47</v>
      </c>
      <c r="F341" t="s">
        <v>61</v>
      </c>
      <c r="G341" t="s">
        <v>63</v>
      </c>
      <c r="H341">
        <v>138</v>
      </c>
      <c r="I341">
        <v>18</v>
      </c>
      <c r="J341">
        <v>6</v>
      </c>
      <c r="K341" t="s">
        <v>63</v>
      </c>
      <c r="L341">
        <v>1</v>
      </c>
      <c r="M341">
        <v>0.51432749995728899</v>
      </c>
      <c r="N341" t="s">
        <v>51</v>
      </c>
      <c r="O341">
        <v>6</v>
      </c>
      <c r="P341">
        <v>18</v>
      </c>
      <c r="Q341">
        <v>138</v>
      </c>
      <c r="R341">
        <v>12</v>
      </c>
      <c r="S341">
        <v>188.27002850000201</v>
      </c>
      <c r="X341">
        <v>188.26070010004301</v>
      </c>
      <c r="Y341">
        <v>188.27002850000201</v>
      </c>
      <c r="Z341">
        <v>188.77052030002201</v>
      </c>
      <c r="AA341">
        <v>188.77052030002201</v>
      </c>
      <c r="AB341">
        <v>188.77052030002201</v>
      </c>
      <c r="AC341">
        <v>189.291612600034</v>
      </c>
      <c r="AD341" t="s">
        <v>63</v>
      </c>
      <c r="AE341">
        <v>1</v>
      </c>
      <c r="AF341">
        <v>0.51432749995728899</v>
      </c>
      <c r="AG341" t="s">
        <v>51</v>
      </c>
      <c r="AK341" t="s">
        <v>91</v>
      </c>
      <c r="AL341">
        <v>1</v>
      </c>
      <c r="AM341" t="s">
        <v>80</v>
      </c>
      <c r="AN341" t="s">
        <v>43</v>
      </c>
      <c r="AP341" t="s">
        <v>44</v>
      </c>
      <c r="AQ341">
        <v>59.456390224006398</v>
      </c>
      <c r="AR341" t="s">
        <v>81</v>
      </c>
    </row>
    <row r="342" spans="1:44" x14ac:dyDescent="0.3">
      <c r="A342" t="s">
        <v>71</v>
      </c>
      <c r="B342" t="s">
        <v>49</v>
      </c>
      <c r="C342" s="2" t="str">
        <f t="shared" si="5"/>
        <v>Neutral</v>
      </c>
      <c r="D342">
        <v>0.59172339999349699</v>
      </c>
      <c r="E342" t="s">
        <v>47</v>
      </c>
      <c r="F342" t="s">
        <v>48</v>
      </c>
      <c r="G342" t="s">
        <v>50</v>
      </c>
      <c r="H342">
        <v>139</v>
      </c>
      <c r="I342">
        <v>19</v>
      </c>
      <c r="J342">
        <v>6</v>
      </c>
      <c r="K342" t="s">
        <v>50</v>
      </c>
      <c r="L342">
        <v>1</v>
      </c>
      <c r="M342">
        <v>0.73429559997748495</v>
      </c>
      <c r="N342" t="s">
        <v>51</v>
      </c>
      <c r="O342">
        <v>6</v>
      </c>
      <c r="P342">
        <v>19</v>
      </c>
      <c r="Q342">
        <v>139</v>
      </c>
      <c r="R342">
        <v>15</v>
      </c>
      <c r="S342">
        <v>189.30338610004401</v>
      </c>
      <c r="X342">
        <v>189.29547940002499</v>
      </c>
      <c r="Y342">
        <v>189.30338610004401</v>
      </c>
      <c r="Z342">
        <v>189.803281300002</v>
      </c>
      <c r="AA342">
        <v>189.803281300002</v>
      </c>
      <c r="AB342">
        <v>189.803281300002</v>
      </c>
      <c r="AC342">
        <v>190.54045340005499</v>
      </c>
      <c r="AD342" t="s">
        <v>50</v>
      </c>
      <c r="AE342">
        <v>1</v>
      </c>
      <c r="AF342">
        <v>0.73429559997748495</v>
      </c>
      <c r="AG342" t="s">
        <v>51</v>
      </c>
      <c r="AK342" t="s">
        <v>91</v>
      </c>
      <c r="AL342">
        <v>1</v>
      </c>
      <c r="AM342" t="s">
        <v>80</v>
      </c>
      <c r="AN342" t="s">
        <v>43</v>
      </c>
      <c r="AP342" t="s">
        <v>44</v>
      </c>
      <c r="AQ342">
        <v>59.456390224006398</v>
      </c>
      <c r="AR342" t="s">
        <v>81</v>
      </c>
    </row>
    <row r="343" spans="1:44" x14ac:dyDescent="0.3">
      <c r="A343" t="s">
        <v>77</v>
      </c>
      <c r="B343" t="s">
        <v>62</v>
      </c>
      <c r="C343" s="2" t="str">
        <f t="shared" si="5"/>
        <v>Emotional-C</v>
      </c>
      <c r="D343">
        <v>0.73651009995955896</v>
      </c>
      <c r="E343" t="s">
        <v>59</v>
      </c>
      <c r="F343" t="s">
        <v>61</v>
      </c>
      <c r="G343" t="s">
        <v>63</v>
      </c>
      <c r="H343">
        <v>140</v>
      </c>
      <c r="I343">
        <v>0</v>
      </c>
      <c r="J343">
        <v>7</v>
      </c>
      <c r="K343" t="s">
        <v>63</v>
      </c>
      <c r="L343">
        <v>1</v>
      </c>
      <c r="M343">
        <v>0.54356449999613599</v>
      </c>
      <c r="N343" t="s">
        <v>51</v>
      </c>
      <c r="O343">
        <v>7</v>
      </c>
      <c r="P343">
        <v>0</v>
      </c>
      <c r="Q343">
        <v>140</v>
      </c>
      <c r="R343">
        <v>4</v>
      </c>
      <c r="S343">
        <v>190.55361510004099</v>
      </c>
      <c r="X343">
        <v>190.54356610000801</v>
      </c>
      <c r="Y343">
        <v>190.55361510004099</v>
      </c>
      <c r="Z343">
        <v>191.05347100005</v>
      </c>
      <c r="AA343">
        <v>191.05347100005</v>
      </c>
      <c r="AB343">
        <v>191.05347100005</v>
      </c>
      <c r="AC343">
        <v>191.60703160002501</v>
      </c>
      <c r="AD343" t="s">
        <v>63</v>
      </c>
      <c r="AE343">
        <v>1</v>
      </c>
      <c r="AF343">
        <v>0.54356449999613599</v>
      </c>
      <c r="AG343" t="s">
        <v>51</v>
      </c>
      <c r="AK343" t="s">
        <v>91</v>
      </c>
      <c r="AL343">
        <v>1</v>
      </c>
      <c r="AM343" t="s">
        <v>80</v>
      </c>
      <c r="AN343" t="s">
        <v>43</v>
      </c>
      <c r="AP343" t="s">
        <v>44</v>
      </c>
      <c r="AQ343">
        <v>59.456390224006398</v>
      </c>
      <c r="AR343" t="s">
        <v>81</v>
      </c>
    </row>
    <row r="344" spans="1:44" x14ac:dyDescent="0.3">
      <c r="A344" t="s">
        <v>64</v>
      </c>
      <c r="B344" t="s">
        <v>49</v>
      </c>
      <c r="C344" s="2" t="str">
        <f t="shared" si="5"/>
        <v>Neutral</v>
      </c>
      <c r="D344">
        <v>0.66750149999279496</v>
      </c>
      <c r="E344" t="s">
        <v>47</v>
      </c>
      <c r="F344" t="s">
        <v>53</v>
      </c>
      <c r="G344" t="s">
        <v>54</v>
      </c>
      <c r="H344">
        <v>141</v>
      </c>
      <c r="I344">
        <v>1</v>
      </c>
      <c r="J344">
        <v>7</v>
      </c>
      <c r="K344" t="s">
        <v>54</v>
      </c>
      <c r="L344">
        <v>1</v>
      </c>
      <c r="M344">
        <v>0.74851320002926502</v>
      </c>
      <c r="N344" t="s">
        <v>51</v>
      </c>
      <c r="O344">
        <v>7</v>
      </c>
      <c r="P344">
        <v>1</v>
      </c>
      <c r="Q344">
        <v>141</v>
      </c>
      <c r="R344">
        <v>18</v>
      </c>
      <c r="S344">
        <v>191.62016290001301</v>
      </c>
      <c r="X344">
        <v>191.61003140004999</v>
      </c>
      <c r="Y344">
        <v>191.62016290001301</v>
      </c>
      <c r="Z344">
        <v>192.12030010001001</v>
      </c>
      <c r="AA344">
        <v>192.12030010001001</v>
      </c>
      <c r="AB344">
        <v>192.12030010001001</v>
      </c>
      <c r="AC344">
        <v>192.87413540005201</v>
      </c>
      <c r="AD344" t="s">
        <v>54</v>
      </c>
      <c r="AE344">
        <v>1</v>
      </c>
      <c r="AF344">
        <v>0.74851320002926502</v>
      </c>
      <c r="AG344" t="s">
        <v>51</v>
      </c>
      <c r="AK344" t="s">
        <v>91</v>
      </c>
      <c r="AL344">
        <v>1</v>
      </c>
      <c r="AM344" t="s">
        <v>80</v>
      </c>
      <c r="AN344" t="s">
        <v>43</v>
      </c>
      <c r="AP344" t="s">
        <v>44</v>
      </c>
      <c r="AQ344">
        <v>59.456390224006398</v>
      </c>
      <c r="AR344" t="s">
        <v>81</v>
      </c>
    </row>
    <row r="345" spans="1:44" x14ac:dyDescent="0.3">
      <c r="A345" t="s">
        <v>69</v>
      </c>
      <c r="B345" t="s">
        <v>49</v>
      </c>
      <c r="C345" s="2" t="str">
        <f t="shared" si="5"/>
        <v>Emotional-I</v>
      </c>
      <c r="D345">
        <v>1.85576430003857</v>
      </c>
      <c r="E345" t="s">
        <v>59</v>
      </c>
      <c r="F345" t="s">
        <v>56</v>
      </c>
      <c r="G345" t="s">
        <v>57</v>
      </c>
      <c r="H345">
        <v>142</v>
      </c>
      <c r="I345">
        <v>2</v>
      </c>
      <c r="J345">
        <v>7</v>
      </c>
      <c r="K345" t="s">
        <v>57</v>
      </c>
      <c r="L345">
        <v>1</v>
      </c>
      <c r="M345">
        <v>0.71202279999852103</v>
      </c>
      <c r="N345" t="s">
        <v>51</v>
      </c>
      <c r="O345">
        <v>7</v>
      </c>
      <c r="P345">
        <v>2</v>
      </c>
      <c r="Q345">
        <v>142</v>
      </c>
      <c r="R345">
        <v>5</v>
      </c>
      <c r="S345">
        <v>192.886449400044</v>
      </c>
      <c r="X345">
        <v>192.87679560005199</v>
      </c>
      <c r="Y345">
        <v>192.886449400044</v>
      </c>
      <c r="Z345">
        <v>193.387057400017</v>
      </c>
      <c r="AA345">
        <v>193.387057400017</v>
      </c>
      <c r="AB345">
        <v>193.387057400017</v>
      </c>
      <c r="AC345">
        <v>194.10707720002301</v>
      </c>
      <c r="AD345" t="s">
        <v>57</v>
      </c>
      <c r="AE345">
        <v>1</v>
      </c>
      <c r="AF345">
        <v>0.71202279999852103</v>
      </c>
      <c r="AG345" t="s">
        <v>51</v>
      </c>
      <c r="AK345" t="s">
        <v>91</v>
      </c>
      <c r="AL345">
        <v>1</v>
      </c>
      <c r="AM345" t="s">
        <v>80</v>
      </c>
      <c r="AN345" t="s">
        <v>43</v>
      </c>
      <c r="AP345" t="s">
        <v>44</v>
      </c>
      <c r="AQ345">
        <v>59.456390224006398</v>
      </c>
      <c r="AR345" t="s">
        <v>81</v>
      </c>
    </row>
    <row r="346" spans="1:44" x14ac:dyDescent="0.3">
      <c r="A346" t="s">
        <v>75</v>
      </c>
      <c r="B346" t="s">
        <v>49</v>
      </c>
      <c r="C346" s="2" t="str">
        <f t="shared" si="5"/>
        <v>Neutral</v>
      </c>
      <c r="D346">
        <v>0.48277900001266899</v>
      </c>
      <c r="E346" t="s">
        <v>47</v>
      </c>
      <c r="F346" t="s">
        <v>61</v>
      </c>
      <c r="G346" t="s">
        <v>63</v>
      </c>
      <c r="H346">
        <v>143</v>
      </c>
      <c r="I346">
        <v>3</v>
      </c>
      <c r="J346">
        <v>7</v>
      </c>
      <c r="K346" t="s">
        <v>63</v>
      </c>
      <c r="L346">
        <v>1</v>
      </c>
      <c r="M346">
        <v>0.56940849998500198</v>
      </c>
      <c r="N346" t="s">
        <v>51</v>
      </c>
      <c r="O346">
        <v>7</v>
      </c>
      <c r="P346">
        <v>3</v>
      </c>
      <c r="Q346">
        <v>143</v>
      </c>
      <c r="R346">
        <v>16</v>
      </c>
      <c r="S346">
        <v>194.12017730000599</v>
      </c>
      <c r="X346">
        <v>194.11026700004001</v>
      </c>
      <c r="Y346">
        <v>194.12017730000599</v>
      </c>
      <c r="Z346">
        <v>194.619965800025</v>
      </c>
      <c r="AA346">
        <v>194.619965800025</v>
      </c>
      <c r="AB346">
        <v>194.619965800025</v>
      </c>
      <c r="AC346">
        <v>195.191090400039</v>
      </c>
      <c r="AD346" t="s">
        <v>63</v>
      </c>
      <c r="AE346">
        <v>1</v>
      </c>
      <c r="AF346">
        <v>0.56940849998500198</v>
      </c>
      <c r="AG346" t="s">
        <v>51</v>
      </c>
      <c r="AK346" t="s">
        <v>91</v>
      </c>
      <c r="AL346">
        <v>1</v>
      </c>
      <c r="AM346" t="s">
        <v>80</v>
      </c>
      <c r="AN346" t="s">
        <v>43</v>
      </c>
      <c r="AP346" t="s">
        <v>44</v>
      </c>
      <c r="AQ346">
        <v>59.456390224006398</v>
      </c>
      <c r="AR346" t="s">
        <v>81</v>
      </c>
    </row>
    <row r="347" spans="1:44" x14ac:dyDescent="0.3">
      <c r="A347" t="s">
        <v>74</v>
      </c>
      <c r="B347" t="s">
        <v>49</v>
      </c>
      <c r="C347" s="2" t="str">
        <f t="shared" si="5"/>
        <v>Neutral</v>
      </c>
      <c r="D347">
        <v>0.71882810001261499</v>
      </c>
      <c r="E347" t="s">
        <v>47</v>
      </c>
      <c r="F347" t="s">
        <v>48</v>
      </c>
      <c r="G347" t="s">
        <v>50</v>
      </c>
      <c r="H347">
        <v>144</v>
      </c>
      <c r="I347">
        <v>4</v>
      </c>
      <c r="J347">
        <v>7</v>
      </c>
      <c r="K347" t="s">
        <v>50</v>
      </c>
      <c r="L347">
        <v>1</v>
      </c>
      <c r="M347">
        <v>0.80841920000966605</v>
      </c>
      <c r="N347" t="s">
        <v>51</v>
      </c>
      <c r="O347">
        <v>7</v>
      </c>
      <c r="P347">
        <v>4</v>
      </c>
      <c r="Q347">
        <v>144</v>
      </c>
      <c r="R347">
        <v>11</v>
      </c>
      <c r="S347">
        <v>195.205326700001</v>
      </c>
      <c r="X347">
        <v>195.19417570001599</v>
      </c>
      <c r="Y347">
        <v>195.205326700001</v>
      </c>
      <c r="Z347">
        <v>195.70297490002099</v>
      </c>
      <c r="AA347">
        <v>195.70297490002099</v>
      </c>
      <c r="AB347">
        <v>195.70297490002099</v>
      </c>
      <c r="AC347">
        <v>196.52480400004401</v>
      </c>
      <c r="AD347" t="s">
        <v>50</v>
      </c>
      <c r="AE347">
        <v>1</v>
      </c>
      <c r="AF347">
        <v>0.80841920000966605</v>
      </c>
      <c r="AG347" t="s">
        <v>51</v>
      </c>
      <c r="AK347" t="s">
        <v>91</v>
      </c>
      <c r="AL347">
        <v>1</v>
      </c>
      <c r="AM347" t="s">
        <v>80</v>
      </c>
      <c r="AN347" t="s">
        <v>43</v>
      </c>
      <c r="AP347" t="s">
        <v>44</v>
      </c>
      <c r="AQ347">
        <v>59.456390224006398</v>
      </c>
      <c r="AR347" t="s">
        <v>81</v>
      </c>
    </row>
    <row r="348" spans="1:44" x14ac:dyDescent="0.3">
      <c r="A348" t="s">
        <v>73</v>
      </c>
      <c r="B348" t="s">
        <v>49</v>
      </c>
      <c r="C348" s="2" t="str">
        <f t="shared" si="5"/>
        <v>Emotional-I</v>
      </c>
      <c r="D348">
        <v>0.46994149999227303</v>
      </c>
      <c r="E348" t="s">
        <v>59</v>
      </c>
      <c r="F348" t="s">
        <v>56</v>
      </c>
      <c r="G348" t="s">
        <v>57</v>
      </c>
      <c r="H348">
        <v>145</v>
      </c>
      <c r="I348">
        <v>5</v>
      </c>
      <c r="J348">
        <v>7</v>
      </c>
      <c r="K348" t="s">
        <v>57</v>
      </c>
      <c r="L348">
        <v>1</v>
      </c>
      <c r="M348">
        <v>0.96795240003848404</v>
      </c>
      <c r="N348" t="s">
        <v>51</v>
      </c>
      <c r="O348">
        <v>7</v>
      </c>
      <c r="P348">
        <v>5</v>
      </c>
      <c r="Q348">
        <v>145</v>
      </c>
      <c r="R348">
        <v>1</v>
      </c>
      <c r="S348">
        <v>196.53707590000701</v>
      </c>
      <c r="X348">
        <v>196.527511200052</v>
      </c>
      <c r="Y348">
        <v>196.53707590000701</v>
      </c>
      <c r="Z348">
        <v>197.03668070002399</v>
      </c>
      <c r="AA348">
        <v>197.03668070002399</v>
      </c>
      <c r="AB348">
        <v>197.03668070002399</v>
      </c>
      <c r="AC348">
        <v>198.00734250003001</v>
      </c>
      <c r="AD348" t="s">
        <v>57</v>
      </c>
      <c r="AE348">
        <v>1</v>
      </c>
      <c r="AF348">
        <v>0.96795240003848404</v>
      </c>
      <c r="AG348" t="s">
        <v>51</v>
      </c>
      <c r="AK348" t="s">
        <v>91</v>
      </c>
      <c r="AL348">
        <v>1</v>
      </c>
      <c r="AM348" t="s">
        <v>80</v>
      </c>
      <c r="AN348" t="s">
        <v>43</v>
      </c>
      <c r="AP348" t="s">
        <v>44</v>
      </c>
      <c r="AQ348">
        <v>59.456390224006398</v>
      </c>
      <c r="AR348" t="s">
        <v>81</v>
      </c>
    </row>
    <row r="349" spans="1:44" x14ac:dyDescent="0.3">
      <c r="A349" t="s">
        <v>65</v>
      </c>
      <c r="B349" t="s">
        <v>49</v>
      </c>
      <c r="C349" s="2" t="str">
        <f t="shared" si="5"/>
        <v>Emotional-I</v>
      </c>
      <c r="D349">
        <v>0.90960420004557796</v>
      </c>
      <c r="E349" t="s">
        <v>59</v>
      </c>
      <c r="F349" t="s">
        <v>56</v>
      </c>
      <c r="G349" t="s">
        <v>57</v>
      </c>
      <c r="H349">
        <v>146</v>
      </c>
      <c r="I349">
        <v>6</v>
      </c>
      <c r="J349">
        <v>7</v>
      </c>
      <c r="K349" t="s">
        <v>57</v>
      </c>
      <c r="L349">
        <v>1</v>
      </c>
      <c r="M349">
        <v>0.62559200002578996</v>
      </c>
      <c r="N349" t="s">
        <v>51</v>
      </c>
      <c r="O349">
        <v>7</v>
      </c>
      <c r="P349">
        <v>6</v>
      </c>
      <c r="Q349">
        <v>146</v>
      </c>
      <c r="R349">
        <v>9</v>
      </c>
      <c r="S349">
        <v>198.019633200019</v>
      </c>
      <c r="X349">
        <v>198.010696200013</v>
      </c>
      <c r="Y349">
        <v>198.019633200019</v>
      </c>
      <c r="Z349">
        <v>198.51997320004699</v>
      </c>
      <c r="AA349">
        <v>198.51997320004699</v>
      </c>
      <c r="AB349">
        <v>198.51997320004699</v>
      </c>
      <c r="AC349">
        <v>199.15683620003901</v>
      </c>
      <c r="AD349" t="s">
        <v>57</v>
      </c>
      <c r="AE349">
        <v>1</v>
      </c>
      <c r="AF349">
        <v>0.62559200002578996</v>
      </c>
      <c r="AG349" t="s">
        <v>51</v>
      </c>
      <c r="AK349" t="s">
        <v>91</v>
      </c>
      <c r="AL349">
        <v>1</v>
      </c>
      <c r="AM349" t="s">
        <v>80</v>
      </c>
      <c r="AN349" t="s">
        <v>43</v>
      </c>
      <c r="AP349" t="s">
        <v>44</v>
      </c>
      <c r="AQ349">
        <v>59.456390224006398</v>
      </c>
      <c r="AR349" t="s">
        <v>81</v>
      </c>
    </row>
    <row r="350" spans="1:44" x14ac:dyDescent="0.3">
      <c r="A350" t="s">
        <v>46</v>
      </c>
      <c r="B350" t="s">
        <v>49</v>
      </c>
      <c r="C350" s="2" t="str">
        <f t="shared" si="5"/>
        <v>Neutral</v>
      </c>
      <c r="D350">
        <v>0.45013989997096299</v>
      </c>
      <c r="E350" t="s">
        <v>47</v>
      </c>
      <c r="F350" t="s">
        <v>48</v>
      </c>
      <c r="G350" t="s">
        <v>50</v>
      </c>
      <c r="H350">
        <v>147</v>
      </c>
      <c r="I350">
        <v>7</v>
      </c>
      <c r="J350">
        <v>7</v>
      </c>
      <c r="K350" t="s">
        <v>50</v>
      </c>
      <c r="L350">
        <v>1</v>
      </c>
      <c r="M350">
        <v>1.0002228000084801</v>
      </c>
      <c r="N350" t="s">
        <v>51</v>
      </c>
      <c r="O350">
        <v>7</v>
      </c>
      <c r="P350">
        <v>7</v>
      </c>
      <c r="Q350">
        <v>147</v>
      </c>
      <c r="R350">
        <v>19</v>
      </c>
      <c r="S350">
        <v>199.16938070004099</v>
      </c>
      <c r="X350">
        <v>199.16020160005399</v>
      </c>
      <c r="Y350">
        <v>199.16938070004099</v>
      </c>
      <c r="Z350">
        <v>199.66889830003399</v>
      </c>
      <c r="AA350">
        <v>199.66889830003399</v>
      </c>
      <c r="AB350">
        <v>199.66889830003399</v>
      </c>
      <c r="AC350">
        <v>200.674260600004</v>
      </c>
      <c r="AD350" t="s">
        <v>50</v>
      </c>
      <c r="AE350">
        <v>1</v>
      </c>
      <c r="AF350">
        <v>1.0002228000084801</v>
      </c>
      <c r="AG350" t="s">
        <v>51</v>
      </c>
      <c r="AK350" t="s">
        <v>91</v>
      </c>
      <c r="AL350">
        <v>1</v>
      </c>
      <c r="AM350" t="s">
        <v>80</v>
      </c>
      <c r="AN350" t="s">
        <v>43</v>
      </c>
      <c r="AP350" t="s">
        <v>44</v>
      </c>
      <c r="AQ350">
        <v>59.456390224006398</v>
      </c>
      <c r="AR350" t="s">
        <v>81</v>
      </c>
    </row>
    <row r="351" spans="1:44" x14ac:dyDescent="0.3">
      <c r="A351" t="s">
        <v>68</v>
      </c>
      <c r="B351" t="s">
        <v>49</v>
      </c>
      <c r="C351" s="2" t="str">
        <f t="shared" si="5"/>
        <v>Emotional-I</v>
      </c>
      <c r="D351">
        <v>1.08619559998624</v>
      </c>
      <c r="E351" t="s">
        <v>59</v>
      </c>
      <c r="F351" t="s">
        <v>53</v>
      </c>
      <c r="G351" t="s">
        <v>54</v>
      </c>
      <c r="H351">
        <v>148</v>
      </c>
      <c r="I351">
        <v>8</v>
      </c>
      <c r="J351">
        <v>7</v>
      </c>
      <c r="K351" t="s">
        <v>54</v>
      </c>
      <c r="L351">
        <v>1</v>
      </c>
      <c r="M351">
        <v>0.77209490002132897</v>
      </c>
      <c r="N351" t="s">
        <v>51</v>
      </c>
      <c r="O351">
        <v>7</v>
      </c>
      <c r="P351">
        <v>8</v>
      </c>
      <c r="Q351">
        <v>148</v>
      </c>
      <c r="R351">
        <v>6</v>
      </c>
      <c r="S351">
        <v>200.686044800037</v>
      </c>
      <c r="X351">
        <v>200.67760100000299</v>
      </c>
      <c r="Y351">
        <v>200.686044800037</v>
      </c>
      <c r="Z351">
        <v>201.18614890001399</v>
      </c>
      <c r="AA351">
        <v>201.18614890001399</v>
      </c>
      <c r="AB351">
        <v>201.18614890001399</v>
      </c>
      <c r="AC351">
        <v>201.959412000025</v>
      </c>
      <c r="AD351" t="s">
        <v>54</v>
      </c>
      <c r="AE351">
        <v>1</v>
      </c>
      <c r="AF351">
        <v>0.77209490002132897</v>
      </c>
      <c r="AG351" t="s">
        <v>51</v>
      </c>
      <c r="AK351" t="s">
        <v>91</v>
      </c>
      <c r="AL351">
        <v>1</v>
      </c>
      <c r="AM351" t="s">
        <v>80</v>
      </c>
      <c r="AN351" t="s">
        <v>43</v>
      </c>
      <c r="AP351" t="s">
        <v>44</v>
      </c>
      <c r="AQ351">
        <v>59.456390224006398</v>
      </c>
      <c r="AR351" t="s">
        <v>81</v>
      </c>
    </row>
    <row r="352" spans="1:44" x14ac:dyDescent="0.3">
      <c r="A352" t="s">
        <v>67</v>
      </c>
      <c r="B352" t="s">
        <v>49</v>
      </c>
      <c r="C352" s="2" t="str">
        <f t="shared" si="5"/>
        <v>Neutral</v>
      </c>
      <c r="D352">
        <v>1.0770576000213601</v>
      </c>
      <c r="E352" t="s">
        <v>47</v>
      </c>
      <c r="F352" t="s">
        <v>53</v>
      </c>
      <c r="G352" t="s">
        <v>54</v>
      </c>
      <c r="H352">
        <v>149</v>
      </c>
      <c r="I352">
        <v>9</v>
      </c>
      <c r="J352">
        <v>7</v>
      </c>
      <c r="K352" t="s">
        <v>54</v>
      </c>
      <c r="L352">
        <v>1</v>
      </c>
      <c r="M352">
        <v>0.47586870001396098</v>
      </c>
      <c r="N352" t="s">
        <v>51</v>
      </c>
      <c r="O352">
        <v>7</v>
      </c>
      <c r="P352">
        <v>9</v>
      </c>
      <c r="Q352">
        <v>149</v>
      </c>
      <c r="R352">
        <v>10</v>
      </c>
      <c r="S352">
        <v>201.97126270004</v>
      </c>
      <c r="X352">
        <v>201.96305370004799</v>
      </c>
      <c r="Y352">
        <v>201.97126270004</v>
      </c>
      <c r="Z352">
        <v>202.46987610001801</v>
      </c>
      <c r="AA352">
        <v>202.46987610001801</v>
      </c>
      <c r="AB352">
        <v>202.46987610001801</v>
      </c>
      <c r="AC352">
        <v>202.95750470005399</v>
      </c>
      <c r="AD352" t="s">
        <v>54</v>
      </c>
      <c r="AE352">
        <v>1</v>
      </c>
      <c r="AF352">
        <v>0.47586870001396098</v>
      </c>
      <c r="AG352" t="s">
        <v>51</v>
      </c>
      <c r="AK352" t="s">
        <v>91</v>
      </c>
      <c r="AL352">
        <v>1</v>
      </c>
      <c r="AM352" t="s">
        <v>80</v>
      </c>
      <c r="AN352" t="s">
        <v>43</v>
      </c>
      <c r="AP352" t="s">
        <v>44</v>
      </c>
      <c r="AQ352">
        <v>59.456390224006398</v>
      </c>
      <c r="AR352" t="s">
        <v>81</v>
      </c>
    </row>
    <row r="353" spans="1:44" x14ac:dyDescent="0.3">
      <c r="A353" t="s">
        <v>72</v>
      </c>
      <c r="B353" t="s">
        <v>62</v>
      </c>
      <c r="C353" s="2" t="str">
        <f t="shared" si="5"/>
        <v>Emotional-C</v>
      </c>
      <c r="D353">
        <v>0.88449289998970904</v>
      </c>
      <c r="E353" t="s">
        <v>59</v>
      </c>
      <c r="F353" t="s">
        <v>61</v>
      </c>
      <c r="G353" t="s">
        <v>63</v>
      </c>
      <c r="H353">
        <v>150</v>
      </c>
      <c r="I353">
        <v>10</v>
      </c>
      <c r="J353">
        <v>7</v>
      </c>
      <c r="K353" t="s">
        <v>63</v>
      </c>
      <c r="L353">
        <v>1</v>
      </c>
      <c r="M353">
        <v>0.53532889997586597</v>
      </c>
      <c r="N353" t="s">
        <v>51</v>
      </c>
      <c r="O353">
        <v>7</v>
      </c>
      <c r="P353">
        <v>10</v>
      </c>
      <c r="Q353">
        <v>150</v>
      </c>
      <c r="R353">
        <v>8</v>
      </c>
      <c r="S353">
        <v>202.969067500031</v>
      </c>
      <c r="X353">
        <v>202.961794400005</v>
      </c>
      <c r="Y353">
        <v>202.969067500031</v>
      </c>
      <c r="Z353">
        <v>203.46953570004499</v>
      </c>
      <c r="AA353">
        <v>203.46953570004499</v>
      </c>
      <c r="AB353">
        <v>203.46953570004499</v>
      </c>
      <c r="AC353">
        <v>204.006916900048</v>
      </c>
      <c r="AD353" t="s">
        <v>63</v>
      </c>
      <c r="AE353">
        <v>1</v>
      </c>
      <c r="AF353">
        <v>0.53532889997586597</v>
      </c>
      <c r="AG353" t="s">
        <v>51</v>
      </c>
      <c r="AK353" t="s">
        <v>91</v>
      </c>
      <c r="AL353">
        <v>1</v>
      </c>
      <c r="AM353" t="s">
        <v>80</v>
      </c>
      <c r="AN353" t="s">
        <v>43</v>
      </c>
      <c r="AP353" t="s">
        <v>44</v>
      </c>
      <c r="AQ353">
        <v>59.456390224006398</v>
      </c>
      <c r="AR353" t="s">
        <v>81</v>
      </c>
    </row>
    <row r="354" spans="1:44" x14ac:dyDescent="0.3">
      <c r="A354" t="s">
        <v>78</v>
      </c>
      <c r="B354" t="s">
        <v>49</v>
      </c>
      <c r="C354" s="2" t="str">
        <f t="shared" si="5"/>
        <v>Neutral</v>
      </c>
      <c r="D354">
        <v>0.88714299997081902</v>
      </c>
      <c r="E354" t="s">
        <v>47</v>
      </c>
      <c r="F354" t="s">
        <v>56</v>
      </c>
      <c r="G354" t="s">
        <v>57</v>
      </c>
      <c r="H354">
        <v>151</v>
      </c>
      <c r="I354">
        <v>11</v>
      </c>
      <c r="J354">
        <v>7</v>
      </c>
      <c r="K354" t="s">
        <v>57</v>
      </c>
      <c r="L354">
        <v>1</v>
      </c>
      <c r="M354">
        <v>0.55092220002552394</v>
      </c>
      <c r="N354" t="s">
        <v>51</v>
      </c>
      <c r="O354">
        <v>7</v>
      </c>
      <c r="P354">
        <v>11</v>
      </c>
      <c r="Q354">
        <v>151</v>
      </c>
      <c r="R354">
        <v>17</v>
      </c>
      <c r="S354">
        <v>204.01945610000899</v>
      </c>
      <c r="X354">
        <v>204.009748600015</v>
      </c>
      <c r="Y354">
        <v>204.01945610000899</v>
      </c>
      <c r="Z354">
        <v>204.51939760003</v>
      </c>
      <c r="AA354">
        <v>204.51939760003</v>
      </c>
      <c r="AB354">
        <v>204.51939760003</v>
      </c>
      <c r="AC354">
        <v>205.073800000012</v>
      </c>
      <c r="AD354" t="s">
        <v>57</v>
      </c>
      <c r="AE354">
        <v>1</v>
      </c>
      <c r="AF354">
        <v>0.55092220002552394</v>
      </c>
      <c r="AG354" t="s">
        <v>51</v>
      </c>
      <c r="AK354" t="s">
        <v>91</v>
      </c>
      <c r="AL354">
        <v>1</v>
      </c>
      <c r="AM354" t="s">
        <v>80</v>
      </c>
      <c r="AN354" t="s">
        <v>43</v>
      </c>
      <c r="AP354" t="s">
        <v>44</v>
      </c>
      <c r="AQ354">
        <v>59.456390224006398</v>
      </c>
      <c r="AR354" t="s">
        <v>81</v>
      </c>
    </row>
    <row r="355" spans="1:44" x14ac:dyDescent="0.3">
      <c r="A355" t="s">
        <v>52</v>
      </c>
      <c r="B355" t="s">
        <v>49</v>
      </c>
      <c r="C355" s="2" t="str">
        <f t="shared" si="5"/>
        <v>Neutral</v>
      </c>
      <c r="D355">
        <v>1.0292747999774201</v>
      </c>
      <c r="E355" t="s">
        <v>47</v>
      </c>
      <c r="F355" t="s">
        <v>53</v>
      </c>
      <c r="G355" t="s">
        <v>54</v>
      </c>
      <c r="H355">
        <v>152</v>
      </c>
      <c r="I355">
        <v>12</v>
      </c>
      <c r="J355">
        <v>7</v>
      </c>
      <c r="K355" t="s">
        <v>54</v>
      </c>
      <c r="L355">
        <v>1</v>
      </c>
      <c r="M355">
        <v>1.2138418999966201</v>
      </c>
      <c r="N355" t="s">
        <v>51</v>
      </c>
      <c r="O355">
        <v>7</v>
      </c>
      <c r="P355">
        <v>12</v>
      </c>
      <c r="Q355">
        <v>152</v>
      </c>
      <c r="R355">
        <v>14</v>
      </c>
      <c r="S355">
        <v>205.08621290000099</v>
      </c>
      <c r="X355">
        <v>205.07692930003299</v>
      </c>
      <c r="Y355">
        <v>205.08621290000099</v>
      </c>
      <c r="Z355">
        <v>205.586412000004</v>
      </c>
      <c r="AA355">
        <v>205.586412000004</v>
      </c>
      <c r="AB355">
        <v>205.586412000004</v>
      </c>
      <c r="AC355">
        <v>206.80655630002701</v>
      </c>
      <c r="AD355" t="s">
        <v>54</v>
      </c>
      <c r="AE355">
        <v>1</v>
      </c>
      <c r="AF355">
        <v>1.2138418999966201</v>
      </c>
      <c r="AG355" t="s">
        <v>51</v>
      </c>
      <c r="AK355" t="s">
        <v>91</v>
      </c>
      <c r="AL355">
        <v>1</v>
      </c>
      <c r="AM355" t="s">
        <v>80</v>
      </c>
      <c r="AN355" t="s">
        <v>43</v>
      </c>
      <c r="AP355" t="s">
        <v>44</v>
      </c>
      <c r="AQ355">
        <v>59.456390224006398</v>
      </c>
      <c r="AR355" t="s">
        <v>81</v>
      </c>
    </row>
    <row r="356" spans="1:44" x14ac:dyDescent="0.3">
      <c r="A356" t="s">
        <v>76</v>
      </c>
      <c r="B356" t="s">
        <v>49</v>
      </c>
      <c r="C356" s="2" t="str">
        <f t="shared" si="5"/>
        <v>Emotional-I</v>
      </c>
      <c r="D356">
        <v>0.414121699985116</v>
      </c>
      <c r="E356" t="s">
        <v>59</v>
      </c>
      <c r="F356" t="s">
        <v>48</v>
      </c>
      <c r="G356" t="s">
        <v>50</v>
      </c>
      <c r="H356">
        <v>153</v>
      </c>
      <c r="I356">
        <v>13</v>
      </c>
      <c r="J356">
        <v>7</v>
      </c>
      <c r="K356" t="s">
        <v>50</v>
      </c>
      <c r="L356">
        <v>1</v>
      </c>
      <c r="M356">
        <v>0.75810340000316501</v>
      </c>
      <c r="N356" t="s">
        <v>51</v>
      </c>
      <c r="O356">
        <v>7</v>
      </c>
      <c r="P356">
        <v>13</v>
      </c>
      <c r="Q356">
        <v>153</v>
      </c>
      <c r="R356">
        <v>3</v>
      </c>
      <c r="S356">
        <v>206.81958390003999</v>
      </c>
      <c r="X356">
        <v>206.80935190001</v>
      </c>
      <c r="Y356">
        <v>206.81958390003999</v>
      </c>
      <c r="Z356">
        <v>207.31981100002301</v>
      </c>
      <c r="AA356">
        <v>207.31981100002301</v>
      </c>
      <c r="AB356">
        <v>207.31981100002301</v>
      </c>
      <c r="AC356">
        <v>208.08921230002301</v>
      </c>
      <c r="AD356" t="s">
        <v>50</v>
      </c>
      <c r="AE356">
        <v>1</v>
      </c>
      <c r="AF356">
        <v>0.75810340000316501</v>
      </c>
      <c r="AG356" t="s">
        <v>51</v>
      </c>
      <c r="AK356" t="s">
        <v>91</v>
      </c>
      <c r="AL356">
        <v>1</v>
      </c>
      <c r="AM356" t="s">
        <v>80</v>
      </c>
      <c r="AN356" t="s">
        <v>43</v>
      </c>
      <c r="AP356" t="s">
        <v>44</v>
      </c>
      <c r="AQ356">
        <v>59.456390224006398</v>
      </c>
      <c r="AR356" t="s">
        <v>81</v>
      </c>
    </row>
    <row r="357" spans="1:44" x14ac:dyDescent="0.3">
      <c r="A357" t="s">
        <v>60</v>
      </c>
      <c r="B357" t="s">
        <v>62</v>
      </c>
      <c r="C357" s="2" t="str">
        <f t="shared" si="5"/>
        <v>Emotional-C</v>
      </c>
      <c r="D357">
        <v>0.88678519998211403</v>
      </c>
      <c r="E357" t="s">
        <v>59</v>
      </c>
      <c r="F357" t="s">
        <v>61</v>
      </c>
      <c r="G357" t="s">
        <v>63</v>
      </c>
      <c r="H357">
        <v>154</v>
      </c>
      <c r="I357">
        <v>14</v>
      </c>
      <c r="J357">
        <v>7</v>
      </c>
      <c r="K357" t="s">
        <v>63</v>
      </c>
      <c r="L357">
        <v>1</v>
      </c>
      <c r="M357">
        <v>0.61488580005243398</v>
      </c>
      <c r="N357" t="s">
        <v>51</v>
      </c>
      <c r="O357">
        <v>7</v>
      </c>
      <c r="P357">
        <v>14</v>
      </c>
      <c r="Q357">
        <v>154</v>
      </c>
      <c r="R357">
        <v>0</v>
      </c>
      <c r="S357">
        <v>208.10262210003501</v>
      </c>
      <c r="X357">
        <v>208.09226000000399</v>
      </c>
      <c r="Y357">
        <v>208.10262210003501</v>
      </c>
      <c r="Z357">
        <v>208.602777800057</v>
      </c>
      <c r="AA357">
        <v>208.602777800057</v>
      </c>
      <c r="AB357">
        <v>208.602777800057</v>
      </c>
      <c r="AC357">
        <v>209.22346750000699</v>
      </c>
      <c r="AD357" t="s">
        <v>63</v>
      </c>
      <c r="AE357">
        <v>1</v>
      </c>
      <c r="AF357">
        <v>0.61488580005243398</v>
      </c>
      <c r="AG357" t="s">
        <v>51</v>
      </c>
      <c r="AK357" t="s">
        <v>91</v>
      </c>
      <c r="AL357">
        <v>1</v>
      </c>
      <c r="AM357" t="s">
        <v>80</v>
      </c>
      <c r="AN357" t="s">
        <v>43</v>
      </c>
      <c r="AP357" t="s">
        <v>44</v>
      </c>
      <c r="AQ357">
        <v>59.456390224006398</v>
      </c>
      <c r="AR357" t="s">
        <v>81</v>
      </c>
    </row>
    <row r="358" spans="1:44" x14ac:dyDescent="0.3">
      <c r="A358" t="s">
        <v>58</v>
      </c>
      <c r="B358" t="s">
        <v>49</v>
      </c>
      <c r="C358" s="2" t="str">
        <f t="shared" si="5"/>
        <v>Emotional-I</v>
      </c>
      <c r="D358">
        <v>0.46988819999387399</v>
      </c>
      <c r="E358" t="s">
        <v>59</v>
      </c>
      <c r="F358" t="s">
        <v>48</v>
      </c>
      <c r="G358" t="s">
        <v>50</v>
      </c>
      <c r="H358">
        <v>155</v>
      </c>
      <c r="I358">
        <v>15</v>
      </c>
      <c r="J358">
        <v>7</v>
      </c>
      <c r="K358" t="s">
        <v>50</v>
      </c>
      <c r="L358">
        <v>1</v>
      </c>
      <c r="M358">
        <v>0.93952060001902205</v>
      </c>
      <c r="N358" t="s">
        <v>51</v>
      </c>
      <c r="O358">
        <v>7</v>
      </c>
      <c r="P358">
        <v>15</v>
      </c>
      <c r="Q358">
        <v>155</v>
      </c>
      <c r="R358">
        <v>7</v>
      </c>
      <c r="S358">
        <v>209.23693040001601</v>
      </c>
      <c r="X358">
        <v>209.22612440003999</v>
      </c>
      <c r="Y358">
        <v>209.23693040001601</v>
      </c>
      <c r="Z358">
        <v>209.735900100029</v>
      </c>
      <c r="AA358">
        <v>209.735900100029</v>
      </c>
      <c r="AB358">
        <v>209.735900100029</v>
      </c>
      <c r="AC358">
        <v>210.689412900013</v>
      </c>
      <c r="AD358" t="s">
        <v>50</v>
      </c>
      <c r="AE358">
        <v>1</v>
      </c>
      <c r="AF358">
        <v>0.93952060001902205</v>
      </c>
      <c r="AG358" t="s">
        <v>51</v>
      </c>
      <c r="AK358" t="s">
        <v>91</v>
      </c>
      <c r="AL358">
        <v>1</v>
      </c>
      <c r="AM358" t="s">
        <v>80</v>
      </c>
      <c r="AN358" t="s">
        <v>43</v>
      </c>
      <c r="AP358" t="s">
        <v>44</v>
      </c>
      <c r="AQ358">
        <v>59.456390224006398</v>
      </c>
      <c r="AR358" t="s">
        <v>81</v>
      </c>
    </row>
    <row r="359" spans="1:44" x14ac:dyDescent="0.3">
      <c r="A359" t="s">
        <v>70</v>
      </c>
      <c r="B359" t="s">
        <v>49</v>
      </c>
      <c r="C359" s="2" t="str">
        <f t="shared" si="5"/>
        <v>Emotional-I</v>
      </c>
      <c r="D359">
        <v>2.7942560000228598</v>
      </c>
      <c r="E359" t="s">
        <v>59</v>
      </c>
      <c r="F359" t="s">
        <v>53</v>
      </c>
      <c r="G359" t="s">
        <v>54</v>
      </c>
      <c r="H359">
        <v>156</v>
      </c>
      <c r="I359">
        <v>16</v>
      </c>
      <c r="J359">
        <v>7</v>
      </c>
      <c r="K359" t="s">
        <v>54</v>
      </c>
      <c r="L359">
        <v>1</v>
      </c>
      <c r="M359">
        <v>1.53591929998947</v>
      </c>
      <c r="N359" t="s">
        <v>51</v>
      </c>
      <c r="O359">
        <v>7</v>
      </c>
      <c r="P359">
        <v>16</v>
      </c>
      <c r="Q359">
        <v>156</v>
      </c>
      <c r="R359">
        <v>2</v>
      </c>
      <c r="S359">
        <v>210.70248150004701</v>
      </c>
      <c r="X359">
        <v>210.692204400023</v>
      </c>
      <c r="Y359">
        <v>210.70248150004701</v>
      </c>
      <c r="Z359">
        <v>211.202515300014</v>
      </c>
      <c r="AA359">
        <v>211.202515300014</v>
      </c>
      <c r="AB359">
        <v>211.202515300014</v>
      </c>
      <c r="AC359">
        <v>212.73980160005101</v>
      </c>
      <c r="AD359" t="s">
        <v>54</v>
      </c>
      <c r="AE359">
        <v>1</v>
      </c>
      <c r="AF359">
        <v>1.53591929998947</v>
      </c>
      <c r="AG359" t="s">
        <v>51</v>
      </c>
      <c r="AK359" t="s">
        <v>91</v>
      </c>
      <c r="AL359">
        <v>1</v>
      </c>
      <c r="AM359" t="s">
        <v>80</v>
      </c>
      <c r="AN359" t="s">
        <v>43</v>
      </c>
      <c r="AP359" t="s">
        <v>44</v>
      </c>
      <c r="AQ359">
        <v>59.456390224006398</v>
      </c>
      <c r="AR359" t="s">
        <v>81</v>
      </c>
    </row>
    <row r="360" spans="1:44" x14ac:dyDescent="0.3">
      <c r="A360" t="s">
        <v>66</v>
      </c>
      <c r="B360" t="s">
        <v>49</v>
      </c>
      <c r="C360" s="2" t="str">
        <f t="shared" si="5"/>
        <v>Neutral</v>
      </c>
      <c r="D360">
        <v>0.52556430001277399</v>
      </c>
      <c r="E360" t="s">
        <v>47</v>
      </c>
      <c r="F360" t="s">
        <v>61</v>
      </c>
      <c r="G360" t="s">
        <v>63</v>
      </c>
      <c r="H360">
        <v>157</v>
      </c>
      <c r="I360">
        <v>17</v>
      </c>
      <c r="J360">
        <v>7</v>
      </c>
      <c r="K360" t="s">
        <v>63</v>
      </c>
      <c r="L360">
        <v>1</v>
      </c>
      <c r="M360">
        <v>0.59172339999349699</v>
      </c>
      <c r="N360" t="s">
        <v>51</v>
      </c>
      <c r="O360">
        <v>7</v>
      </c>
      <c r="P360">
        <v>17</v>
      </c>
      <c r="Q360">
        <v>157</v>
      </c>
      <c r="R360">
        <v>12</v>
      </c>
      <c r="S360">
        <v>212.752432700013</v>
      </c>
      <c r="X360">
        <v>212.74327150004601</v>
      </c>
      <c r="Y360">
        <v>212.752432700013</v>
      </c>
      <c r="Z360">
        <v>213.252490900049</v>
      </c>
      <c r="AA360">
        <v>213.252490900049</v>
      </c>
      <c r="AB360">
        <v>213.252490900049</v>
      </c>
      <c r="AC360">
        <v>213.85595780005599</v>
      </c>
      <c r="AD360" t="s">
        <v>63</v>
      </c>
      <c r="AE360">
        <v>1</v>
      </c>
      <c r="AF360">
        <v>0.59172339999349699</v>
      </c>
      <c r="AG360" t="s">
        <v>51</v>
      </c>
      <c r="AK360" t="s">
        <v>91</v>
      </c>
      <c r="AL360">
        <v>1</v>
      </c>
      <c r="AM360" t="s">
        <v>80</v>
      </c>
      <c r="AN360" t="s">
        <v>43</v>
      </c>
      <c r="AP360" t="s">
        <v>44</v>
      </c>
      <c r="AQ360">
        <v>59.456390224006398</v>
      </c>
      <c r="AR360" t="s">
        <v>81</v>
      </c>
    </row>
    <row r="361" spans="1:44" x14ac:dyDescent="0.3">
      <c r="A361" t="s">
        <v>55</v>
      </c>
      <c r="B361" t="s">
        <v>49</v>
      </c>
      <c r="C361" s="2" t="str">
        <f t="shared" si="5"/>
        <v>Neutral</v>
      </c>
      <c r="D361">
        <v>0.73627629998372801</v>
      </c>
      <c r="E361" t="s">
        <v>47</v>
      </c>
      <c r="F361" t="s">
        <v>56</v>
      </c>
      <c r="G361" t="s">
        <v>57</v>
      </c>
      <c r="H361">
        <v>158</v>
      </c>
      <c r="I361">
        <v>18</v>
      </c>
      <c r="J361">
        <v>7</v>
      </c>
      <c r="K361" t="s">
        <v>57</v>
      </c>
      <c r="L361">
        <v>1</v>
      </c>
      <c r="M361">
        <v>0.73651009995955896</v>
      </c>
      <c r="N361" t="s">
        <v>51</v>
      </c>
      <c r="O361">
        <v>7</v>
      </c>
      <c r="P361">
        <v>18</v>
      </c>
      <c r="Q361">
        <v>158</v>
      </c>
      <c r="R361">
        <v>13</v>
      </c>
      <c r="S361">
        <v>213.869790900032</v>
      </c>
      <c r="X361">
        <v>213.85859570000301</v>
      </c>
      <c r="Y361">
        <v>213.869790900032</v>
      </c>
      <c r="Z361">
        <v>214.36911960004301</v>
      </c>
      <c r="AA361">
        <v>214.36911960004301</v>
      </c>
      <c r="AB361">
        <v>214.36911960004301</v>
      </c>
      <c r="AC361">
        <v>215.10659580002499</v>
      </c>
      <c r="AD361" t="s">
        <v>57</v>
      </c>
      <c r="AE361">
        <v>1</v>
      </c>
      <c r="AF361">
        <v>0.73651009995955896</v>
      </c>
      <c r="AG361" t="s">
        <v>51</v>
      </c>
      <c r="AK361" t="s">
        <v>91</v>
      </c>
      <c r="AL361">
        <v>1</v>
      </c>
      <c r="AM361" t="s">
        <v>80</v>
      </c>
      <c r="AN361" t="s">
        <v>43</v>
      </c>
      <c r="AP361" t="s">
        <v>44</v>
      </c>
      <c r="AQ361">
        <v>59.456390224006398</v>
      </c>
      <c r="AR361" t="s">
        <v>81</v>
      </c>
    </row>
    <row r="362" spans="1:44" x14ac:dyDescent="0.3">
      <c r="A362" t="s">
        <v>71</v>
      </c>
      <c r="B362" t="s">
        <v>49</v>
      </c>
      <c r="C362" s="2" t="str">
        <f t="shared" si="5"/>
        <v>Neutral</v>
      </c>
      <c r="D362">
        <v>0.85483680001925599</v>
      </c>
      <c r="E362" t="s">
        <v>47</v>
      </c>
      <c r="F362" t="s">
        <v>48</v>
      </c>
      <c r="G362" t="s">
        <v>50</v>
      </c>
      <c r="H362">
        <v>159</v>
      </c>
      <c r="I362">
        <v>19</v>
      </c>
      <c r="J362">
        <v>7</v>
      </c>
      <c r="K362" t="s">
        <v>50</v>
      </c>
      <c r="L362">
        <v>1</v>
      </c>
      <c r="M362">
        <v>0.66750149999279496</v>
      </c>
      <c r="N362" t="s">
        <v>51</v>
      </c>
      <c r="O362">
        <v>7</v>
      </c>
      <c r="P362">
        <v>19</v>
      </c>
      <c r="Q362">
        <v>159</v>
      </c>
      <c r="R362">
        <v>15</v>
      </c>
      <c r="S362">
        <v>215.11950080003501</v>
      </c>
      <c r="X362">
        <v>215.10931630001801</v>
      </c>
      <c r="Y362">
        <v>215.11950080003501</v>
      </c>
      <c r="Z362">
        <v>215.61892700003199</v>
      </c>
      <c r="AA362">
        <v>215.61892700003199</v>
      </c>
      <c r="AB362">
        <v>215.61892700003199</v>
      </c>
      <c r="AC362">
        <v>216.29093210003299</v>
      </c>
      <c r="AD362" t="s">
        <v>50</v>
      </c>
      <c r="AE362">
        <v>1</v>
      </c>
      <c r="AF362">
        <v>0.66750149999279496</v>
      </c>
      <c r="AG362" t="s">
        <v>51</v>
      </c>
      <c r="AK362" t="s">
        <v>91</v>
      </c>
      <c r="AL362">
        <v>1</v>
      </c>
      <c r="AM362" t="s">
        <v>80</v>
      </c>
      <c r="AN362" t="s">
        <v>43</v>
      </c>
      <c r="AP362" t="s">
        <v>44</v>
      </c>
      <c r="AQ362">
        <v>59.456390224006398</v>
      </c>
      <c r="AR362" t="s">
        <v>81</v>
      </c>
    </row>
    <row r="363" spans="1:44" x14ac:dyDescent="0.3">
      <c r="A363" t="s">
        <v>60</v>
      </c>
      <c r="B363" t="s">
        <v>62</v>
      </c>
      <c r="C363" s="2" t="str">
        <f t="shared" si="5"/>
        <v>Emotional-C</v>
      </c>
      <c r="D363">
        <v>0.51073249999899395</v>
      </c>
      <c r="E363" t="s">
        <v>59</v>
      </c>
      <c r="F363" t="s">
        <v>61</v>
      </c>
      <c r="G363" t="s">
        <v>63</v>
      </c>
      <c r="H363">
        <v>160</v>
      </c>
      <c r="I363">
        <v>0</v>
      </c>
      <c r="J363">
        <v>8</v>
      </c>
      <c r="K363" t="s">
        <v>63</v>
      </c>
      <c r="L363">
        <v>1</v>
      </c>
      <c r="M363">
        <v>1.85576430003857</v>
      </c>
      <c r="N363" t="s">
        <v>51</v>
      </c>
      <c r="O363">
        <v>8</v>
      </c>
      <c r="P363">
        <v>0</v>
      </c>
      <c r="Q363">
        <v>160</v>
      </c>
      <c r="R363">
        <v>0</v>
      </c>
      <c r="S363">
        <v>216.302980900043</v>
      </c>
      <c r="X363">
        <v>216.29470250004599</v>
      </c>
      <c r="Y363">
        <v>216.302980900043</v>
      </c>
      <c r="Z363">
        <v>216.80221420002599</v>
      </c>
      <c r="AA363">
        <v>216.80221420002599</v>
      </c>
      <c r="AB363">
        <v>216.80221420002599</v>
      </c>
      <c r="AC363">
        <v>218.67254100000699</v>
      </c>
      <c r="AD363" t="s">
        <v>63</v>
      </c>
      <c r="AE363">
        <v>1</v>
      </c>
      <c r="AF363">
        <v>1.85576430003857</v>
      </c>
      <c r="AG363" t="s">
        <v>51</v>
      </c>
      <c r="AK363" t="s">
        <v>91</v>
      </c>
      <c r="AL363">
        <v>1</v>
      </c>
      <c r="AM363" t="s">
        <v>80</v>
      </c>
      <c r="AN363" t="s">
        <v>43</v>
      </c>
      <c r="AP363" t="s">
        <v>44</v>
      </c>
      <c r="AQ363">
        <v>59.456390224006398</v>
      </c>
      <c r="AR363" t="s">
        <v>81</v>
      </c>
    </row>
    <row r="364" spans="1:44" x14ac:dyDescent="0.3">
      <c r="A364" t="s">
        <v>72</v>
      </c>
      <c r="B364" t="s">
        <v>62</v>
      </c>
      <c r="C364" s="2" t="str">
        <f t="shared" si="5"/>
        <v>Emotional-C</v>
      </c>
      <c r="D364">
        <v>0.63615330000175097</v>
      </c>
      <c r="E364" t="s">
        <v>59</v>
      </c>
      <c r="F364" t="s">
        <v>61</v>
      </c>
      <c r="G364" t="s">
        <v>63</v>
      </c>
      <c r="H364">
        <v>161</v>
      </c>
      <c r="I364">
        <v>1</v>
      </c>
      <c r="J364">
        <v>8</v>
      </c>
      <c r="K364" t="s">
        <v>63</v>
      </c>
      <c r="L364">
        <v>1</v>
      </c>
      <c r="M364">
        <v>0.48277900001266899</v>
      </c>
      <c r="N364" t="s">
        <v>51</v>
      </c>
      <c r="O364">
        <v>8</v>
      </c>
      <c r="P364">
        <v>1</v>
      </c>
      <c r="Q364">
        <v>161</v>
      </c>
      <c r="R364">
        <v>8</v>
      </c>
      <c r="S364">
        <v>218.68566930002899</v>
      </c>
      <c r="X364">
        <v>218.67520540003801</v>
      </c>
      <c r="Y364">
        <v>218.68566930002899</v>
      </c>
      <c r="Z364">
        <v>219.185435900057</v>
      </c>
      <c r="AA364">
        <v>219.185435900057</v>
      </c>
      <c r="AB364">
        <v>219.185435900057</v>
      </c>
      <c r="AC364">
        <v>219.67235280002899</v>
      </c>
      <c r="AD364" t="s">
        <v>63</v>
      </c>
      <c r="AE364">
        <v>1</v>
      </c>
      <c r="AF364">
        <v>0.48277900001266899</v>
      </c>
      <c r="AG364" t="s">
        <v>51</v>
      </c>
      <c r="AK364" t="s">
        <v>91</v>
      </c>
      <c r="AL364">
        <v>1</v>
      </c>
      <c r="AM364" t="s">
        <v>80</v>
      </c>
      <c r="AN364" t="s">
        <v>43</v>
      </c>
      <c r="AP364" t="s">
        <v>44</v>
      </c>
      <c r="AQ364">
        <v>59.456390224006398</v>
      </c>
      <c r="AR364" t="s">
        <v>81</v>
      </c>
    </row>
    <row r="365" spans="1:44" x14ac:dyDescent="0.3">
      <c r="A365" t="s">
        <v>46</v>
      </c>
      <c r="B365" t="s">
        <v>49</v>
      </c>
      <c r="C365" s="2" t="str">
        <f t="shared" si="5"/>
        <v>Neutral</v>
      </c>
      <c r="D365">
        <v>0.479904000007081</v>
      </c>
      <c r="E365" t="s">
        <v>47</v>
      </c>
      <c r="F365" t="s">
        <v>48</v>
      </c>
      <c r="G365" t="s">
        <v>50</v>
      </c>
      <c r="H365">
        <v>162</v>
      </c>
      <c r="I365">
        <v>2</v>
      </c>
      <c r="J365">
        <v>8</v>
      </c>
      <c r="K365" t="s">
        <v>50</v>
      </c>
      <c r="L365">
        <v>1</v>
      </c>
      <c r="M365">
        <v>0.71882810001261499</v>
      </c>
      <c r="N365" t="s">
        <v>51</v>
      </c>
      <c r="O365">
        <v>8</v>
      </c>
      <c r="P365">
        <v>2</v>
      </c>
      <c r="Q365">
        <v>162</v>
      </c>
      <c r="R365">
        <v>19</v>
      </c>
      <c r="S365">
        <v>219.68550740001899</v>
      </c>
      <c r="X365">
        <v>219.675613900006</v>
      </c>
      <c r="Y365">
        <v>219.68550740001899</v>
      </c>
      <c r="Z365">
        <v>220.18542410002499</v>
      </c>
      <c r="AA365">
        <v>220.18542410002499</v>
      </c>
      <c r="AB365">
        <v>220.18542410002499</v>
      </c>
      <c r="AC365">
        <v>220.90658270002999</v>
      </c>
      <c r="AD365" t="s">
        <v>50</v>
      </c>
      <c r="AE365">
        <v>1</v>
      </c>
      <c r="AF365">
        <v>0.71882810001261499</v>
      </c>
      <c r="AG365" t="s">
        <v>51</v>
      </c>
      <c r="AK365" t="s">
        <v>91</v>
      </c>
      <c r="AL365">
        <v>1</v>
      </c>
      <c r="AM365" t="s">
        <v>80</v>
      </c>
      <c r="AN365" t="s">
        <v>43</v>
      </c>
      <c r="AP365" t="s">
        <v>44</v>
      </c>
      <c r="AQ365">
        <v>59.456390224006398</v>
      </c>
      <c r="AR365" t="s">
        <v>81</v>
      </c>
    </row>
    <row r="366" spans="1:44" x14ac:dyDescent="0.3">
      <c r="A366" t="s">
        <v>58</v>
      </c>
      <c r="B366" t="s">
        <v>49</v>
      </c>
      <c r="C366" s="2" t="str">
        <f t="shared" si="5"/>
        <v>Emotional-I</v>
      </c>
      <c r="D366">
        <v>0.47373179998248799</v>
      </c>
      <c r="E366" t="s">
        <v>59</v>
      </c>
      <c r="F366" t="s">
        <v>48</v>
      </c>
      <c r="G366" t="s">
        <v>50</v>
      </c>
      <c r="H366">
        <v>163</v>
      </c>
      <c r="I366">
        <v>3</v>
      </c>
      <c r="J366">
        <v>8</v>
      </c>
      <c r="K366" t="s">
        <v>50</v>
      </c>
      <c r="L366">
        <v>1</v>
      </c>
      <c r="M366">
        <v>0.46994149999227303</v>
      </c>
      <c r="N366" t="s">
        <v>51</v>
      </c>
      <c r="O366">
        <v>8</v>
      </c>
      <c r="P366">
        <v>3</v>
      </c>
      <c r="Q366">
        <v>163</v>
      </c>
      <c r="R366">
        <v>7</v>
      </c>
      <c r="S366">
        <v>220.918467300012</v>
      </c>
      <c r="X366">
        <v>220.90991360001499</v>
      </c>
      <c r="Y366">
        <v>220.918467300012</v>
      </c>
      <c r="Z366">
        <v>221.41935860004699</v>
      </c>
      <c r="AA366">
        <v>221.41935860004699</v>
      </c>
      <c r="AB366">
        <v>221.41935860004699</v>
      </c>
      <c r="AC366">
        <v>221.88994480000099</v>
      </c>
      <c r="AD366" t="s">
        <v>50</v>
      </c>
      <c r="AE366">
        <v>1</v>
      </c>
      <c r="AF366">
        <v>0.46994149999227303</v>
      </c>
      <c r="AG366" t="s">
        <v>51</v>
      </c>
      <c r="AK366" t="s">
        <v>91</v>
      </c>
      <c r="AL366">
        <v>1</v>
      </c>
      <c r="AM366" t="s">
        <v>80</v>
      </c>
      <c r="AN366" t="s">
        <v>43</v>
      </c>
      <c r="AP366" t="s">
        <v>44</v>
      </c>
      <c r="AQ366">
        <v>59.456390224006398</v>
      </c>
      <c r="AR366" t="s">
        <v>81</v>
      </c>
    </row>
    <row r="367" spans="1:44" x14ac:dyDescent="0.3">
      <c r="A367" t="s">
        <v>69</v>
      </c>
      <c r="B367" t="s">
        <v>49</v>
      </c>
      <c r="C367" s="2" t="str">
        <f t="shared" si="5"/>
        <v>Emotional-I</v>
      </c>
      <c r="D367">
        <v>0.78281179995974504</v>
      </c>
      <c r="E367" t="s">
        <v>59</v>
      </c>
      <c r="F367" t="s">
        <v>56</v>
      </c>
      <c r="G367" t="s">
        <v>57</v>
      </c>
      <c r="H367">
        <v>164</v>
      </c>
      <c r="I367">
        <v>4</v>
      </c>
      <c r="J367">
        <v>8</v>
      </c>
      <c r="K367" t="s">
        <v>57</v>
      </c>
      <c r="L367">
        <v>1</v>
      </c>
      <c r="M367">
        <v>0.90960420004557796</v>
      </c>
      <c r="N367" t="s">
        <v>51</v>
      </c>
      <c r="O367">
        <v>8</v>
      </c>
      <c r="P367">
        <v>4</v>
      </c>
      <c r="Q367">
        <v>164</v>
      </c>
      <c r="R367">
        <v>5</v>
      </c>
      <c r="S367">
        <v>221.90229600004301</v>
      </c>
      <c r="X367">
        <v>221.892720700008</v>
      </c>
      <c r="Y367">
        <v>221.90229600004301</v>
      </c>
      <c r="Z367">
        <v>222.40236990002401</v>
      </c>
      <c r="AA367">
        <v>222.40236990002401</v>
      </c>
      <c r="AB367">
        <v>222.40236990002401</v>
      </c>
      <c r="AC367">
        <v>223.322904500004</v>
      </c>
      <c r="AD367" t="s">
        <v>57</v>
      </c>
      <c r="AE367">
        <v>1</v>
      </c>
      <c r="AF367">
        <v>0.90960420004557796</v>
      </c>
      <c r="AG367" t="s">
        <v>51</v>
      </c>
      <c r="AK367" t="s">
        <v>91</v>
      </c>
      <c r="AL367">
        <v>1</v>
      </c>
      <c r="AM367" t="s">
        <v>80</v>
      </c>
      <c r="AN367" t="s">
        <v>43</v>
      </c>
      <c r="AP367" t="s">
        <v>44</v>
      </c>
      <c r="AQ367">
        <v>59.456390224006398</v>
      </c>
      <c r="AR367" t="s">
        <v>81</v>
      </c>
    </row>
    <row r="368" spans="1:44" x14ac:dyDescent="0.3">
      <c r="A368" t="s">
        <v>65</v>
      </c>
      <c r="B368" t="s">
        <v>49</v>
      </c>
      <c r="C368" s="2" t="str">
        <f t="shared" si="5"/>
        <v>Emotional-I</v>
      </c>
      <c r="D368">
        <v>0.57756989996414598</v>
      </c>
      <c r="E368" t="s">
        <v>59</v>
      </c>
      <c r="F368" t="s">
        <v>56</v>
      </c>
      <c r="G368" t="s">
        <v>57</v>
      </c>
      <c r="H368">
        <v>165</v>
      </c>
      <c r="I368">
        <v>5</v>
      </c>
      <c r="J368">
        <v>8</v>
      </c>
      <c r="K368" t="s">
        <v>57</v>
      </c>
      <c r="L368">
        <v>1</v>
      </c>
      <c r="M368">
        <v>0.45013989997096299</v>
      </c>
      <c r="N368" t="s">
        <v>51</v>
      </c>
      <c r="O368">
        <v>8</v>
      </c>
      <c r="P368">
        <v>5</v>
      </c>
      <c r="Q368">
        <v>165</v>
      </c>
      <c r="R368">
        <v>9</v>
      </c>
      <c r="S368">
        <v>223.33562900003699</v>
      </c>
      <c r="X368">
        <v>223.32675500004501</v>
      </c>
      <c r="Y368">
        <v>223.33562900003699</v>
      </c>
      <c r="Z368">
        <v>223.83591890003299</v>
      </c>
      <c r="AA368">
        <v>223.83591890003299</v>
      </c>
      <c r="AB368">
        <v>223.83591890003299</v>
      </c>
      <c r="AC368">
        <v>224.289370100013</v>
      </c>
      <c r="AD368" t="s">
        <v>57</v>
      </c>
      <c r="AE368">
        <v>1</v>
      </c>
      <c r="AF368">
        <v>0.45013989997096299</v>
      </c>
      <c r="AG368" t="s">
        <v>51</v>
      </c>
      <c r="AK368" t="s">
        <v>91</v>
      </c>
      <c r="AL368">
        <v>1</v>
      </c>
      <c r="AM368" t="s">
        <v>80</v>
      </c>
      <c r="AN368" t="s">
        <v>43</v>
      </c>
      <c r="AP368" t="s">
        <v>44</v>
      </c>
      <c r="AQ368">
        <v>59.456390224006398</v>
      </c>
      <c r="AR368" t="s">
        <v>81</v>
      </c>
    </row>
    <row r="369" spans="1:44" x14ac:dyDescent="0.3">
      <c r="A369" t="s">
        <v>68</v>
      </c>
      <c r="B369" t="s">
        <v>49</v>
      </c>
      <c r="C369" s="2" t="str">
        <f t="shared" si="5"/>
        <v>Emotional-I</v>
      </c>
      <c r="D369">
        <v>0.677247500047087</v>
      </c>
      <c r="E369" t="s">
        <v>59</v>
      </c>
      <c r="F369" t="s">
        <v>53</v>
      </c>
      <c r="G369" t="s">
        <v>54</v>
      </c>
      <c r="H369">
        <v>166</v>
      </c>
      <c r="I369">
        <v>6</v>
      </c>
      <c r="J369">
        <v>8</v>
      </c>
      <c r="K369" t="s">
        <v>54</v>
      </c>
      <c r="L369">
        <v>1</v>
      </c>
      <c r="M369">
        <v>1.08619559998624</v>
      </c>
      <c r="N369" t="s">
        <v>51</v>
      </c>
      <c r="O369">
        <v>8</v>
      </c>
      <c r="P369">
        <v>6</v>
      </c>
      <c r="Q369">
        <v>166</v>
      </c>
      <c r="R369">
        <v>6</v>
      </c>
      <c r="S369">
        <v>224.302329700032</v>
      </c>
      <c r="X369">
        <v>224.29205610003501</v>
      </c>
      <c r="Y369">
        <v>224.302329700032</v>
      </c>
      <c r="Z369">
        <v>224.80409950000401</v>
      </c>
      <c r="AA369">
        <v>224.80409950000401</v>
      </c>
      <c r="AB369">
        <v>224.80409950000401</v>
      </c>
      <c r="AC369">
        <v>225.90594270004601</v>
      </c>
      <c r="AD369" t="s">
        <v>54</v>
      </c>
      <c r="AE369">
        <v>1</v>
      </c>
      <c r="AF369">
        <v>1.08619559998624</v>
      </c>
      <c r="AG369" t="s">
        <v>51</v>
      </c>
      <c r="AK369" t="s">
        <v>91</v>
      </c>
      <c r="AL369">
        <v>1</v>
      </c>
      <c r="AM369" t="s">
        <v>80</v>
      </c>
      <c r="AN369" t="s">
        <v>43</v>
      </c>
      <c r="AP369" t="s">
        <v>44</v>
      </c>
      <c r="AQ369">
        <v>59.456390224006398</v>
      </c>
      <c r="AR369" t="s">
        <v>81</v>
      </c>
    </row>
    <row r="370" spans="1:44" x14ac:dyDescent="0.3">
      <c r="A370" t="s">
        <v>78</v>
      </c>
      <c r="B370" t="s">
        <v>49</v>
      </c>
      <c r="C370" s="2" t="str">
        <f t="shared" si="5"/>
        <v>Neutral</v>
      </c>
      <c r="D370">
        <v>0.59963830001652196</v>
      </c>
      <c r="E370" t="s">
        <v>47</v>
      </c>
      <c r="F370" t="s">
        <v>56</v>
      </c>
      <c r="G370" t="s">
        <v>57</v>
      </c>
      <c r="H370">
        <v>167</v>
      </c>
      <c r="I370">
        <v>7</v>
      </c>
      <c r="J370">
        <v>8</v>
      </c>
      <c r="K370" t="s">
        <v>57</v>
      </c>
      <c r="L370">
        <v>1</v>
      </c>
      <c r="M370">
        <v>1.0770576000213601</v>
      </c>
      <c r="N370" t="s">
        <v>51</v>
      </c>
      <c r="O370">
        <v>8</v>
      </c>
      <c r="P370">
        <v>7</v>
      </c>
      <c r="Q370">
        <v>167</v>
      </c>
      <c r="R370">
        <v>17</v>
      </c>
      <c r="S370">
        <v>225.91803020000199</v>
      </c>
      <c r="X370">
        <v>225.908534800051</v>
      </c>
      <c r="Y370">
        <v>225.91803020000199</v>
      </c>
      <c r="Z370">
        <v>226.4175789</v>
      </c>
      <c r="AA370">
        <v>226.4175789</v>
      </c>
      <c r="AB370">
        <v>226.4175789</v>
      </c>
      <c r="AC370">
        <v>227.50598180002899</v>
      </c>
      <c r="AD370" t="s">
        <v>57</v>
      </c>
      <c r="AE370">
        <v>1</v>
      </c>
      <c r="AF370">
        <v>1.0770576000213601</v>
      </c>
      <c r="AG370" t="s">
        <v>51</v>
      </c>
      <c r="AK370" t="s">
        <v>91</v>
      </c>
      <c r="AL370">
        <v>1</v>
      </c>
      <c r="AM370" t="s">
        <v>80</v>
      </c>
      <c r="AN370" t="s">
        <v>43</v>
      </c>
      <c r="AP370" t="s">
        <v>44</v>
      </c>
      <c r="AQ370">
        <v>59.456390224006398</v>
      </c>
      <c r="AR370" t="s">
        <v>81</v>
      </c>
    </row>
    <row r="371" spans="1:44" x14ac:dyDescent="0.3">
      <c r="A371" t="s">
        <v>76</v>
      </c>
      <c r="B371" t="s">
        <v>49</v>
      </c>
      <c r="C371" s="2" t="str">
        <f t="shared" si="5"/>
        <v>Emotional-I</v>
      </c>
      <c r="D371">
        <v>0.73268240003380902</v>
      </c>
      <c r="E371" t="s">
        <v>59</v>
      </c>
      <c r="F371" t="s">
        <v>48</v>
      </c>
      <c r="G371" t="s">
        <v>50</v>
      </c>
      <c r="H371">
        <v>168</v>
      </c>
      <c r="I371">
        <v>8</v>
      </c>
      <c r="J371">
        <v>8</v>
      </c>
      <c r="K371" t="s">
        <v>50</v>
      </c>
      <c r="L371">
        <v>1</v>
      </c>
      <c r="M371">
        <v>0.88449289998970904</v>
      </c>
      <c r="N371" t="s">
        <v>51</v>
      </c>
      <c r="O371">
        <v>8</v>
      </c>
      <c r="P371">
        <v>8</v>
      </c>
      <c r="Q371">
        <v>168</v>
      </c>
      <c r="R371">
        <v>3</v>
      </c>
      <c r="S371">
        <v>227.519411000015</v>
      </c>
      <c r="X371">
        <v>227.50859680003401</v>
      </c>
      <c r="Y371">
        <v>227.519411000015</v>
      </c>
      <c r="Z371">
        <v>228.01883590000199</v>
      </c>
      <c r="AA371">
        <v>228.01883590000199</v>
      </c>
      <c r="AB371">
        <v>228.01883590000199</v>
      </c>
      <c r="AC371">
        <v>228.906252000015</v>
      </c>
      <c r="AD371" t="s">
        <v>50</v>
      </c>
      <c r="AE371">
        <v>1</v>
      </c>
      <c r="AF371">
        <v>0.88449289998970904</v>
      </c>
      <c r="AG371" t="s">
        <v>51</v>
      </c>
      <c r="AK371" t="s">
        <v>91</v>
      </c>
      <c r="AL371">
        <v>1</v>
      </c>
      <c r="AM371" t="s">
        <v>80</v>
      </c>
      <c r="AN371" t="s">
        <v>43</v>
      </c>
      <c r="AP371" t="s">
        <v>44</v>
      </c>
      <c r="AQ371">
        <v>59.456390224006398</v>
      </c>
      <c r="AR371" t="s">
        <v>81</v>
      </c>
    </row>
    <row r="372" spans="1:44" x14ac:dyDescent="0.3">
      <c r="A372" t="s">
        <v>70</v>
      </c>
      <c r="B372" t="s">
        <v>49</v>
      </c>
      <c r="C372" s="2" t="str">
        <f t="shared" si="5"/>
        <v>Emotional-I</v>
      </c>
      <c r="D372">
        <v>1.1923820999800201</v>
      </c>
      <c r="E372" t="s">
        <v>59</v>
      </c>
      <c r="F372" t="s">
        <v>53</v>
      </c>
      <c r="G372" t="s">
        <v>54</v>
      </c>
      <c r="H372">
        <v>169</v>
      </c>
      <c r="I372">
        <v>9</v>
      </c>
      <c r="J372">
        <v>8</v>
      </c>
      <c r="K372" t="s">
        <v>54</v>
      </c>
      <c r="L372">
        <v>1</v>
      </c>
      <c r="M372">
        <v>0.88714299997081902</v>
      </c>
      <c r="N372" t="s">
        <v>51</v>
      </c>
      <c r="O372">
        <v>8</v>
      </c>
      <c r="P372">
        <v>9</v>
      </c>
      <c r="Q372">
        <v>169</v>
      </c>
      <c r="R372">
        <v>2</v>
      </c>
      <c r="S372">
        <v>228.918582100013</v>
      </c>
      <c r="X372">
        <v>228.90921840001801</v>
      </c>
      <c r="Y372">
        <v>228.918582100013</v>
      </c>
      <c r="Z372">
        <v>229.419011800026</v>
      </c>
      <c r="AA372">
        <v>229.419011800026</v>
      </c>
      <c r="AB372">
        <v>229.419011800026</v>
      </c>
      <c r="AC372">
        <v>230.322398300049</v>
      </c>
      <c r="AD372" t="s">
        <v>54</v>
      </c>
      <c r="AE372">
        <v>1</v>
      </c>
      <c r="AF372">
        <v>0.88714299997081902</v>
      </c>
      <c r="AG372" t="s">
        <v>51</v>
      </c>
      <c r="AK372" t="s">
        <v>91</v>
      </c>
      <c r="AL372">
        <v>1</v>
      </c>
      <c r="AM372" t="s">
        <v>80</v>
      </c>
      <c r="AN372" t="s">
        <v>43</v>
      </c>
      <c r="AP372" t="s">
        <v>44</v>
      </c>
      <c r="AQ372">
        <v>59.456390224006398</v>
      </c>
      <c r="AR372" t="s">
        <v>81</v>
      </c>
    </row>
    <row r="373" spans="1:44" x14ac:dyDescent="0.3">
      <c r="A373" t="s">
        <v>73</v>
      </c>
      <c r="B373" t="s">
        <v>49</v>
      </c>
      <c r="C373" s="2" t="str">
        <f t="shared" si="5"/>
        <v>Emotional-I</v>
      </c>
      <c r="D373">
        <v>0.84972560004098296</v>
      </c>
      <c r="E373" t="s">
        <v>59</v>
      </c>
      <c r="F373" t="s">
        <v>56</v>
      </c>
      <c r="G373" t="s">
        <v>57</v>
      </c>
      <c r="H373">
        <v>170</v>
      </c>
      <c r="I373">
        <v>10</v>
      </c>
      <c r="J373">
        <v>8</v>
      </c>
      <c r="K373" t="s">
        <v>57</v>
      </c>
      <c r="L373">
        <v>1</v>
      </c>
      <c r="M373">
        <v>1.0292747999774201</v>
      </c>
      <c r="N373" t="s">
        <v>51</v>
      </c>
      <c r="O373">
        <v>8</v>
      </c>
      <c r="P373">
        <v>10</v>
      </c>
      <c r="Q373">
        <v>170</v>
      </c>
      <c r="R373">
        <v>1</v>
      </c>
      <c r="S373">
        <v>230.33515160001099</v>
      </c>
      <c r="X373">
        <v>230.32485980005001</v>
      </c>
      <c r="Y373">
        <v>230.33515160001099</v>
      </c>
      <c r="Z373">
        <v>230.835717900015</v>
      </c>
      <c r="AA373">
        <v>230.835717900015</v>
      </c>
      <c r="AB373">
        <v>230.835717900015</v>
      </c>
      <c r="AC373">
        <v>231.87258030002701</v>
      </c>
      <c r="AD373" t="s">
        <v>57</v>
      </c>
      <c r="AE373">
        <v>1</v>
      </c>
      <c r="AF373">
        <v>1.0292747999774201</v>
      </c>
      <c r="AG373" t="s">
        <v>51</v>
      </c>
      <c r="AK373" t="s">
        <v>91</v>
      </c>
      <c r="AL373">
        <v>1</v>
      </c>
      <c r="AM373" t="s">
        <v>80</v>
      </c>
      <c r="AN373" t="s">
        <v>43</v>
      </c>
      <c r="AP373" t="s">
        <v>44</v>
      </c>
      <c r="AQ373">
        <v>59.456390224006398</v>
      </c>
      <c r="AR373" t="s">
        <v>81</v>
      </c>
    </row>
    <row r="374" spans="1:44" x14ac:dyDescent="0.3">
      <c r="A374" t="s">
        <v>75</v>
      </c>
      <c r="B374" t="s">
        <v>49</v>
      </c>
      <c r="C374" s="2" t="str">
        <f t="shared" si="5"/>
        <v>Neutral</v>
      </c>
      <c r="D374">
        <v>0.70019579998916004</v>
      </c>
      <c r="E374" t="s">
        <v>47</v>
      </c>
      <c r="F374" t="s">
        <v>61</v>
      </c>
      <c r="G374" t="s">
        <v>63</v>
      </c>
      <c r="H374">
        <v>171</v>
      </c>
      <c r="I374">
        <v>11</v>
      </c>
      <c r="J374">
        <v>8</v>
      </c>
      <c r="K374" t="s">
        <v>63</v>
      </c>
      <c r="L374">
        <v>1</v>
      </c>
      <c r="M374">
        <v>0.414121699985116</v>
      </c>
      <c r="N374" t="s">
        <v>51</v>
      </c>
      <c r="O374">
        <v>8</v>
      </c>
      <c r="P374">
        <v>11</v>
      </c>
      <c r="Q374">
        <v>171</v>
      </c>
      <c r="R374">
        <v>16</v>
      </c>
      <c r="S374">
        <v>231.88497470004901</v>
      </c>
      <c r="X374">
        <v>231.87526250001901</v>
      </c>
      <c r="Y374">
        <v>231.88497470004901</v>
      </c>
      <c r="Z374">
        <v>232.38523520005401</v>
      </c>
      <c r="AA374">
        <v>232.38523520005401</v>
      </c>
      <c r="AB374">
        <v>232.38523520005401</v>
      </c>
      <c r="AC374">
        <v>232.80640090000799</v>
      </c>
      <c r="AD374" t="s">
        <v>63</v>
      </c>
      <c r="AE374">
        <v>1</v>
      </c>
      <c r="AF374">
        <v>0.414121699985116</v>
      </c>
      <c r="AG374" t="s">
        <v>51</v>
      </c>
      <c r="AK374" t="s">
        <v>91</v>
      </c>
      <c r="AL374">
        <v>1</v>
      </c>
      <c r="AM374" t="s">
        <v>80</v>
      </c>
      <c r="AN374" t="s">
        <v>43</v>
      </c>
      <c r="AP374" t="s">
        <v>44</v>
      </c>
      <c r="AQ374">
        <v>59.456390224006398</v>
      </c>
      <c r="AR374" t="s">
        <v>81</v>
      </c>
    </row>
    <row r="375" spans="1:44" x14ac:dyDescent="0.3">
      <c r="A375" t="s">
        <v>52</v>
      </c>
      <c r="B375" t="s">
        <v>49</v>
      </c>
      <c r="C375" s="2" t="str">
        <f t="shared" si="5"/>
        <v>Neutral</v>
      </c>
      <c r="D375">
        <v>2.4096240999642702</v>
      </c>
      <c r="E375" t="s">
        <v>47</v>
      </c>
      <c r="F375" t="s">
        <v>53</v>
      </c>
      <c r="G375" t="s">
        <v>54</v>
      </c>
      <c r="H375">
        <v>172</v>
      </c>
      <c r="I375">
        <v>12</v>
      </c>
      <c r="J375">
        <v>8</v>
      </c>
      <c r="K375" t="s">
        <v>54</v>
      </c>
      <c r="L375">
        <v>1</v>
      </c>
      <c r="M375">
        <v>0.88678519998211403</v>
      </c>
      <c r="N375" t="s">
        <v>51</v>
      </c>
      <c r="O375">
        <v>8</v>
      </c>
      <c r="P375">
        <v>12</v>
      </c>
      <c r="Q375">
        <v>172</v>
      </c>
      <c r="R375">
        <v>14</v>
      </c>
      <c r="S375">
        <v>232.81876960000901</v>
      </c>
      <c r="X375">
        <v>232.80971000000099</v>
      </c>
      <c r="Y375">
        <v>232.81876960000901</v>
      </c>
      <c r="Z375">
        <v>233.31984340003601</v>
      </c>
      <c r="AA375">
        <v>233.31984340003601</v>
      </c>
      <c r="AB375">
        <v>233.31984340003601</v>
      </c>
      <c r="AC375">
        <v>234.221650700026</v>
      </c>
      <c r="AD375" t="s">
        <v>54</v>
      </c>
      <c r="AE375">
        <v>1</v>
      </c>
      <c r="AF375">
        <v>0.88678519998211403</v>
      </c>
      <c r="AG375" t="s">
        <v>51</v>
      </c>
      <c r="AK375" t="s">
        <v>91</v>
      </c>
      <c r="AL375">
        <v>1</v>
      </c>
      <c r="AM375" t="s">
        <v>80</v>
      </c>
      <c r="AN375" t="s">
        <v>43</v>
      </c>
      <c r="AP375" t="s">
        <v>44</v>
      </c>
      <c r="AQ375">
        <v>59.456390224006398</v>
      </c>
      <c r="AR375" t="s">
        <v>81</v>
      </c>
    </row>
    <row r="376" spans="1:44" x14ac:dyDescent="0.3">
      <c r="A376" t="s">
        <v>64</v>
      </c>
      <c r="B376" t="s">
        <v>49</v>
      </c>
      <c r="C376" s="2" t="str">
        <f t="shared" si="5"/>
        <v>Neutral</v>
      </c>
      <c r="D376">
        <v>0.77311070001451299</v>
      </c>
      <c r="E376" t="s">
        <v>47</v>
      </c>
      <c r="F376" t="s">
        <v>53</v>
      </c>
      <c r="G376" t="s">
        <v>54</v>
      </c>
      <c r="H376">
        <v>173</v>
      </c>
      <c r="I376">
        <v>13</v>
      </c>
      <c r="J376">
        <v>8</v>
      </c>
      <c r="K376" t="s">
        <v>54</v>
      </c>
      <c r="L376">
        <v>1</v>
      </c>
      <c r="M376">
        <v>0.46988819999387399</v>
      </c>
      <c r="N376" t="s">
        <v>51</v>
      </c>
      <c r="O376">
        <v>8</v>
      </c>
      <c r="P376">
        <v>13</v>
      </c>
      <c r="Q376">
        <v>173</v>
      </c>
      <c r="R376">
        <v>18</v>
      </c>
      <c r="S376">
        <v>234.235495000029</v>
      </c>
      <c r="X376">
        <v>234.22445630002699</v>
      </c>
      <c r="Y376">
        <v>234.235495000029</v>
      </c>
      <c r="Z376">
        <v>234.73554960003801</v>
      </c>
      <c r="AA376">
        <v>234.73554960003801</v>
      </c>
      <c r="AB376">
        <v>234.73554960003801</v>
      </c>
      <c r="AC376">
        <v>235.20758230000499</v>
      </c>
      <c r="AD376" t="s">
        <v>54</v>
      </c>
      <c r="AE376">
        <v>1</v>
      </c>
      <c r="AF376">
        <v>0.46988819999387399</v>
      </c>
      <c r="AG376" t="s">
        <v>51</v>
      </c>
      <c r="AK376" t="s">
        <v>91</v>
      </c>
      <c r="AL376">
        <v>1</v>
      </c>
      <c r="AM376" t="s">
        <v>80</v>
      </c>
      <c r="AN376" t="s">
        <v>43</v>
      </c>
      <c r="AP376" t="s">
        <v>44</v>
      </c>
      <c r="AQ376">
        <v>59.456390224006398</v>
      </c>
      <c r="AR376" t="s">
        <v>81</v>
      </c>
    </row>
    <row r="377" spans="1:44" x14ac:dyDescent="0.3">
      <c r="A377" t="s">
        <v>77</v>
      </c>
      <c r="B377" t="s">
        <v>62</v>
      </c>
      <c r="C377" s="2" t="str">
        <f t="shared" si="5"/>
        <v>Emotional-C</v>
      </c>
      <c r="D377">
        <v>1.94710109999869</v>
      </c>
      <c r="E377" t="s">
        <v>59</v>
      </c>
      <c r="F377" t="s">
        <v>61</v>
      </c>
      <c r="G377" t="s">
        <v>63</v>
      </c>
      <c r="H377">
        <v>174</v>
      </c>
      <c r="I377">
        <v>14</v>
      </c>
      <c r="J377">
        <v>8</v>
      </c>
      <c r="K377" t="s">
        <v>63</v>
      </c>
      <c r="L377">
        <v>1</v>
      </c>
      <c r="M377">
        <v>2.7942560000228598</v>
      </c>
      <c r="N377" t="s">
        <v>51</v>
      </c>
      <c r="O377">
        <v>8</v>
      </c>
      <c r="P377">
        <v>14</v>
      </c>
      <c r="Q377">
        <v>174</v>
      </c>
      <c r="R377">
        <v>4</v>
      </c>
      <c r="S377">
        <v>235.218598700012</v>
      </c>
      <c r="X377">
        <v>235.21137400000501</v>
      </c>
      <c r="Y377">
        <v>235.218598700012</v>
      </c>
      <c r="Z377">
        <v>235.71831860003201</v>
      </c>
      <c r="AA377">
        <v>235.71831860003201</v>
      </c>
      <c r="AB377">
        <v>235.71831860003201</v>
      </c>
      <c r="AC377">
        <v>238.52225740003601</v>
      </c>
      <c r="AD377" t="s">
        <v>63</v>
      </c>
      <c r="AE377">
        <v>1</v>
      </c>
      <c r="AF377">
        <v>2.7942560000228598</v>
      </c>
      <c r="AG377" t="s">
        <v>51</v>
      </c>
      <c r="AK377" t="s">
        <v>91</v>
      </c>
      <c r="AL377">
        <v>1</v>
      </c>
      <c r="AM377" t="s">
        <v>80</v>
      </c>
      <c r="AN377" t="s">
        <v>43</v>
      </c>
      <c r="AP377" t="s">
        <v>44</v>
      </c>
      <c r="AQ377">
        <v>59.456390224006398</v>
      </c>
      <c r="AR377" t="s">
        <v>81</v>
      </c>
    </row>
    <row r="378" spans="1:44" x14ac:dyDescent="0.3">
      <c r="A378" t="s">
        <v>66</v>
      </c>
      <c r="B378" t="s">
        <v>49</v>
      </c>
      <c r="C378" s="2" t="str">
        <f t="shared" si="5"/>
        <v>Neutral</v>
      </c>
      <c r="D378">
        <v>0.84623560000909404</v>
      </c>
      <c r="E378" t="s">
        <v>47</v>
      </c>
      <c r="F378" t="s">
        <v>61</v>
      </c>
      <c r="G378" t="s">
        <v>63</v>
      </c>
      <c r="H378">
        <v>175</v>
      </c>
      <c r="I378">
        <v>15</v>
      </c>
      <c r="J378">
        <v>8</v>
      </c>
      <c r="K378" t="s">
        <v>63</v>
      </c>
      <c r="L378">
        <v>1</v>
      </c>
      <c r="M378">
        <v>0.52556430001277399</v>
      </c>
      <c r="N378" t="s">
        <v>51</v>
      </c>
      <c r="O378">
        <v>8</v>
      </c>
      <c r="P378">
        <v>15</v>
      </c>
      <c r="Q378">
        <v>175</v>
      </c>
      <c r="R378">
        <v>12</v>
      </c>
      <c r="S378">
        <v>238.53456810000301</v>
      </c>
      <c r="X378">
        <v>238.525142500002</v>
      </c>
      <c r="Y378">
        <v>238.53456810000301</v>
      </c>
      <c r="Z378">
        <v>239.034765300049</v>
      </c>
      <c r="AA378">
        <v>239.034765300049</v>
      </c>
      <c r="AB378">
        <v>239.034765300049</v>
      </c>
      <c r="AC378">
        <v>239.57245740003401</v>
      </c>
      <c r="AD378" t="s">
        <v>63</v>
      </c>
      <c r="AE378">
        <v>1</v>
      </c>
      <c r="AF378">
        <v>0.52556430001277399</v>
      </c>
      <c r="AG378" t="s">
        <v>51</v>
      </c>
      <c r="AK378" t="s">
        <v>91</v>
      </c>
      <c r="AL378">
        <v>1</v>
      </c>
      <c r="AM378" t="s">
        <v>80</v>
      </c>
      <c r="AN378" t="s">
        <v>43</v>
      </c>
      <c r="AP378" t="s">
        <v>44</v>
      </c>
      <c r="AQ378">
        <v>59.456390224006398</v>
      </c>
      <c r="AR378" t="s">
        <v>81</v>
      </c>
    </row>
    <row r="379" spans="1:44" x14ac:dyDescent="0.3">
      <c r="A379" t="s">
        <v>55</v>
      </c>
      <c r="B379" t="s">
        <v>49</v>
      </c>
      <c r="C379" s="2" t="str">
        <f t="shared" si="5"/>
        <v>Neutral</v>
      </c>
      <c r="D379">
        <v>0.97910230001434595</v>
      </c>
      <c r="E379" t="s">
        <v>47</v>
      </c>
      <c r="F379" t="s">
        <v>56</v>
      </c>
      <c r="G379" t="s">
        <v>57</v>
      </c>
      <c r="H379">
        <v>176</v>
      </c>
      <c r="I379">
        <v>16</v>
      </c>
      <c r="J379">
        <v>8</v>
      </c>
      <c r="K379" t="s">
        <v>57</v>
      </c>
      <c r="L379">
        <v>1</v>
      </c>
      <c r="M379">
        <v>0.73627629998372801</v>
      </c>
      <c r="N379" t="s">
        <v>51</v>
      </c>
      <c r="O379">
        <v>8</v>
      </c>
      <c r="P379">
        <v>16</v>
      </c>
      <c r="Q379">
        <v>176</v>
      </c>
      <c r="R379">
        <v>13</v>
      </c>
      <c r="S379">
        <v>239.58453190000699</v>
      </c>
      <c r="X379">
        <v>239.57506040000499</v>
      </c>
      <c r="Y379">
        <v>239.58453190000699</v>
      </c>
      <c r="Z379">
        <v>240.08440220000901</v>
      </c>
      <c r="AA379">
        <v>240.08440220000901</v>
      </c>
      <c r="AB379">
        <v>240.08440220000901</v>
      </c>
      <c r="AC379">
        <v>240.82224550005</v>
      </c>
      <c r="AD379" t="s">
        <v>57</v>
      </c>
      <c r="AE379">
        <v>1</v>
      </c>
      <c r="AF379">
        <v>0.73627629998372801</v>
      </c>
      <c r="AG379" t="s">
        <v>51</v>
      </c>
      <c r="AK379" t="s">
        <v>91</v>
      </c>
      <c r="AL379">
        <v>1</v>
      </c>
      <c r="AM379" t="s">
        <v>80</v>
      </c>
      <c r="AN379" t="s">
        <v>43</v>
      </c>
      <c r="AP379" t="s">
        <v>44</v>
      </c>
      <c r="AQ379">
        <v>59.456390224006398</v>
      </c>
      <c r="AR379" t="s">
        <v>81</v>
      </c>
    </row>
    <row r="380" spans="1:44" x14ac:dyDescent="0.3">
      <c r="A380" t="s">
        <v>71</v>
      </c>
      <c r="B380" t="s">
        <v>49</v>
      </c>
      <c r="C380" s="2" t="str">
        <f t="shared" si="5"/>
        <v>Neutral</v>
      </c>
      <c r="D380">
        <v>1.36026990000391</v>
      </c>
      <c r="E380" t="s">
        <v>47</v>
      </c>
      <c r="F380" t="s">
        <v>48</v>
      </c>
      <c r="G380" t="s">
        <v>50</v>
      </c>
      <c r="H380">
        <v>177</v>
      </c>
      <c r="I380">
        <v>17</v>
      </c>
      <c r="J380">
        <v>8</v>
      </c>
      <c r="K380" t="s">
        <v>50</v>
      </c>
      <c r="L380">
        <v>1</v>
      </c>
      <c r="M380">
        <v>0.85483680001925599</v>
      </c>
      <c r="N380" t="s">
        <v>51</v>
      </c>
      <c r="O380">
        <v>8</v>
      </c>
      <c r="P380">
        <v>17</v>
      </c>
      <c r="Q380">
        <v>177</v>
      </c>
      <c r="R380">
        <v>15</v>
      </c>
      <c r="S380">
        <v>240.834599900001</v>
      </c>
      <c r="X380">
        <v>240.82597240002301</v>
      </c>
      <c r="Y380">
        <v>240.834599900001</v>
      </c>
      <c r="Z380">
        <v>241.33440300001499</v>
      </c>
      <c r="AA380">
        <v>241.33440300001499</v>
      </c>
      <c r="AB380">
        <v>241.33440300001499</v>
      </c>
      <c r="AC380">
        <v>242.20634820003701</v>
      </c>
      <c r="AD380" t="s">
        <v>50</v>
      </c>
      <c r="AE380">
        <v>1</v>
      </c>
      <c r="AF380">
        <v>0.85483680001925599</v>
      </c>
      <c r="AG380" t="s">
        <v>51</v>
      </c>
      <c r="AK380" t="s">
        <v>91</v>
      </c>
      <c r="AL380">
        <v>1</v>
      </c>
      <c r="AM380" t="s">
        <v>80</v>
      </c>
      <c r="AN380" t="s">
        <v>43</v>
      </c>
      <c r="AP380" t="s">
        <v>44</v>
      </c>
      <c r="AQ380">
        <v>59.456390224006398</v>
      </c>
      <c r="AR380" t="s">
        <v>81</v>
      </c>
    </row>
    <row r="381" spans="1:44" x14ac:dyDescent="0.3">
      <c r="A381" t="s">
        <v>67</v>
      </c>
      <c r="B381" t="s">
        <v>49</v>
      </c>
      <c r="C381" s="2" t="str">
        <f t="shared" si="5"/>
        <v>Neutral</v>
      </c>
      <c r="D381">
        <v>0.43537700001615998</v>
      </c>
      <c r="E381" t="s">
        <v>47</v>
      </c>
      <c r="F381" t="s">
        <v>53</v>
      </c>
      <c r="G381" t="s">
        <v>54</v>
      </c>
      <c r="H381">
        <v>178</v>
      </c>
      <c r="I381">
        <v>18</v>
      </c>
      <c r="J381">
        <v>8</v>
      </c>
      <c r="K381" t="s">
        <v>54</v>
      </c>
      <c r="L381">
        <v>1</v>
      </c>
      <c r="M381">
        <v>0.51073249999899395</v>
      </c>
      <c r="N381" t="s">
        <v>51</v>
      </c>
      <c r="O381">
        <v>8</v>
      </c>
      <c r="P381">
        <v>18</v>
      </c>
      <c r="Q381">
        <v>178</v>
      </c>
      <c r="R381">
        <v>10</v>
      </c>
      <c r="S381">
        <v>242.21779710001999</v>
      </c>
      <c r="X381">
        <v>242.208945700025</v>
      </c>
      <c r="Y381">
        <v>242.21779710001999</v>
      </c>
      <c r="Z381">
        <v>242.71871870005199</v>
      </c>
      <c r="AA381">
        <v>242.71871870005199</v>
      </c>
      <c r="AB381">
        <v>242.71871870005199</v>
      </c>
      <c r="AC381">
        <v>243.23828440002299</v>
      </c>
      <c r="AD381" t="s">
        <v>54</v>
      </c>
      <c r="AE381">
        <v>1</v>
      </c>
      <c r="AF381">
        <v>0.51073249999899395</v>
      </c>
      <c r="AG381" t="s">
        <v>51</v>
      </c>
      <c r="AK381" t="s">
        <v>91</v>
      </c>
      <c r="AL381">
        <v>1</v>
      </c>
      <c r="AM381" t="s">
        <v>80</v>
      </c>
      <c r="AN381" t="s">
        <v>43</v>
      </c>
      <c r="AP381" t="s">
        <v>44</v>
      </c>
      <c r="AQ381">
        <v>59.456390224006398</v>
      </c>
      <c r="AR381" t="s">
        <v>81</v>
      </c>
    </row>
    <row r="382" spans="1:44" hidden="1" x14ac:dyDescent="0.3">
      <c r="A382" t="s">
        <v>74</v>
      </c>
      <c r="B382" t="s">
        <v>49</v>
      </c>
      <c r="C382" s="2" t="str">
        <f t="shared" si="5"/>
        <v>Neutral</v>
      </c>
      <c r="D382">
        <v>0.75220599997555804</v>
      </c>
      <c r="E382" t="s">
        <v>47</v>
      </c>
      <c r="F382" t="s">
        <v>48</v>
      </c>
      <c r="G382" t="s">
        <v>50</v>
      </c>
      <c r="H382">
        <v>179</v>
      </c>
      <c r="I382">
        <v>19</v>
      </c>
      <c r="J382">
        <v>8</v>
      </c>
      <c r="K382" t="s">
        <v>54</v>
      </c>
      <c r="L382">
        <v>0</v>
      </c>
      <c r="M382">
        <v>0.501789200003258</v>
      </c>
      <c r="N382" t="s">
        <v>51</v>
      </c>
      <c r="O382">
        <v>8</v>
      </c>
      <c r="P382">
        <v>19</v>
      </c>
      <c r="Q382">
        <v>179</v>
      </c>
      <c r="R382">
        <v>11</v>
      </c>
      <c r="S382">
        <v>243.251383100054</v>
      </c>
      <c r="X382">
        <v>243.24096910003499</v>
      </c>
      <c r="Y382">
        <v>243.251383100054</v>
      </c>
      <c r="Z382">
        <v>243.75130590004801</v>
      </c>
      <c r="AA382">
        <v>243.75130590004801</v>
      </c>
      <c r="AB382">
        <v>243.75130590004801</v>
      </c>
      <c r="AC382">
        <v>244.255105500051</v>
      </c>
      <c r="AD382" t="s">
        <v>54</v>
      </c>
      <c r="AE382">
        <v>0</v>
      </c>
      <c r="AF382">
        <v>0.501789200003258</v>
      </c>
      <c r="AG382" t="s">
        <v>51</v>
      </c>
      <c r="AK382" t="s">
        <v>91</v>
      </c>
      <c r="AL382">
        <v>1</v>
      </c>
      <c r="AM382" t="s">
        <v>80</v>
      </c>
      <c r="AN382" t="s">
        <v>43</v>
      </c>
      <c r="AP382" t="s">
        <v>44</v>
      </c>
      <c r="AQ382">
        <v>59.456390224006398</v>
      </c>
      <c r="AR382" t="s">
        <v>81</v>
      </c>
    </row>
    <row r="383" spans="1:44" x14ac:dyDescent="0.3">
      <c r="A383" t="s">
        <v>73</v>
      </c>
      <c r="B383" t="s">
        <v>49</v>
      </c>
      <c r="C383" s="2" t="str">
        <f t="shared" si="5"/>
        <v>Emotional-I</v>
      </c>
      <c r="D383">
        <v>1.28693150001345</v>
      </c>
      <c r="E383" t="s">
        <v>59</v>
      </c>
      <c r="F383" t="s">
        <v>56</v>
      </c>
      <c r="G383" t="s">
        <v>57</v>
      </c>
      <c r="H383">
        <v>180</v>
      </c>
      <c r="I383">
        <v>0</v>
      </c>
      <c r="J383">
        <v>9</v>
      </c>
      <c r="K383" t="s">
        <v>57</v>
      </c>
      <c r="L383">
        <v>1</v>
      </c>
      <c r="M383">
        <v>0.63615330000175097</v>
      </c>
      <c r="N383" t="s">
        <v>51</v>
      </c>
      <c r="O383">
        <v>9</v>
      </c>
      <c r="P383">
        <v>0</v>
      </c>
      <c r="Q383">
        <v>180</v>
      </c>
      <c r="R383">
        <v>1</v>
      </c>
      <c r="S383">
        <v>244.26774180005299</v>
      </c>
      <c r="X383">
        <v>244.25841760000901</v>
      </c>
      <c r="Y383">
        <v>244.26774180005299</v>
      </c>
      <c r="Z383">
        <v>244.767816500039</v>
      </c>
      <c r="AA383">
        <v>244.767816500039</v>
      </c>
      <c r="AB383">
        <v>244.767816500039</v>
      </c>
      <c r="AC383">
        <v>245.405259600025</v>
      </c>
      <c r="AD383" t="s">
        <v>57</v>
      </c>
      <c r="AE383">
        <v>1</v>
      </c>
      <c r="AF383">
        <v>0.63615330000175097</v>
      </c>
      <c r="AG383" t="s">
        <v>51</v>
      </c>
      <c r="AK383" t="s">
        <v>91</v>
      </c>
      <c r="AL383">
        <v>1</v>
      </c>
      <c r="AM383" t="s">
        <v>80</v>
      </c>
      <c r="AN383" t="s">
        <v>43</v>
      </c>
      <c r="AP383" t="s">
        <v>44</v>
      </c>
      <c r="AQ383">
        <v>59.456390224006398</v>
      </c>
      <c r="AR383" t="s">
        <v>81</v>
      </c>
    </row>
    <row r="384" spans="1:44" x14ac:dyDescent="0.3">
      <c r="A384" t="s">
        <v>67</v>
      </c>
      <c r="B384" t="s">
        <v>49</v>
      </c>
      <c r="C384" s="2" t="str">
        <f t="shared" si="5"/>
        <v>Neutral</v>
      </c>
      <c r="D384">
        <v>0.74567799997748796</v>
      </c>
      <c r="E384" t="s">
        <v>47</v>
      </c>
      <c r="F384" t="s">
        <v>53</v>
      </c>
      <c r="G384" t="s">
        <v>54</v>
      </c>
      <c r="H384">
        <v>181</v>
      </c>
      <c r="I384">
        <v>1</v>
      </c>
      <c r="J384">
        <v>9</v>
      </c>
      <c r="K384" t="s">
        <v>54</v>
      </c>
      <c r="L384">
        <v>1</v>
      </c>
      <c r="M384">
        <v>0.479904000007081</v>
      </c>
      <c r="N384" t="s">
        <v>51</v>
      </c>
      <c r="O384">
        <v>9</v>
      </c>
      <c r="P384">
        <v>1</v>
      </c>
      <c r="Q384">
        <v>181</v>
      </c>
      <c r="R384">
        <v>10</v>
      </c>
      <c r="S384">
        <v>245.41763860004701</v>
      </c>
      <c r="X384">
        <v>245.408256700029</v>
      </c>
      <c r="Y384">
        <v>245.41763860004701</v>
      </c>
      <c r="Z384">
        <v>245.918005600047</v>
      </c>
      <c r="AA384">
        <v>245.918005600047</v>
      </c>
      <c r="AB384">
        <v>245.918005600047</v>
      </c>
      <c r="AC384">
        <v>246.40562840003901</v>
      </c>
      <c r="AD384" t="s">
        <v>54</v>
      </c>
      <c r="AE384">
        <v>1</v>
      </c>
      <c r="AF384">
        <v>0.479904000007081</v>
      </c>
      <c r="AG384" t="s">
        <v>51</v>
      </c>
      <c r="AK384" t="s">
        <v>91</v>
      </c>
      <c r="AL384">
        <v>1</v>
      </c>
      <c r="AM384" t="s">
        <v>80</v>
      </c>
      <c r="AN384" t="s">
        <v>43</v>
      </c>
      <c r="AP384" t="s">
        <v>44</v>
      </c>
      <c r="AQ384">
        <v>59.456390224006398</v>
      </c>
      <c r="AR384" t="s">
        <v>81</v>
      </c>
    </row>
    <row r="385" spans="1:44" x14ac:dyDescent="0.3">
      <c r="A385" t="s">
        <v>72</v>
      </c>
      <c r="B385" t="s">
        <v>62</v>
      </c>
      <c r="C385" s="2" t="str">
        <f t="shared" si="5"/>
        <v>Emotional-C</v>
      </c>
      <c r="D385">
        <v>0.99624299997230903</v>
      </c>
      <c r="E385" t="s">
        <v>59</v>
      </c>
      <c r="F385" t="s">
        <v>61</v>
      </c>
      <c r="G385" t="s">
        <v>63</v>
      </c>
      <c r="H385">
        <v>182</v>
      </c>
      <c r="I385">
        <v>2</v>
      </c>
      <c r="J385">
        <v>9</v>
      </c>
      <c r="K385" t="s">
        <v>63</v>
      </c>
      <c r="L385">
        <v>1</v>
      </c>
      <c r="M385">
        <v>0.47373179998248799</v>
      </c>
      <c r="N385" t="s">
        <v>51</v>
      </c>
      <c r="O385">
        <v>9</v>
      </c>
      <c r="P385">
        <v>2</v>
      </c>
      <c r="Q385">
        <v>182</v>
      </c>
      <c r="R385">
        <v>8</v>
      </c>
      <c r="S385">
        <v>246.41814449999899</v>
      </c>
      <c r="X385">
        <v>246.40892040001901</v>
      </c>
      <c r="Y385">
        <v>246.41814449999899</v>
      </c>
      <c r="Z385">
        <v>246.91772870003399</v>
      </c>
      <c r="AA385">
        <v>246.91772870003399</v>
      </c>
      <c r="AB385">
        <v>246.91772870003399</v>
      </c>
      <c r="AC385">
        <v>247.404835300054</v>
      </c>
      <c r="AD385" t="s">
        <v>63</v>
      </c>
      <c r="AE385">
        <v>1</v>
      </c>
      <c r="AF385">
        <v>0.47373179998248799</v>
      </c>
      <c r="AG385" t="s">
        <v>51</v>
      </c>
      <c r="AK385" t="s">
        <v>91</v>
      </c>
      <c r="AL385">
        <v>1</v>
      </c>
      <c r="AM385" t="s">
        <v>80</v>
      </c>
      <c r="AN385" t="s">
        <v>43</v>
      </c>
      <c r="AP385" t="s">
        <v>44</v>
      </c>
      <c r="AQ385">
        <v>59.456390224006398</v>
      </c>
      <c r="AR385" t="s">
        <v>81</v>
      </c>
    </row>
    <row r="386" spans="1:44" x14ac:dyDescent="0.3">
      <c r="A386" t="s">
        <v>65</v>
      </c>
      <c r="B386" t="s">
        <v>49</v>
      </c>
      <c r="C386" s="2" t="str">
        <f t="shared" ref="C386:C449" si="6">IF(E386="neutral","Neutral",
IF(AND(E386="emotional",B386="C"),"Emotional-C",
IF(AND(E386="emotional",B386="I"),"Emotional-I","")))</f>
        <v>Emotional-I</v>
      </c>
      <c r="D386">
        <v>1.04662179999286</v>
      </c>
      <c r="E386" t="s">
        <v>59</v>
      </c>
      <c r="F386" t="s">
        <v>56</v>
      </c>
      <c r="G386" t="s">
        <v>57</v>
      </c>
      <c r="H386">
        <v>183</v>
      </c>
      <c r="I386">
        <v>3</v>
      </c>
      <c r="J386">
        <v>9</v>
      </c>
      <c r="K386" t="s">
        <v>57</v>
      </c>
      <c r="L386">
        <v>1</v>
      </c>
      <c r="M386">
        <v>0.78281179995974504</v>
      </c>
      <c r="N386" t="s">
        <v>51</v>
      </c>
      <c r="O386">
        <v>9</v>
      </c>
      <c r="P386">
        <v>3</v>
      </c>
      <c r="Q386">
        <v>183</v>
      </c>
      <c r="R386">
        <v>9</v>
      </c>
      <c r="S386">
        <v>247.41761840000899</v>
      </c>
      <c r="X386">
        <v>247.408100200002</v>
      </c>
      <c r="Y386">
        <v>247.41761840000899</v>
      </c>
      <c r="Z386">
        <v>247.91753450001099</v>
      </c>
      <c r="AA386">
        <v>247.91753450001099</v>
      </c>
      <c r="AB386">
        <v>247.91753450001099</v>
      </c>
      <c r="AC386">
        <v>248.7050591</v>
      </c>
      <c r="AD386" t="s">
        <v>57</v>
      </c>
      <c r="AE386">
        <v>1</v>
      </c>
      <c r="AF386">
        <v>0.78281179995974504</v>
      </c>
      <c r="AG386" t="s">
        <v>51</v>
      </c>
      <c r="AK386" t="s">
        <v>91</v>
      </c>
      <c r="AL386">
        <v>1</v>
      </c>
      <c r="AM386" t="s">
        <v>80</v>
      </c>
      <c r="AN386" t="s">
        <v>43</v>
      </c>
      <c r="AP386" t="s">
        <v>44</v>
      </c>
      <c r="AQ386">
        <v>59.456390224006398</v>
      </c>
      <c r="AR386" t="s">
        <v>81</v>
      </c>
    </row>
    <row r="387" spans="1:44" x14ac:dyDescent="0.3">
      <c r="A387" t="s">
        <v>77</v>
      </c>
      <c r="B387" t="s">
        <v>62</v>
      </c>
      <c r="C387" s="2" t="str">
        <f t="shared" si="6"/>
        <v>Emotional-C</v>
      </c>
      <c r="D387">
        <v>0.484855799993965</v>
      </c>
      <c r="E387" t="s">
        <v>59</v>
      </c>
      <c r="F387" t="s">
        <v>61</v>
      </c>
      <c r="G387" t="s">
        <v>63</v>
      </c>
      <c r="H387">
        <v>184</v>
      </c>
      <c r="I387">
        <v>4</v>
      </c>
      <c r="J387">
        <v>9</v>
      </c>
      <c r="K387" t="s">
        <v>63</v>
      </c>
      <c r="L387">
        <v>1</v>
      </c>
      <c r="M387">
        <v>0.57756989996414598</v>
      </c>
      <c r="N387" t="s">
        <v>51</v>
      </c>
      <c r="O387">
        <v>9</v>
      </c>
      <c r="P387">
        <v>4</v>
      </c>
      <c r="Q387">
        <v>184</v>
      </c>
      <c r="R387">
        <v>4</v>
      </c>
      <c r="S387">
        <v>248.71758180001001</v>
      </c>
      <c r="X387">
        <v>248.70758770004599</v>
      </c>
      <c r="Y387">
        <v>248.71758180001001</v>
      </c>
      <c r="Z387">
        <v>249.21756980003499</v>
      </c>
      <c r="AA387">
        <v>249.21756980003499</v>
      </c>
      <c r="AB387">
        <v>249.21756980003499</v>
      </c>
      <c r="AC387">
        <v>249.80562620004599</v>
      </c>
      <c r="AD387" t="s">
        <v>63</v>
      </c>
      <c r="AE387">
        <v>1</v>
      </c>
      <c r="AF387">
        <v>0.57756989996414598</v>
      </c>
      <c r="AG387" t="s">
        <v>51</v>
      </c>
      <c r="AK387" t="s">
        <v>91</v>
      </c>
      <c r="AL387">
        <v>1</v>
      </c>
      <c r="AM387" t="s">
        <v>80</v>
      </c>
      <c r="AN387" t="s">
        <v>43</v>
      </c>
      <c r="AP387" t="s">
        <v>44</v>
      </c>
      <c r="AQ387">
        <v>59.456390224006398</v>
      </c>
      <c r="AR387" t="s">
        <v>81</v>
      </c>
    </row>
    <row r="388" spans="1:44" x14ac:dyDescent="0.3">
      <c r="A388" t="s">
        <v>74</v>
      </c>
      <c r="B388" t="s">
        <v>49</v>
      </c>
      <c r="C388" s="2" t="str">
        <f t="shared" si="6"/>
        <v>Neutral</v>
      </c>
      <c r="D388">
        <v>0.62045930000021998</v>
      </c>
      <c r="E388" t="s">
        <v>47</v>
      </c>
      <c r="F388" t="s">
        <v>48</v>
      </c>
      <c r="G388" t="s">
        <v>50</v>
      </c>
      <c r="H388">
        <v>185</v>
      </c>
      <c r="I388">
        <v>5</v>
      </c>
      <c r="J388">
        <v>9</v>
      </c>
      <c r="K388" t="s">
        <v>50</v>
      </c>
      <c r="L388">
        <v>1</v>
      </c>
      <c r="M388">
        <v>0.677247500047087</v>
      </c>
      <c r="N388" t="s">
        <v>51</v>
      </c>
      <c r="O388">
        <v>9</v>
      </c>
      <c r="P388">
        <v>5</v>
      </c>
      <c r="Q388">
        <v>185</v>
      </c>
      <c r="R388">
        <v>11</v>
      </c>
      <c r="S388">
        <v>249.817389200034</v>
      </c>
      <c r="X388">
        <v>249.80885260004999</v>
      </c>
      <c r="Y388">
        <v>249.817389200034</v>
      </c>
      <c r="Z388">
        <v>250.319340300047</v>
      </c>
      <c r="AA388">
        <v>250.319340300047</v>
      </c>
      <c r="AB388">
        <v>250.319340300047</v>
      </c>
      <c r="AC388">
        <v>251.004545400035</v>
      </c>
      <c r="AD388" t="s">
        <v>50</v>
      </c>
      <c r="AE388">
        <v>1</v>
      </c>
      <c r="AF388">
        <v>0.677247500047087</v>
      </c>
      <c r="AG388" t="s">
        <v>51</v>
      </c>
      <c r="AK388" t="s">
        <v>91</v>
      </c>
      <c r="AL388">
        <v>1</v>
      </c>
      <c r="AM388" t="s">
        <v>80</v>
      </c>
      <c r="AN388" t="s">
        <v>43</v>
      </c>
      <c r="AP388" t="s">
        <v>44</v>
      </c>
      <c r="AQ388">
        <v>59.456390224006398</v>
      </c>
      <c r="AR388" t="s">
        <v>81</v>
      </c>
    </row>
    <row r="389" spans="1:44" x14ac:dyDescent="0.3">
      <c r="A389" t="s">
        <v>60</v>
      </c>
      <c r="B389" t="s">
        <v>62</v>
      </c>
      <c r="C389" s="2" t="str">
        <f t="shared" si="6"/>
        <v>Emotional-C</v>
      </c>
      <c r="D389">
        <v>1.12235219997819</v>
      </c>
      <c r="E389" t="s">
        <v>59</v>
      </c>
      <c r="F389" t="s">
        <v>61</v>
      </c>
      <c r="G389" t="s">
        <v>63</v>
      </c>
      <c r="H389">
        <v>186</v>
      </c>
      <c r="I389">
        <v>6</v>
      </c>
      <c r="J389">
        <v>9</v>
      </c>
      <c r="K389" t="s">
        <v>63</v>
      </c>
      <c r="L389">
        <v>1</v>
      </c>
      <c r="M389">
        <v>0.59963830001652196</v>
      </c>
      <c r="N389" t="s">
        <v>51</v>
      </c>
      <c r="O389">
        <v>9</v>
      </c>
      <c r="P389">
        <v>6</v>
      </c>
      <c r="Q389">
        <v>186</v>
      </c>
      <c r="R389">
        <v>0</v>
      </c>
      <c r="S389">
        <v>251.017938400036</v>
      </c>
      <c r="X389">
        <v>251.00700000004099</v>
      </c>
      <c r="Y389">
        <v>251.017938400036</v>
      </c>
      <c r="Z389">
        <v>251.517678700038</v>
      </c>
      <c r="AA389">
        <v>251.517678700038</v>
      </c>
      <c r="AB389">
        <v>251.517678700038</v>
      </c>
      <c r="AC389">
        <v>252.1222558</v>
      </c>
      <c r="AD389" t="s">
        <v>63</v>
      </c>
      <c r="AE389">
        <v>1</v>
      </c>
      <c r="AF389">
        <v>0.59963830001652196</v>
      </c>
      <c r="AG389" t="s">
        <v>51</v>
      </c>
      <c r="AK389" t="s">
        <v>91</v>
      </c>
      <c r="AL389">
        <v>1</v>
      </c>
      <c r="AM389" t="s">
        <v>80</v>
      </c>
      <c r="AN389" t="s">
        <v>43</v>
      </c>
      <c r="AP389" t="s">
        <v>44</v>
      </c>
      <c r="AQ389">
        <v>59.456390224006398</v>
      </c>
      <c r="AR389" t="s">
        <v>81</v>
      </c>
    </row>
    <row r="390" spans="1:44" x14ac:dyDescent="0.3">
      <c r="A390" t="s">
        <v>66</v>
      </c>
      <c r="B390" t="s">
        <v>49</v>
      </c>
      <c r="C390" s="2" t="str">
        <f t="shared" si="6"/>
        <v>Neutral</v>
      </c>
      <c r="D390">
        <v>0.70139639999251802</v>
      </c>
      <c r="E390" t="s">
        <v>47</v>
      </c>
      <c r="F390" t="s">
        <v>61</v>
      </c>
      <c r="G390" t="s">
        <v>63</v>
      </c>
      <c r="H390">
        <v>187</v>
      </c>
      <c r="I390">
        <v>7</v>
      </c>
      <c r="J390">
        <v>9</v>
      </c>
      <c r="K390" t="s">
        <v>63</v>
      </c>
      <c r="L390">
        <v>1</v>
      </c>
      <c r="M390">
        <v>0.73268240003380902</v>
      </c>
      <c r="N390" t="s">
        <v>51</v>
      </c>
      <c r="O390">
        <v>9</v>
      </c>
      <c r="P390">
        <v>7</v>
      </c>
      <c r="Q390">
        <v>187</v>
      </c>
      <c r="R390">
        <v>12</v>
      </c>
      <c r="S390">
        <v>252.134257100056</v>
      </c>
      <c r="X390">
        <v>252.125017900019</v>
      </c>
      <c r="Y390">
        <v>252.134257100056</v>
      </c>
      <c r="Z390">
        <v>252.63538450002599</v>
      </c>
      <c r="AA390">
        <v>252.63538450002599</v>
      </c>
      <c r="AB390">
        <v>252.63538450002599</v>
      </c>
      <c r="AC390">
        <v>253.37213690002599</v>
      </c>
      <c r="AD390" t="s">
        <v>63</v>
      </c>
      <c r="AE390">
        <v>1</v>
      </c>
      <c r="AF390">
        <v>0.73268240003380902</v>
      </c>
      <c r="AG390" t="s">
        <v>51</v>
      </c>
      <c r="AK390" t="s">
        <v>91</v>
      </c>
      <c r="AL390">
        <v>1</v>
      </c>
      <c r="AM390" t="s">
        <v>80</v>
      </c>
      <c r="AN390" t="s">
        <v>43</v>
      </c>
      <c r="AP390" t="s">
        <v>44</v>
      </c>
      <c r="AQ390">
        <v>59.456390224006398</v>
      </c>
      <c r="AR390" t="s">
        <v>81</v>
      </c>
    </row>
    <row r="391" spans="1:44" x14ac:dyDescent="0.3">
      <c r="A391" t="s">
        <v>76</v>
      </c>
      <c r="B391" t="s">
        <v>49</v>
      </c>
      <c r="C391" s="2" t="str">
        <f t="shared" si="6"/>
        <v>Emotional-I</v>
      </c>
      <c r="D391">
        <v>0.49432369996793502</v>
      </c>
      <c r="E391" t="s">
        <v>59</v>
      </c>
      <c r="F391" t="s">
        <v>48</v>
      </c>
      <c r="G391" t="s">
        <v>50</v>
      </c>
      <c r="H391">
        <v>188</v>
      </c>
      <c r="I391">
        <v>8</v>
      </c>
      <c r="J391">
        <v>9</v>
      </c>
      <c r="K391" t="s">
        <v>50</v>
      </c>
      <c r="L391">
        <v>1</v>
      </c>
      <c r="M391">
        <v>1.1923820999800201</v>
      </c>
      <c r="N391" t="s">
        <v>51</v>
      </c>
      <c r="O391">
        <v>9</v>
      </c>
      <c r="P391">
        <v>8</v>
      </c>
      <c r="Q391">
        <v>188</v>
      </c>
      <c r="R391">
        <v>3</v>
      </c>
      <c r="S391">
        <v>253.384631300054</v>
      </c>
      <c r="X391">
        <v>253.37509700004</v>
      </c>
      <c r="Y391">
        <v>253.384631300054</v>
      </c>
      <c r="Z391">
        <v>253.88468529999901</v>
      </c>
      <c r="AA391">
        <v>253.88468529999901</v>
      </c>
      <c r="AB391">
        <v>253.88468529999901</v>
      </c>
      <c r="AC391">
        <v>255.08988150005399</v>
      </c>
      <c r="AD391" t="s">
        <v>50</v>
      </c>
      <c r="AE391">
        <v>1</v>
      </c>
      <c r="AF391">
        <v>1.1923820999800201</v>
      </c>
      <c r="AG391" t="s">
        <v>51</v>
      </c>
      <c r="AK391" t="s">
        <v>91</v>
      </c>
      <c r="AL391">
        <v>1</v>
      </c>
      <c r="AM391" t="s">
        <v>80</v>
      </c>
      <c r="AN391" t="s">
        <v>43</v>
      </c>
      <c r="AP391" t="s">
        <v>44</v>
      </c>
      <c r="AQ391">
        <v>59.456390224006398</v>
      </c>
      <c r="AR391" t="s">
        <v>81</v>
      </c>
    </row>
    <row r="392" spans="1:44" x14ac:dyDescent="0.3">
      <c r="A392" t="s">
        <v>70</v>
      </c>
      <c r="B392" t="s">
        <v>49</v>
      </c>
      <c r="C392" s="2" t="str">
        <f t="shared" si="6"/>
        <v>Emotional-I</v>
      </c>
      <c r="D392">
        <v>0.563211200002115</v>
      </c>
      <c r="E392" t="s">
        <v>59</v>
      </c>
      <c r="F392" t="s">
        <v>53</v>
      </c>
      <c r="G392" t="s">
        <v>54</v>
      </c>
      <c r="H392">
        <v>189</v>
      </c>
      <c r="I392">
        <v>9</v>
      </c>
      <c r="J392">
        <v>9</v>
      </c>
      <c r="K392" t="s">
        <v>54</v>
      </c>
      <c r="L392">
        <v>1</v>
      </c>
      <c r="M392">
        <v>0.84972560004098296</v>
      </c>
      <c r="N392" t="s">
        <v>51</v>
      </c>
      <c r="O392">
        <v>9</v>
      </c>
      <c r="P392">
        <v>9</v>
      </c>
      <c r="Q392">
        <v>189</v>
      </c>
      <c r="R392">
        <v>2</v>
      </c>
      <c r="S392">
        <v>255.10275980003601</v>
      </c>
      <c r="X392">
        <v>255.094281000026</v>
      </c>
      <c r="Y392">
        <v>255.10275980003601</v>
      </c>
      <c r="Z392">
        <v>255.60094640002299</v>
      </c>
      <c r="AA392">
        <v>255.60094640002299</v>
      </c>
      <c r="AB392">
        <v>255.60094640002299</v>
      </c>
      <c r="AC392">
        <v>256.45477880001999</v>
      </c>
      <c r="AD392" t="s">
        <v>54</v>
      </c>
      <c r="AE392">
        <v>1</v>
      </c>
      <c r="AF392">
        <v>0.84972560004098296</v>
      </c>
      <c r="AG392" t="s">
        <v>51</v>
      </c>
      <c r="AK392" t="s">
        <v>91</v>
      </c>
      <c r="AL392">
        <v>1</v>
      </c>
      <c r="AM392" t="s">
        <v>80</v>
      </c>
      <c r="AN392" t="s">
        <v>43</v>
      </c>
      <c r="AP392" t="s">
        <v>44</v>
      </c>
      <c r="AQ392">
        <v>59.456390224006398</v>
      </c>
      <c r="AR392" t="s">
        <v>81</v>
      </c>
    </row>
    <row r="393" spans="1:44" x14ac:dyDescent="0.3">
      <c r="A393" t="s">
        <v>78</v>
      </c>
      <c r="B393" t="s">
        <v>49</v>
      </c>
      <c r="C393" s="2" t="str">
        <f t="shared" si="6"/>
        <v>Neutral</v>
      </c>
      <c r="D393">
        <v>1.51778359996387</v>
      </c>
      <c r="E393" t="s">
        <v>47</v>
      </c>
      <c r="F393" t="s">
        <v>56</v>
      </c>
      <c r="G393" t="s">
        <v>57</v>
      </c>
      <c r="H393">
        <v>190</v>
      </c>
      <c r="I393">
        <v>10</v>
      </c>
      <c r="J393">
        <v>9</v>
      </c>
      <c r="K393" t="s">
        <v>57</v>
      </c>
      <c r="L393">
        <v>1</v>
      </c>
      <c r="M393">
        <v>0.70019579998916004</v>
      </c>
      <c r="N393" t="s">
        <v>51</v>
      </c>
      <c r="O393">
        <v>9</v>
      </c>
      <c r="P393">
        <v>10</v>
      </c>
      <c r="Q393">
        <v>190</v>
      </c>
      <c r="R393">
        <v>17</v>
      </c>
      <c r="S393">
        <v>256.46794660005202</v>
      </c>
      <c r="X393">
        <v>256.45785990002298</v>
      </c>
      <c r="Y393">
        <v>256.46794660005202</v>
      </c>
      <c r="Z393">
        <v>256.96736990002597</v>
      </c>
      <c r="AA393">
        <v>256.96736990002597</v>
      </c>
      <c r="AB393">
        <v>256.96736990002597</v>
      </c>
      <c r="AC393">
        <v>257.67163320002101</v>
      </c>
      <c r="AD393" t="s">
        <v>57</v>
      </c>
      <c r="AE393">
        <v>1</v>
      </c>
      <c r="AF393">
        <v>0.70019579998916004</v>
      </c>
      <c r="AG393" t="s">
        <v>51</v>
      </c>
      <c r="AK393" t="s">
        <v>91</v>
      </c>
      <c r="AL393">
        <v>1</v>
      </c>
      <c r="AM393" t="s">
        <v>80</v>
      </c>
      <c r="AN393" t="s">
        <v>43</v>
      </c>
      <c r="AP393" t="s">
        <v>44</v>
      </c>
      <c r="AQ393">
        <v>59.456390224006398</v>
      </c>
      <c r="AR393" t="s">
        <v>81</v>
      </c>
    </row>
    <row r="394" spans="1:44" x14ac:dyDescent="0.3">
      <c r="A394" t="s">
        <v>75</v>
      </c>
      <c r="B394" t="s">
        <v>49</v>
      </c>
      <c r="C394" s="2" t="str">
        <f t="shared" si="6"/>
        <v>Neutral</v>
      </c>
      <c r="D394">
        <v>1.37337989994557</v>
      </c>
      <c r="E394" t="s">
        <v>47</v>
      </c>
      <c r="F394" t="s">
        <v>61</v>
      </c>
      <c r="G394" t="s">
        <v>63</v>
      </c>
      <c r="H394">
        <v>191</v>
      </c>
      <c r="I394">
        <v>11</v>
      </c>
      <c r="J394">
        <v>9</v>
      </c>
      <c r="K394" t="s">
        <v>63</v>
      </c>
      <c r="L394">
        <v>1</v>
      </c>
      <c r="M394">
        <v>2.4096240999642702</v>
      </c>
      <c r="N394" t="s">
        <v>51</v>
      </c>
      <c r="O394">
        <v>9</v>
      </c>
      <c r="P394">
        <v>11</v>
      </c>
      <c r="Q394">
        <v>191</v>
      </c>
      <c r="R394">
        <v>16</v>
      </c>
      <c r="S394">
        <v>257.683892100001</v>
      </c>
      <c r="X394">
        <v>257.67598160001199</v>
      </c>
      <c r="Y394">
        <v>257.683892100001</v>
      </c>
      <c r="Z394">
        <v>258.18398610001799</v>
      </c>
      <c r="AA394">
        <v>258.18398610001799</v>
      </c>
      <c r="AB394">
        <v>258.18398610001799</v>
      </c>
      <c r="AC394">
        <v>260.604537800012</v>
      </c>
      <c r="AD394" t="s">
        <v>63</v>
      </c>
      <c r="AE394">
        <v>1</v>
      </c>
      <c r="AF394">
        <v>2.4096240999642702</v>
      </c>
      <c r="AG394" t="s">
        <v>51</v>
      </c>
      <c r="AK394" t="s">
        <v>91</v>
      </c>
      <c r="AL394">
        <v>1</v>
      </c>
      <c r="AM394" t="s">
        <v>80</v>
      </c>
      <c r="AN394" t="s">
        <v>43</v>
      </c>
      <c r="AP394" t="s">
        <v>44</v>
      </c>
      <c r="AQ394">
        <v>59.456390224006398</v>
      </c>
      <c r="AR394" t="s">
        <v>81</v>
      </c>
    </row>
    <row r="395" spans="1:44" x14ac:dyDescent="0.3">
      <c r="A395" t="s">
        <v>55</v>
      </c>
      <c r="B395" t="s">
        <v>49</v>
      </c>
      <c r="C395" s="2" t="str">
        <f t="shared" si="6"/>
        <v>Neutral</v>
      </c>
      <c r="D395">
        <v>0.45018770004389802</v>
      </c>
      <c r="E395" t="s">
        <v>47</v>
      </c>
      <c r="F395" t="s">
        <v>56</v>
      </c>
      <c r="G395" t="s">
        <v>57</v>
      </c>
      <c r="H395">
        <v>192</v>
      </c>
      <c r="I395">
        <v>12</v>
      </c>
      <c r="J395">
        <v>9</v>
      </c>
      <c r="K395" t="s">
        <v>57</v>
      </c>
      <c r="L395">
        <v>1</v>
      </c>
      <c r="M395">
        <v>0.77311070001451299</v>
      </c>
      <c r="N395" t="s">
        <v>51</v>
      </c>
      <c r="O395">
        <v>9</v>
      </c>
      <c r="P395">
        <v>12</v>
      </c>
      <c r="Q395">
        <v>192</v>
      </c>
      <c r="R395">
        <v>13</v>
      </c>
      <c r="S395">
        <v>260.62015330005602</v>
      </c>
      <c r="X395">
        <v>260.60731890000102</v>
      </c>
      <c r="Y395">
        <v>260.62015330005602</v>
      </c>
      <c r="Z395">
        <v>261.11711150000298</v>
      </c>
      <c r="AA395">
        <v>261.11711150000298</v>
      </c>
      <c r="AB395">
        <v>261.11711150000298</v>
      </c>
      <c r="AC395">
        <v>261.90417920000601</v>
      </c>
      <c r="AD395" t="s">
        <v>57</v>
      </c>
      <c r="AE395">
        <v>1</v>
      </c>
      <c r="AF395">
        <v>0.77311070001451299</v>
      </c>
      <c r="AG395" t="s">
        <v>51</v>
      </c>
      <c r="AK395" t="s">
        <v>91</v>
      </c>
      <c r="AL395">
        <v>1</v>
      </c>
      <c r="AM395" t="s">
        <v>80</v>
      </c>
      <c r="AN395" t="s">
        <v>43</v>
      </c>
      <c r="AP395" t="s">
        <v>44</v>
      </c>
      <c r="AQ395">
        <v>59.456390224006398</v>
      </c>
      <c r="AR395" t="s">
        <v>81</v>
      </c>
    </row>
    <row r="396" spans="1:44" x14ac:dyDescent="0.3">
      <c r="A396" t="s">
        <v>52</v>
      </c>
      <c r="B396" t="s">
        <v>49</v>
      </c>
      <c r="C396" s="2" t="str">
        <f t="shared" si="6"/>
        <v>Neutral</v>
      </c>
      <c r="D396">
        <v>0.76202209998155002</v>
      </c>
      <c r="E396" t="s">
        <v>47</v>
      </c>
      <c r="F396" t="s">
        <v>53</v>
      </c>
      <c r="G396" t="s">
        <v>54</v>
      </c>
      <c r="H396">
        <v>193</v>
      </c>
      <c r="I396">
        <v>13</v>
      </c>
      <c r="J396">
        <v>9</v>
      </c>
      <c r="K396" t="s">
        <v>54</v>
      </c>
      <c r="L396">
        <v>1</v>
      </c>
      <c r="M396">
        <v>1.94710109999869</v>
      </c>
      <c r="N396" t="s">
        <v>51</v>
      </c>
      <c r="O396">
        <v>9</v>
      </c>
      <c r="P396">
        <v>13</v>
      </c>
      <c r="Q396">
        <v>193</v>
      </c>
      <c r="R396">
        <v>14</v>
      </c>
      <c r="S396">
        <v>261.91729020001299</v>
      </c>
      <c r="X396">
        <v>261.90709990001</v>
      </c>
      <c r="Y396">
        <v>261.91729020001299</v>
      </c>
      <c r="Z396">
        <v>262.41714460000998</v>
      </c>
      <c r="AA396">
        <v>262.41714460000998</v>
      </c>
      <c r="AB396">
        <v>262.41714460000998</v>
      </c>
      <c r="AC396">
        <v>264.37081920000401</v>
      </c>
      <c r="AD396" t="s">
        <v>54</v>
      </c>
      <c r="AE396">
        <v>1</v>
      </c>
      <c r="AF396">
        <v>1.94710109999869</v>
      </c>
      <c r="AG396" t="s">
        <v>51</v>
      </c>
      <c r="AK396" t="s">
        <v>91</v>
      </c>
      <c r="AL396">
        <v>1</v>
      </c>
      <c r="AM396" t="s">
        <v>80</v>
      </c>
      <c r="AN396" t="s">
        <v>43</v>
      </c>
      <c r="AP396" t="s">
        <v>44</v>
      </c>
      <c r="AQ396">
        <v>59.456390224006398</v>
      </c>
      <c r="AR396" t="s">
        <v>81</v>
      </c>
    </row>
    <row r="397" spans="1:44" x14ac:dyDescent="0.3">
      <c r="A397" t="s">
        <v>58</v>
      </c>
      <c r="B397" t="s">
        <v>49</v>
      </c>
      <c r="C397" s="2" t="str">
        <f t="shared" si="6"/>
        <v>Emotional-I</v>
      </c>
      <c r="D397">
        <v>0.71704779996071</v>
      </c>
      <c r="E397" t="s">
        <v>59</v>
      </c>
      <c r="F397" t="s">
        <v>48</v>
      </c>
      <c r="G397" t="s">
        <v>50</v>
      </c>
      <c r="H397">
        <v>194</v>
      </c>
      <c r="I397">
        <v>14</v>
      </c>
      <c r="J397">
        <v>9</v>
      </c>
      <c r="K397" t="s">
        <v>50</v>
      </c>
      <c r="L397">
        <v>1</v>
      </c>
      <c r="M397">
        <v>0.84623560000909404</v>
      </c>
      <c r="N397" t="s">
        <v>51</v>
      </c>
      <c r="O397">
        <v>9</v>
      </c>
      <c r="P397">
        <v>14</v>
      </c>
      <c r="Q397">
        <v>194</v>
      </c>
      <c r="R397">
        <v>7</v>
      </c>
      <c r="S397">
        <v>264.38358630001301</v>
      </c>
      <c r="X397">
        <v>264.37388120003698</v>
      </c>
      <c r="Y397">
        <v>264.38358630001301</v>
      </c>
      <c r="Z397">
        <v>264.88413970003597</v>
      </c>
      <c r="AA397">
        <v>264.88413970003597</v>
      </c>
      <c r="AB397">
        <v>264.88413970003597</v>
      </c>
      <c r="AC397">
        <v>265.73825750005199</v>
      </c>
      <c r="AD397" t="s">
        <v>50</v>
      </c>
      <c r="AE397">
        <v>1</v>
      </c>
      <c r="AF397">
        <v>0.84623560000909404</v>
      </c>
      <c r="AG397" t="s">
        <v>51</v>
      </c>
      <c r="AK397" t="s">
        <v>91</v>
      </c>
      <c r="AL397">
        <v>1</v>
      </c>
      <c r="AM397" t="s">
        <v>80</v>
      </c>
      <c r="AN397" t="s">
        <v>43</v>
      </c>
      <c r="AP397" t="s">
        <v>44</v>
      </c>
      <c r="AQ397">
        <v>59.456390224006398</v>
      </c>
      <c r="AR397" t="s">
        <v>81</v>
      </c>
    </row>
    <row r="398" spans="1:44" x14ac:dyDescent="0.3">
      <c r="A398" t="s">
        <v>68</v>
      </c>
      <c r="B398" t="s">
        <v>49</v>
      </c>
      <c r="C398" s="2" t="str">
        <f t="shared" si="6"/>
        <v>Emotional-I</v>
      </c>
      <c r="D398">
        <v>1.41747049998957</v>
      </c>
      <c r="E398" t="s">
        <v>59</v>
      </c>
      <c r="F398" t="s">
        <v>53</v>
      </c>
      <c r="G398" t="s">
        <v>54</v>
      </c>
      <c r="H398">
        <v>195</v>
      </c>
      <c r="I398">
        <v>15</v>
      </c>
      <c r="J398">
        <v>9</v>
      </c>
      <c r="K398" t="s">
        <v>54</v>
      </c>
      <c r="L398">
        <v>1</v>
      </c>
      <c r="M398">
        <v>0.97910230001434595</v>
      </c>
      <c r="N398" t="s">
        <v>51</v>
      </c>
      <c r="O398">
        <v>9</v>
      </c>
      <c r="P398">
        <v>15</v>
      </c>
      <c r="Q398">
        <v>195</v>
      </c>
      <c r="R398">
        <v>6</v>
      </c>
      <c r="S398">
        <v>265.750608100031</v>
      </c>
      <c r="X398">
        <v>265.740917700051</v>
      </c>
      <c r="Y398">
        <v>265.750608100031</v>
      </c>
      <c r="Z398">
        <v>266.25049030000798</v>
      </c>
      <c r="AA398">
        <v>266.25049030000798</v>
      </c>
      <c r="AB398">
        <v>266.25049030000798</v>
      </c>
      <c r="AC398">
        <v>267.23828350001702</v>
      </c>
      <c r="AD398" t="s">
        <v>54</v>
      </c>
      <c r="AE398">
        <v>1</v>
      </c>
      <c r="AF398">
        <v>0.97910230001434595</v>
      </c>
      <c r="AG398" t="s">
        <v>51</v>
      </c>
      <c r="AK398" t="s">
        <v>91</v>
      </c>
      <c r="AL398">
        <v>1</v>
      </c>
      <c r="AM398" t="s">
        <v>80</v>
      </c>
      <c r="AN398" t="s">
        <v>43</v>
      </c>
      <c r="AP398" t="s">
        <v>44</v>
      </c>
      <c r="AQ398">
        <v>59.456390224006398</v>
      </c>
      <c r="AR398" t="s">
        <v>81</v>
      </c>
    </row>
    <row r="399" spans="1:44" x14ac:dyDescent="0.3">
      <c r="A399" t="s">
        <v>46</v>
      </c>
      <c r="B399" t="s">
        <v>49</v>
      </c>
      <c r="C399" s="2" t="str">
        <f t="shared" si="6"/>
        <v>Neutral</v>
      </c>
      <c r="D399">
        <v>0.73902069998439401</v>
      </c>
      <c r="E399" t="s">
        <v>47</v>
      </c>
      <c r="F399" t="s">
        <v>48</v>
      </c>
      <c r="G399" t="s">
        <v>50</v>
      </c>
      <c r="H399">
        <v>196</v>
      </c>
      <c r="I399">
        <v>16</v>
      </c>
      <c r="J399">
        <v>9</v>
      </c>
      <c r="K399" t="s">
        <v>50</v>
      </c>
      <c r="L399">
        <v>1</v>
      </c>
      <c r="M399">
        <v>1.36026990000391</v>
      </c>
      <c r="N399" t="s">
        <v>51</v>
      </c>
      <c r="O399">
        <v>9</v>
      </c>
      <c r="P399">
        <v>16</v>
      </c>
      <c r="Q399">
        <v>196</v>
      </c>
      <c r="R399">
        <v>19</v>
      </c>
      <c r="S399">
        <v>267.25033770000999</v>
      </c>
      <c r="X399">
        <v>267.24092710000599</v>
      </c>
      <c r="Y399">
        <v>267.25033770000999</v>
      </c>
      <c r="Z399">
        <v>267.75006240000903</v>
      </c>
      <c r="AA399">
        <v>267.75006240000903</v>
      </c>
      <c r="AB399">
        <v>267.75006240000903</v>
      </c>
      <c r="AC399">
        <v>269.120755200041</v>
      </c>
      <c r="AD399" t="s">
        <v>50</v>
      </c>
      <c r="AE399">
        <v>1</v>
      </c>
      <c r="AF399">
        <v>1.36026990000391</v>
      </c>
      <c r="AG399" t="s">
        <v>51</v>
      </c>
      <c r="AK399" t="s">
        <v>91</v>
      </c>
      <c r="AL399">
        <v>1</v>
      </c>
      <c r="AM399" t="s">
        <v>80</v>
      </c>
      <c r="AN399" t="s">
        <v>43</v>
      </c>
      <c r="AP399" t="s">
        <v>44</v>
      </c>
      <c r="AQ399">
        <v>59.456390224006398</v>
      </c>
      <c r="AR399" t="s">
        <v>81</v>
      </c>
    </row>
    <row r="400" spans="1:44" x14ac:dyDescent="0.3">
      <c r="A400" t="s">
        <v>71</v>
      </c>
      <c r="B400" t="s">
        <v>49</v>
      </c>
      <c r="C400" s="2" t="str">
        <f t="shared" si="6"/>
        <v>Neutral</v>
      </c>
      <c r="D400">
        <v>0.40014530002372301</v>
      </c>
      <c r="E400" t="s">
        <v>47</v>
      </c>
      <c r="F400" t="s">
        <v>48</v>
      </c>
      <c r="G400" t="s">
        <v>50</v>
      </c>
      <c r="H400">
        <v>197</v>
      </c>
      <c r="I400">
        <v>17</v>
      </c>
      <c r="J400">
        <v>9</v>
      </c>
      <c r="K400" t="s">
        <v>50</v>
      </c>
      <c r="L400">
        <v>1</v>
      </c>
      <c r="M400">
        <v>0.43537700001615998</v>
      </c>
      <c r="N400" t="s">
        <v>51</v>
      </c>
      <c r="O400">
        <v>9</v>
      </c>
      <c r="P400">
        <v>17</v>
      </c>
      <c r="Q400">
        <v>197</v>
      </c>
      <c r="R400">
        <v>15</v>
      </c>
      <c r="S400">
        <v>269.13351880002301</v>
      </c>
      <c r="X400">
        <v>269.12364370003303</v>
      </c>
      <c r="Y400">
        <v>269.13351880002301</v>
      </c>
      <c r="Z400">
        <v>269.63400060002402</v>
      </c>
      <c r="AA400">
        <v>269.63400060002402</v>
      </c>
      <c r="AB400">
        <v>269.63400060002402</v>
      </c>
      <c r="AC400">
        <v>270.071054300002</v>
      </c>
      <c r="AD400" t="s">
        <v>50</v>
      </c>
      <c r="AE400">
        <v>1</v>
      </c>
      <c r="AF400">
        <v>0.43537700001615998</v>
      </c>
      <c r="AG400" t="s">
        <v>51</v>
      </c>
      <c r="AK400" t="s">
        <v>91</v>
      </c>
      <c r="AL400">
        <v>1</v>
      </c>
      <c r="AM400" t="s">
        <v>80</v>
      </c>
      <c r="AN400" t="s">
        <v>43</v>
      </c>
      <c r="AP400" t="s">
        <v>44</v>
      </c>
      <c r="AQ400">
        <v>59.456390224006398</v>
      </c>
      <c r="AR400" t="s">
        <v>81</v>
      </c>
    </row>
    <row r="401" spans="1:45" x14ac:dyDescent="0.3">
      <c r="A401" t="s">
        <v>69</v>
      </c>
      <c r="B401" t="s">
        <v>49</v>
      </c>
      <c r="C401" s="2" t="str">
        <f t="shared" si="6"/>
        <v>Emotional-I</v>
      </c>
      <c r="D401">
        <v>0.71130130003439196</v>
      </c>
      <c r="E401" t="s">
        <v>59</v>
      </c>
      <c r="F401" t="s">
        <v>56</v>
      </c>
      <c r="G401" t="s">
        <v>57</v>
      </c>
      <c r="H401">
        <v>198</v>
      </c>
      <c r="I401">
        <v>18</v>
      </c>
      <c r="J401">
        <v>9</v>
      </c>
      <c r="K401" t="s">
        <v>57</v>
      </c>
      <c r="L401">
        <v>1</v>
      </c>
      <c r="M401">
        <v>0.75220599997555804</v>
      </c>
      <c r="N401" t="s">
        <v>51</v>
      </c>
      <c r="O401">
        <v>9</v>
      </c>
      <c r="P401">
        <v>18</v>
      </c>
      <c r="Q401">
        <v>198</v>
      </c>
      <c r="R401">
        <v>5</v>
      </c>
      <c r="S401">
        <v>270.08353540004401</v>
      </c>
      <c r="X401">
        <v>270.07439490000201</v>
      </c>
      <c r="Y401">
        <v>270.08353540004401</v>
      </c>
      <c r="Z401">
        <v>270.58376580005199</v>
      </c>
      <c r="AA401">
        <v>270.58376580005199</v>
      </c>
      <c r="AB401">
        <v>270.58376580005199</v>
      </c>
      <c r="AC401">
        <v>271.33757720002899</v>
      </c>
      <c r="AD401" t="s">
        <v>57</v>
      </c>
      <c r="AE401">
        <v>1</v>
      </c>
      <c r="AF401">
        <v>0.75220599997555804</v>
      </c>
      <c r="AG401" t="s">
        <v>51</v>
      </c>
      <c r="AK401" t="s">
        <v>91</v>
      </c>
      <c r="AL401">
        <v>1</v>
      </c>
      <c r="AM401" t="s">
        <v>80</v>
      </c>
      <c r="AN401" t="s">
        <v>43</v>
      </c>
      <c r="AP401" t="s">
        <v>44</v>
      </c>
      <c r="AQ401">
        <v>59.456390224006398</v>
      </c>
      <c r="AR401" t="s">
        <v>81</v>
      </c>
    </row>
    <row r="402" spans="1:45" x14ac:dyDescent="0.3">
      <c r="A402" t="s">
        <v>64</v>
      </c>
      <c r="B402" t="s">
        <v>49</v>
      </c>
      <c r="C402" s="2" t="str">
        <f t="shared" si="6"/>
        <v>Neutral</v>
      </c>
      <c r="D402">
        <v>0.55256189999636196</v>
      </c>
      <c r="E402" t="s">
        <v>47</v>
      </c>
      <c r="F402" t="s">
        <v>53</v>
      </c>
      <c r="G402" t="s">
        <v>54</v>
      </c>
      <c r="H402">
        <v>199</v>
      </c>
      <c r="I402">
        <v>19</v>
      </c>
      <c r="J402">
        <v>9</v>
      </c>
      <c r="K402" t="s">
        <v>54</v>
      </c>
      <c r="L402">
        <v>1</v>
      </c>
      <c r="M402">
        <v>1.28693150001345</v>
      </c>
      <c r="N402" t="s">
        <v>51</v>
      </c>
      <c r="O402">
        <v>9</v>
      </c>
      <c r="P402">
        <v>19</v>
      </c>
      <c r="Q402">
        <v>199</v>
      </c>
      <c r="R402">
        <v>18</v>
      </c>
      <c r="S402">
        <v>271.35038500005601</v>
      </c>
      <c r="X402">
        <v>271.34074340004003</v>
      </c>
      <c r="Y402">
        <v>271.35038500005601</v>
      </c>
      <c r="Z402">
        <v>271.85027350002201</v>
      </c>
      <c r="AA402">
        <v>271.85027350002201</v>
      </c>
      <c r="AB402">
        <v>271.85027350002201</v>
      </c>
      <c r="AC402">
        <v>273.15487710002299</v>
      </c>
      <c r="AD402" t="s">
        <v>54</v>
      </c>
      <c r="AE402">
        <v>1</v>
      </c>
      <c r="AF402">
        <v>1.28693150001345</v>
      </c>
      <c r="AG402" t="s">
        <v>51</v>
      </c>
      <c r="AK402" t="s">
        <v>91</v>
      </c>
      <c r="AL402">
        <v>1</v>
      </c>
      <c r="AM402" t="s">
        <v>80</v>
      </c>
      <c r="AN402" t="s">
        <v>43</v>
      </c>
      <c r="AP402" t="s">
        <v>44</v>
      </c>
      <c r="AQ402">
        <v>59.456390224006398</v>
      </c>
      <c r="AR402" t="s">
        <v>81</v>
      </c>
    </row>
    <row r="403" spans="1:45" hidden="1" x14ac:dyDescent="0.3">
      <c r="C403" s="2" t="str">
        <f t="shared" si="6"/>
        <v/>
      </c>
      <c r="D403">
        <v>0.74195379996672195</v>
      </c>
      <c r="AH403">
        <v>273.15507640002699</v>
      </c>
      <c r="AI403">
        <v>273.166753000055</v>
      </c>
      <c r="AJ403">
        <v>274.15340820001398</v>
      </c>
      <c r="AK403" t="s">
        <v>91</v>
      </c>
      <c r="AL403">
        <v>1</v>
      </c>
      <c r="AM403" t="s">
        <v>80</v>
      </c>
      <c r="AN403" t="s">
        <v>43</v>
      </c>
      <c r="AP403" t="s">
        <v>44</v>
      </c>
      <c r="AQ403">
        <v>59.456390224006398</v>
      </c>
      <c r="AR403" t="s">
        <v>81</v>
      </c>
      <c r="AS403">
        <v>274.166515100048</v>
      </c>
    </row>
    <row r="404" spans="1:45" hidden="1" x14ac:dyDescent="0.3">
      <c r="C404" s="2" t="str">
        <f t="shared" si="6"/>
        <v/>
      </c>
      <c r="D404">
        <v>1.33236480003688</v>
      </c>
      <c r="U404">
        <v>1.1019300029147401E-2</v>
      </c>
      <c r="V404">
        <v>2.5215400033630399E-2</v>
      </c>
      <c r="W404">
        <v>2.0115622000303102</v>
      </c>
      <c r="AK404" t="s">
        <v>92</v>
      </c>
      <c r="AL404">
        <v>1</v>
      </c>
      <c r="AM404" t="s">
        <v>82</v>
      </c>
      <c r="AN404" t="s">
        <v>43</v>
      </c>
      <c r="AP404" t="s">
        <v>44</v>
      </c>
      <c r="AQ404">
        <v>60.124517886762398</v>
      </c>
      <c r="AR404" t="s">
        <v>83</v>
      </c>
    </row>
    <row r="405" spans="1:45" x14ac:dyDescent="0.3">
      <c r="A405" t="s">
        <v>77</v>
      </c>
      <c r="B405" t="s">
        <v>62</v>
      </c>
      <c r="C405" s="2" t="str">
        <f t="shared" si="6"/>
        <v>Emotional-C</v>
      </c>
      <c r="D405">
        <v>0.62628329999279198</v>
      </c>
      <c r="E405" t="s">
        <v>59</v>
      </c>
      <c r="F405" t="s">
        <v>61</v>
      </c>
      <c r="G405" t="s">
        <v>63</v>
      </c>
      <c r="H405">
        <v>0</v>
      </c>
      <c r="I405">
        <v>0</v>
      </c>
      <c r="J405">
        <v>0</v>
      </c>
      <c r="K405" t="s">
        <v>63</v>
      </c>
      <c r="L405">
        <v>1</v>
      </c>
      <c r="M405">
        <v>0.74567799997748796</v>
      </c>
      <c r="N405" t="s">
        <v>51</v>
      </c>
      <c r="O405">
        <v>0</v>
      </c>
      <c r="P405">
        <v>0</v>
      </c>
      <c r="Q405">
        <v>0</v>
      </c>
      <c r="R405">
        <v>4</v>
      </c>
      <c r="S405">
        <v>2.05838390003191</v>
      </c>
      <c r="X405">
        <v>2.0372398000326899</v>
      </c>
      <c r="Y405">
        <v>2.05838390003191</v>
      </c>
      <c r="Z405">
        <v>2.5077934000291799</v>
      </c>
      <c r="AA405">
        <v>2.5077934000291799</v>
      </c>
      <c r="AB405">
        <v>2.5077934000291799</v>
      </c>
      <c r="AC405">
        <v>3.2618693000404102</v>
      </c>
      <c r="AD405" t="s">
        <v>63</v>
      </c>
      <c r="AE405">
        <v>1</v>
      </c>
      <c r="AF405">
        <v>0.74567799997748796</v>
      </c>
      <c r="AG405" t="s">
        <v>51</v>
      </c>
      <c r="AK405" t="s">
        <v>92</v>
      </c>
      <c r="AL405">
        <v>1</v>
      </c>
      <c r="AM405" t="s">
        <v>82</v>
      </c>
      <c r="AN405" t="s">
        <v>43</v>
      </c>
      <c r="AP405" t="s">
        <v>44</v>
      </c>
      <c r="AQ405">
        <v>60.124517886762398</v>
      </c>
      <c r="AR405" t="s">
        <v>83</v>
      </c>
    </row>
    <row r="406" spans="1:45" x14ac:dyDescent="0.3">
      <c r="A406" t="s">
        <v>55</v>
      </c>
      <c r="B406" t="s">
        <v>49</v>
      </c>
      <c r="C406" s="2" t="str">
        <f t="shared" si="6"/>
        <v>Neutral</v>
      </c>
      <c r="D406">
        <v>0.77830319997155994</v>
      </c>
      <c r="E406" t="s">
        <v>47</v>
      </c>
      <c r="F406" t="s">
        <v>56</v>
      </c>
      <c r="G406" t="s">
        <v>57</v>
      </c>
      <c r="H406">
        <v>1</v>
      </c>
      <c r="I406">
        <v>1</v>
      </c>
      <c r="J406">
        <v>0</v>
      </c>
      <c r="K406" t="s">
        <v>57</v>
      </c>
      <c r="L406">
        <v>1</v>
      </c>
      <c r="M406">
        <v>0.99624299997230903</v>
      </c>
      <c r="N406" t="s">
        <v>51</v>
      </c>
      <c r="O406">
        <v>0</v>
      </c>
      <c r="P406">
        <v>1</v>
      </c>
      <c r="Q406">
        <v>1</v>
      </c>
      <c r="R406">
        <v>13</v>
      </c>
      <c r="S406">
        <v>3.2750816000043401</v>
      </c>
      <c r="X406">
        <v>3.26479690003907</v>
      </c>
      <c r="Y406">
        <v>3.2750816000043401</v>
      </c>
      <c r="Z406">
        <v>3.7743020000052598</v>
      </c>
      <c r="AA406">
        <v>3.7743020000052598</v>
      </c>
      <c r="AB406">
        <v>3.7743020000052598</v>
      </c>
      <c r="AC406">
        <v>4.7785122000495903</v>
      </c>
      <c r="AD406" t="s">
        <v>57</v>
      </c>
      <c r="AE406">
        <v>1</v>
      </c>
      <c r="AF406">
        <v>0.99624299997230903</v>
      </c>
      <c r="AG406" t="s">
        <v>51</v>
      </c>
      <c r="AK406" t="s">
        <v>92</v>
      </c>
      <c r="AL406">
        <v>1</v>
      </c>
      <c r="AM406" t="s">
        <v>82</v>
      </c>
      <c r="AN406" t="s">
        <v>43</v>
      </c>
      <c r="AP406" t="s">
        <v>44</v>
      </c>
      <c r="AQ406">
        <v>60.124517886762398</v>
      </c>
      <c r="AR406" t="s">
        <v>83</v>
      </c>
    </row>
    <row r="407" spans="1:45" x14ac:dyDescent="0.3">
      <c r="A407" t="s">
        <v>52</v>
      </c>
      <c r="B407" t="s">
        <v>49</v>
      </c>
      <c r="C407" s="2" t="str">
        <f t="shared" si="6"/>
        <v>Neutral</v>
      </c>
      <c r="D407">
        <v>1.1990661000017999</v>
      </c>
      <c r="E407" t="s">
        <v>47</v>
      </c>
      <c r="F407" t="s">
        <v>53</v>
      </c>
      <c r="G407" t="s">
        <v>54</v>
      </c>
      <c r="H407">
        <v>2</v>
      </c>
      <c r="I407">
        <v>2</v>
      </c>
      <c r="J407">
        <v>0</v>
      </c>
      <c r="K407" t="s">
        <v>54</v>
      </c>
      <c r="L407">
        <v>1</v>
      </c>
      <c r="M407">
        <v>1.04662179999286</v>
      </c>
      <c r="N407" t="s">
        <v>51</v>
      </c>
      <c r="O407">
        <v>0</v>
      </c>
      <c r="P407">
        <v>2</v>
      </c>
      <c r="Q407">
        <v>2</v>
      </c>
      <c r="R407">
        <v>14</v>
      </c>
      <c r="S407">
        <v>4.7909298000158698</v>
      </c>
      <c r="X407">
        <v>4.7813724000006896</v>
      </c>
      <c r="Y407">
        <v>4.7909298000158698</v>
      </c>
      <c r="Z407">
        <v>5.29122680000728</v>
      </c>
      <c r="AA407">
        <v>5.29122680000728</v>
      </c>
      <c r="AB407">
        <v>5.29122680000728</v>
      </c>
      <c r="AC407">
        <v>6.3451101000537102</v>
      </c>
      <c r="AD407" t="s">
        <v>54</v>
      </c>
      <c r="AE407">
        <v>1</v>
      </c>
      <c r="AF407">
        <v>1.04662179999286</v>
      </c>
      <c r="AG407" t="s">
        <v>51</v>
      </c>
      <c r="AK407" t="s">
        <v>92</v>
      </c>
      <c r="AL407">
        <v>1</v>
      </c>
      <c r="AM407" t="s">
        <v>82</v>
      </c>
      <c r="AN407" t="s">
        <v>43</v>
      </c>
      <c r="AP407" t="s">
        <v>44</v>
      </c>
      <c r="AQ407">
        <v>60.124517886762398</v>
      </c>
      <c r="AR407" t="s">
        <v>83</v>
      </c>
    </row>
    <row r="408" spans="1:45" x14ac:dyDescent="0.3">
      <c r="A408" t="s">
        <v>67</v>
      </c>
      <c r="B408" t="s">
        <v>49</v>
      </c>
      <c r="C408" s="2" t="str">
        <f t="shared" si="6"/>
        <v>Neutral</v>
      </c>
      <c r="D408">
        <v>0.86663750000298001</v>
      </c>
      <c r="E408" t="s">
        <v>47</v>
      </c>
      <c r="F408" t="s">
        <v>53</v>
      </c>
      <c r="G408" t="s">
        <v>54</v>
      </c>
      <c r="H408">
        <v>3</v>
      </c>
      <c r="I408">
        <v>3</v>
      </c>
      <c r="J408">
        <v>0</v>
      </c>
      <c r="K408" t="s">
        <v>54</v>
      </c>
      <c r="L408">
        <v>1</v>
      </c>
      <c r="M408">
        <v>0.484855799993965</v>
      </c>
      <c r="N408" t="s">
        <v>51</v>
      </c>
      <c r="O408">
        <v>0</v>
      </c>
      <c r="P408">
        <v>3</v>
      </c>
      <c r="Q408">
        <v>3</v>
      </c>
      <c r="R408">
        <v>10</v>
      </c>
      <c r="S408">
        <v>6.3575644000084104</v>
      </c>
      <c r="X408">
        <v>6.3482063999981602</v>
      </c>
      <c r="Y408">
        <v>6.3575644000084104</v>
      </c>
      <c r="Z408">
        <v>6.8573226000298702</v>
      </c>
      <c r="AA408">
        <v>6.8573226000298702</v>
      </c>
      <c r="AB408">
        <v>6.8573226000298702</v>
      </c>
      <c r="AC408">
        <v>7.3445981999975603</v>
      </c>
      <c r="AD408" t="s">
        <v>54</v>
      </c>
      <c r="AE408">
        <v>1</v>
      </c>
      <c r="AF408">
        <v>0.484855799993965</v>
      </c>
      <c r="AG408" t="s">
        <v>51</v>
      </c>
      <c r="AK408" t="s">
        <v>92</v>
      </c>
      <c r="AL408">
        <v>1</v>
      </c>
      <c r="AM408" t="s">
        <v>82</v>
      </c>
      <c r="AN408" t="s">
        <v>43</v>
      </c>
      <c r="AP408" t="s">
        <v>44</v>
      </c>
      <c r="AQ408">
        <v>60.124517886762398</v>
      </c>
      <c r="AR408" t="s">
        <v>83</v>
      </c>
    </row>
    <row r="409" spans="1:45" x14ac:dyDescent="0.3">
      <c r="A409" t="s">
        <v>66</v>
      </c>
      <c r="B409" t="s">
        <v>49</v>
      </c>
      <c r="C409" s="2" t="str">
        <f t="shared" si="6"/>
        <v>Neutral</v>
      </c>
      <c r="D409">
        <v>0.81771999999182299</v>
      </c>
      <c r="E409" t="s">
        <v>47</v>
      </c>
      <c r="F409" t="s">
        <v>61</v>
      </c>
      <c r="G409" t="s">
        <v>63</v>
      </c>
      <c r="H409">
        <v>4</v>
      </c>
      <c r="I409">
        <v>4</v>
      </c>
      <c r="J409">
        <v>0</v>
      </c>
      <c r="K409" t="s">
        <v>63</v>
      </c>
      <c r="L409">
        <v>1</v>
      </c>
      <c r="M409">
        <v>0.62045930000021998</v>
      </c>
      <c r="N409" t="s">
        <v>51</v>
      </c>
      <c r="O409">
        <v>0</v>
      </c>
      <c r="P409">
        <v>4</v>
      </c>
      <c r="Q409">
        <v>4</v>
      </c>
      <c r="R409">
        <v>12</v>
      </c>
      <c r="S409">
        <v>7.3571586000034497</v>
      </c>
      <c r="X409">
        <v>7.34737820003647</v>
      </c>
      <c r="Y409">
        <v>7.3571586000034497</v>
      </c>
      <c r="Z409">
        <v>7.8577333000139298</v>
      </c>
      <c r="AA409">
        <v>7.8577333000139298</v>
      </c>
      <c r="AB409">
        <v>7.8577333000139298</v>
      </c>
      <c r="AC409">
        <v>8.4943819000036402</v>
      </c>
      <c r="AD409" t="s">
        <v>63</v>
      </c>
      <c r="AE409">
        <v>1</v>
      </c>
      <c r="AF409">
        <v>0.62045930000021998</v>
      </c>
      <c r="AG409" t="s">
        <v>51</v>
      </c>
      <c r="AK409" t="s">
        <v>92</v>
      </c>
      <c r="AL409">
        <v>1</v>
      </c>
      <c r="AM409" t="s">
        <v>82</v>
      </c>
      <c r="AN409" t="s">
        <v>43</v>
      </c>
      <c r="AP409" t="s">
        <v>44</v>
      </c>
      <c r="AQ409">
        <v>60.124517886762398</v>
      </c>
      <c r="AR409" t="s">
        <v>83</v>
      </c>
    </row>
    <row r="410" spans="1:45" x14ac:dyDescent="0.3">
      <c r="A410" t="s">
        <v>74</v>
      </c>
      <c r="B410" t="s">
        <v>49</v>
      </c>
      <c r="C410" s="2" t="str">
        <f t="shared" si="6"/>
        <v>Neutral</v>
      </c>
      <c r="D410">
        <v>1.80232519999844</v>
      </c>
      <c r="E410" t="s">
        <v>47</v>
      </c>
      <c r="F410" t="s">
        <v>48</v>
      </c>
      <c r="G410" t="s">
        <v>50</v>
      </c>
      <c r="H410">
        <v>5</v>
      </c>
      <c r="I410">
        <v>5</v>
      </c>
      <c r="J410">
        <v>0</v>
      </c>
      <c r="K410" t="s">
        <v>50</v>
      </c>
      <c r="L410">
        <v>1</v>
      </c>
      <c r="M410">
        <v>1.12235219997819</v>
      </c>
      <c r="N410" t="s">
        <v>51</v>
      </c>
      <c r="O410">
        <v>0</v>
      </c>
      <c r="P410">
        <v>5</v>
      </c>
      <c r="Q410">
        <v>5</v>
      </c>
      <c r="R410">
        <v>11</v>
      </c>
      <c r="S410">
        <v>8.5076044000452296</v>
      </c>
      <c r="X410">
        <v>8.4971409999998198</v>
      </c>
      <c r="Y410">
        <v>8.5076044000452296</v>
      </c>
      <c r="Z410">
        <v>9.0072802000213397</v>
      </c>
      <c r="AA410">
        <v>9.0072802000213397</v>
      </c>
      <c r="AB410">
        <v>9.0072802000213397</v>
      </c>
      <c r="AC410">
        <v>10.1452631000429</v>
      </c>
      <c r="AD410" t="s">
        <v>50</v>
      </c>
      <c r="AE410">
        <v>1</v>
      </c>
      <c r="AF410">
        <v>1.12235219997819</v>
      </c>
      <c r="AG410" t="s">
        <v>51</v>
      </c>
      <c r="AK410" t="s">
        <v>92</v>
      </c>
      <c r="AL410">
        <v>1</v>
      </c>
      <c r="AM410" t="s">
        <v>82</v>
      </c>
      <c r="AN410" t="s">
        <v>43</v>
      </c>
      <c r="AP410" t="s">
        <v>44</v>
      </c>
      <c r="AQ410">
        <v>60.124517886762398</v>
      </c>
      <c r="AR410" t="s">
        <v>83</v>
      </c>
    </row>
    <row r="411" spans="1:45" x14ac:dyDescent="0.3">
      <c r="A411" t="s">
        <v>70</v>
      </c>
      <c r="B411" t="s">
        <v>49</v>
      </c>
      <c r="C411" s="2" t="str">
        <f t="shared" si="6"/>
        <v>Emotional-I</v>
      </c>
      <c r="D411">
        <v>0.58062189997872304</v>
      </c>
      <c r="E411" t="s">
        <v>59</v>
      </c>
      <c r="F411" t="s">
        <v>53</v>
      </c>
      <c r="G411" t="s">
        <v>54</v>
      </c>
      <c r="H411">
        <v>6</v>
      </c>
      <c r="I411">
        <v>6</v>
      </c>
      <c r="J411">
        <v>0</v>
      </c>
      <c r="K411" t="s">
        <v>54</v>
      </c>
      <c r="L411">
        <v>1</v>
      </c>
      <c r="M411">
        <v>0.70139639999251802</v>
      </c>
      <c r="N411" t="s">
        <v>51</v>
      </c>
      <c r="O411">
        <v>0</v>
      </c>
      <c r="P411">
        <v>6</v>
      </c>
      <c r="Q411">
        <v>6</v>
      </c>
      <c r="R411">
        <v>2</v>
      </c>
      <c r="S411">
        <v>10.158180800033699</v>
      </c>
      <c r="X411">
        <v>10.150754700007299</v>
      </c>
      <c r="Y411">
        <v>10.158180800033699</v>
      </c>
      <c r="Z411">
        <v>10.658256200025701</v>
      </c>
      <c r="AA411">
        <v>10.658256200025701</v>
      </c>
      <c r="AB411">
        <v>10.658256200025701</v>
      </c>
      <c r="AC411">
        <v>11.3615388000034</v>
      </c>
      <c r="AD411" t="s">
        <v>54</v>
      </c>
      <c r="AE411">
        <v>1</v>
      </c>
      <c r="AF411">
        <v>0.70139639999251802</v>
      </c>
      <c r="AG411" t="s">
        <v>51</v>
      </c>
      <c r="AK411" t="s">
        <v>92</v>
      </c>
      <c r="AL411">
        <v>1</v>
      </c>
      <c r="AM411" t="s">
        <v>82</v>
      </c>
      <c r="AN411" t="s">
        <v>43</v>
      </c>
      <c r="AP411" t="s">
        <v>44</v>
      </c>
      <c r="AQ411">
        <v>60.124517886762398</v>
      </c>
      <c r="AR411" t="s">
        <v>83</v>
      </c>
    </row>
    <row r="412" spans="1:45" x14ac:dyDescent="0.3">
      <c r="A412" t="s">
        <v>64</v>
      </c>
      <c r="B412" t="s">
        <v>49</v>
      </c>
      <c r="C412" s="2" t="str">
        <f t="shared" si="6"/>
        <v>Neutral</v>
      </c>
      <c r="D412">
        <v>1.8378823000239199</v>
      </c>
      <c r="E412" t="s">
        <v>47</v>
      </c>
      <c r="F412" t="s">
        <v>53</v>
      </c>
      <c r="G412" t="s">
        <v>54</v>
      </c>
      <c r="H412">
        <v>7</v>
      </c>
      <c r="I412">
        <v>7</v>
      </c>
      <c r="J412">
        <v>0</v>
      </c>
      <c r="K412" t="s">
        <v>54</v>
      </c>
      <c r="L412">
        <v>1</v>
      </c>
      <c r="M412">
        <v>0.49432369996793502</v>
      </c>
      <c r="N412" t="s">
        <v>51</v>
      </c>
      <c r="O412">
        <v>0</v>
      </c>
      <c r="P412">
        <v>7</v>
      </c>
      <c r="Q412">
        <v>7</v>
      </c>
      <c r="R412">
        <v>18</v>
      </c>
      <c r="S412">
        <v>11.3749011000036</v>
      </c>
      <c r="X412">
        <v>11.3642108000349</v>
      </c>
      <c r="Y412">
        <v>11.3749011000036</v>
      </c>
      <c r="Z412">
        <v>11.8744328000466</v>
      </c>
      <c r="AA412">
        <v>11.8744328000466</v>
      </c>
      <c r="AB412">
        <v>11.8744328000466</v>
      </c>
      <c r="AC412">
        <v>12.377201700001001</v>
      </c>
      <c r="AD412" t="s">
        <v>54</v>
      </c>
      <c r="AE412">
        <v>1</v>
      </c>
      <c r="AF412">
        <v>0.49432369996793502</v>
      </c>
      <c r="AG412" t="s">
        <v>51</v>
      </c>
      <c r="AK412" t="s">
        <v>92</v>
      </c>
      <c r="AL412">
        <v>1</v>
      </c>
      <c r="AM412" t="s">
        <v>82</v>
      </c>
      <c r="AN412" t="s">
        <v>43</v>
      </c>
      <c r="AP412" t="s">
        <v>44</v>
      </c>
      <c r="AQ412">
        <v>60.124517886762398</v>
      </c>
      <c r="AR412" t="s">
        <v>83</v>
      </c>
    </row>
    <row r="413" spans="1:45" x14ac:dyDescent="0.3">
      <c r="A413" t="s">
        <v>75</v>
      </c>
      <c r="B413" t="s">
        <v>49</v>
      </c>
      <c r="C413" s="2" t="str">
        <f t="shared" si="6"/>
        <v>Neutral</v>
      </c>
      <c r="D413">
        <v>0.49538740003481502</v>
      </c>
      <c r="E413" t="s">
        <v>47</v>
      </c>
      <c r="F413" t="s">
        <v>61</v>
      </c>
      <c r="G413" t="s">
        <v>63</v>
      </c>
      <c r="H413">
        <v>8</v>
      </c>
      <c r="I413">
        <v>8</v>
      </c>
      <c r="J413">
        <v>0</v>
      </c>
      <c r="K413" t="s">
        <v>63</v>
      </c>
      <c r="L413">
        <v>1</v>
      </c>
      <c r="M413">
        <v>0.563211200002115</v>
      </c>
      <c r="N413" t="s">
        <v>51</v>
      </c>
      <c r="O413">
        <v>0</v>
      </c>
      <c r="P413">
        <v>8</v>
      </c>
      <c r="Q413">
        <v>8</v>
      </c>
      <c r="R413">
        <v>16</v>
      </c>
      <c r="S413">
        <v>12.3906575000146</v>
      </c>
      <c r="X413">
        <v>12.3798480000114</v>
      </c>
      <c r="Y413">
        <v>12.3906575000146</v>
      </c>
      <c r="Z413">
        <v>12.890671400004001</v>
      </c>
      <c r="AA413">
        <v>12.890671400004001</v>
      </c>
      <c r="AB413">
        <v>12.890671400004001</v>
      </c>
      <c r="AC413">
        <v>13.4616019000532</v>
      </c>
      <c r="AD413" t="s">
        <v>63</v>
      </c>
      <c r="AE413">
        <v>1</v>
      </c>
      <c r="AF413">
        <v>0.563211200002115</v>
      </c>
      <c r="AG413" t="s">
        <v>51</v>
      </c>
      <c r="AK413" t="s">
        <v>92</v>
      </c>
      <c r="AL413">
        <v>1</v>
      </c>
      <c r="AM413" t="s">
        <v>82</v>
      </c>
      <c r="AN413" t="s">
        <v>43</v>
      </c>
      <c r="AP413" t="s">
        <v>44</v>
      </c>
      <c r="AQ413">
        <v>60.124517886762398</v>
      </c>
      <c r="AR413" t="s">
        <v>83</v>
      </c>
    </row>
    <row r="414" spans="1:45" x14ac:dyDescent="0.3">
      <c r="A414" t="s">
        <v>58</v>
      </c>
      <c r="B414" t="s">
        <v>49</v>
      </c>
      <c r="C414" s="2" t="str">
        <f t="shared" si="6"/>
        <v>Emotional-I</v>
      </c>
      <c r="D414">
        <v>0.84833309997338802</v>
      </c>
      <c r="E414" t="s">
        <v>59</v>
      </c>
      <c r="F414" t="s">
        <v>48</v>
      </c>
      <c r="G414" t="s">
        <v>50</v>
      </c>
      <c r="H414">
        <v>9</v>
      </c>
      <c r="I414">
        <v>9</v>
      </c>
      <c r="J414">
        <v>0</v>
      </c>
      <c r="K414" t="s">
        <v>50</v>
      </c>
      <c r="L414">
        <v>1</v>
      </c>
      <c r="M414">
        <v>1.51778359996387</v>
      </c>
      <c r="N414" t="s">
        <v>51</v>
      </c>
      <c r="O414">
        <v>0</v>
      </c>
      <c r="P414">
        <v>9</v>
      </c>
      <c r="Q414">
        <v>9</v>
      </c>
      <c r="R414">
        <v>7</v>
      </c>
      <c r="S414">
        <v>13.474130700051299</v>
      </c>
      <c r="X414">
        <v>13.464477000001301</v>
      </c>
      <c r="Y414">
        <v>13.474130700051299</v>
      </c>
      <c r="Z414">
        <v>13.9744123000418</v>
      </c>
      <c r="AA414">
        <v>13.9744123000418</v>
      </c>
      <c r="AB414">
        <v>13.9744123000418</v>
      </c>
      <c r="AC414">
        <v>15.496626300038701</v>
      </c>
      <c r="AD414" t="s">
        <v>50</v>
      </c>
      <c r="AE414">
        <v>1</v>
      </c>
      <c r="AF414">
        <v>1.51778359996387</v>
      </c>
      <c r="AG414" t="s">
        <v>51</v>
      </c>
      <c r="AK414" t="s">
        <v>92</v>
      </c>
      <c r="AL414">
        <v>1</v>
      </c>
      <c r="AM414" t="s">
        <v>82</v>
      </c>
      <c r="AN414" t="s">
        <v>43</v>
      </c>
      <c r="AP414" t="s">
        <v>44</v>
      </c>
      <c r="AQ414">
        <v>60.124517886762398</v>
      </c>
      <c r="AR414" t="s">
        <v>83</v>
      </c>
    </row>
    <row r="415" spans="1:45" x14ac:dyDescent="0.3">
      <c r="A415" t="s">
        <v>78</v>
      </c>
      <c r="B415" t="s">
        <v>49</v>
      </c>
      <c r="C415" s="2" t="str">
        <f t="shared" si="6"/>
        <v>Neutral</v>
      </c>
      <c r="D415">
        <v>0.68749070004559998</v>
      </c>
      <c r="E415" t="s">
        <v>47</v>
      </c>
      <c r="F415" t="s">
        <v>56</v>
      </c>
      <c r="G415" t="s">
        <v>57</v>
      </c>
      <c r="H415">
        <v>10</v>
      </c>
      <c r="I415">
        <v>10</v>
      </c>
      <c r="J415">
        <v>0</v>
      </c>
      <c r="K415" t="s">
        <v>57</v>
      </c>
      <c r="L415">
        <v>1</v>
      </c>
      <c r="M415">
        <v>1.37337989994557</v>
      </c>
      <c r="N415" t="s">
        <v>51</v>
      </c>
      <c r="O415">
        <v>0</v>
      </c>
      <c r="P415">
        <v>10</v>
      </c>
      <c r="Q415">
        <v>10</v>
      </c>
      <c r="R415">
        <v>17</v>
      </c>
      <c r="S415">
        <v>15.507264300016599</v>
      </c>
      <c r="X415">
        <v>15.499956400017201</v>
      </c>
      <c r="Y415">
        <v>15.507264300016599</v>
      </c>
      <c r="Z415">
        <v>16.007394300017001</v>
      </c>
      <c r="AA415">
        <v>16.007394300017001</v>
      </c>
      <c r="AB415">
        <v>16.007394300017001</v>
      </c>
      <c r="AC415">
        <v>17.393981100001799</v>
      </c>
      <c r="AD415" t="s">
        <v>57</v>
      </c>
      <c r="AE415">
        <v>1</v>
      </c>
      <c r="AF415">
        <v>1.37337989994557</v>
      </c>
      <c r="AG415" t="s">
        <v>51</v>
      </c>
      <c r="AK415" t="s">
        <v>92</v>
      </c>
      <c r="AL415">
        <v>1</v>
      </c>
      <c r="AM415" t="s">
        <v>82</v>
      </c>
      <c r="AN415" t="s">
        <v>43</v>
      </c>
      <c r="AP415" t="s">
        <v>44</v>
      </c>
      <c r="AQ415">
        <v>60.124517886762398</v>
      </c>
      <c r="AR415" t="s">
        <v>83</v>
      </c>
    </row>
    <row r="416" spans="1:45" x14ac:dyDescent="0.3">
      <c r="A416" t="s">
        <v>73</v>
      </c>
      <c r="B416" t="s">
        <v>49</v>
      </c>
      <c r="C416" s="2" t="str">
        <f t="shared" si="6"/>
        <v>Emotional-I</v>
      </c>
      <c r="D416">
        <v>0.82545399997616098</v>
      </c>
      <c r="E416" t="s">
        <v>59</v>
      </c>
      <c r="F416" t="s">
        <v>56</v>
      </c>
      <c r="G416" t="s">
        <v>57</v>
      </c>
      <c r="H416">
        <v>11</v>
      </c>
      <c r="I416">
        <v>11</v>
      </c>
      <c r="J416">
        <v>0</v>
      </c>
      <c r="K416" t="s">
        <v>57</v>
      </c>
      <c r="L416">
        <v>1</v>
      </c>
      <c r="M416">
        <v>0.45018770004389802</v>
      </c>
      <c r="N416" t="s">
        <v>51</v>
      </c>
      <c r="O416">
        <v>0</v>
      </c>
      <c r="P416">
        <v>11</v>
      </c>
      <c r="Q416">
        <v>11</v>
      </c>
      <c r="R416">
        <v>1</v>
      </c>
      <c r="S416">
        <v>17.406958400038999</v>
      </c>
      <c r="X416">
        <v>17.396585500042399</v>
      </c>
      <c r="Y416">
        <v>17.406958400038999</v>
      </c>
      <c r="Z416">
        <v>17.907528300012899</v>
      </c>
      <c r="AA416">
        <v>17.907528300012899</v>
      </c>
      <c r="AB416">
        <v>17.907528300012899</v>
      </c>
      <c r="AC416">
        <v>18.361448200011999</v>
      </c>
      <c r="AD416" t="s">
        <v>57</v>
      </c>
      <c r="AE416">
        <v>1</v>
      </c>
      <c r="AF416">
        <v>0.45018770004389802</v>
      </c>
      <c r="AG416" t="s">
        <v>51</v>
      </c>
      <c r="AK416" t="s">
        <v>92</v>
      </c>
      <c r="AL416">
        <v>1</v>
      </c>
      <c r="AM416" t="s">
        <v>82</v>
      </c>
      <c r="AN416" t="s">
        <v>43</v>
      </c>
      <c r="AP416" t="s">
        <v>44</v>
      </c>
      <c r="AQ416">
        <v>60.124517886762398</v>
      </c>
      <c r="AR416" t="s">
        <v>83</v>
      </c>
    </row>
    <row r="417" spans="1:44" x14ac:dyDescent="0.3">
      <c r="A417" t="s">
        <v>46</v>
      </c>
      <c r="B417" t="s">
        <v>49</v>
      </c>
      <c r="C417" s="2" t="str">
        <f t="shared" si="6"/>
        <v>Neutral</v>
      </c>
      <c r="D417">
        <v>0.65183819999219805</v>
      </c>
      <c r="E417" t="s">
        <v>47</v>
      </c>
      <c r="F417" t="s">
        <v>48</v>
      </c>
      <c r="G417" t="s">
        <v>50</v>
      </c>
      <c r="H417">
        <v>12</v>
      </c>
      <c r="I417">
        <v>12</v>
      </c>
      <c r="J417">
        <v>0</v>
      </c>
      <c r="K417" t="s">
        <v>50</v>
      </c>
      <c r="L417">
        <v>1</v>
      </c>
      <c r="M417">
        <v>0.76202209998155002</v>
      </c>
      <c r="N417" t="s">
        <v>51</v>
      </c>
      <c r="O417">
        <v>0</v>
      </c>
      <c r="P417">
        <v>12</v>
      </c>
      <c r="Q417">
        <v>12</v>
      </c>
      <c r="R417">
        <v>19</v>
      </c>
      <c r="S417">
        <v>18.374143900000401</v>
      </c>
      <c r="X417">
        <v>18.3650125000276</v>
      </c>
      <c r="Y417">
        <v>18.374143900000401</v>
      </c>
      <c r="Z417">
        <v>18.873332300048698</v>
      </c>
      <c r="AA417">
        <v>18.873332300048698</v>
      </c>
      <c r="AB417">
        <v>18.873332300048698</v>
      </c>
      <c r="AC417">
        <v>19.644725500023899</v>
      </c>
      <c r="AD417" t="s">
        <v>50</v>
      </c>
      <c r="AE417">
        <v>1</v>
      </c>
      <c r="AF417">
        <v>0.76202209998155002</v>
      </c>
      <c r="AG417" t="s">
        <v>51</v>
      </c>
      <c r="AK417" t="s">
        <v>92</v>
      </c>
      <c r="AL417">
        <v>1</v>
      </c>
      <c r="AM417" t="s">
        <v>82</v>
      </c>
      <c r="AN417" t="s">
        <v>43</v>
      </c>
      <c r="AP417" t="s">
        <v>44</v>
      </c>
      <c r="AQ417">
        <v>60.124517886762398</v>
      </c>
      <c r="AR417" t="s">
        <v>83</v>
      </c>
    </row>
    <row r="418" spans="1:44" x14ac:dyDescent="0.3">
      <c r="A418" t="s">
        <v>65</v>
      </c>
      <c r="B418" t="s">
        <v>49</v>
      </c>
      <c r="C418" s="2" t="str">
        <f t="shared" si="6"/>
        <v>Emotional-I</v>
      </c>
      <c r="D418">
        <v>0.55413760000374102</v>
      </c>
      <c r="E418" t="s">
        <v>59</v>
      </c>
      <c r="F418" t="s">
        <v>56</v>
      </c>
      <c r="G418" t="s">
        <v>57</v>
      </c>
      <c r="H418">
        <v>13</v>
      </c>
      <c r="I418">
        <v>13</v>
      </c>
      <c r="J418">
        <v>0</v>
      </c>
      <c r="K418" t="s">
        <v>57</v>
      </c>
      <c r="L418">
        <v>1</v>
      </c>
      <c r="M418">
        <v>0.71704779996071</v>
      </c>
      <c r="N418" t="s">
        <v>51</v>
      </c>
      <c r="O418">
        <v>0</v>
      </c>
      <c r="P418">
        <v>13</v>
      </c>
      <c r="Q418">
        <v>13</v>
      </c>
      <c r="R418">
        <v>9</v>
      </c>
      <c r="S418">
        <v>19.656812200031698</v>
      </c>
      <c r="X418">
        <v>19.650540000002302</v>
      </c>
      <c r="Y418">
        <v>19.656812200031698</v>
      </c>
      <c r="Z418">
        <v>20.157730100036101</v>
      </c>
      <c r="AA418">
        <v>20.157730100036101</v>
      </c>
      <c r="AB418">
        <v>20.157730100036101</v>
      </c>
      <c r="AC418">
        <v>20.878325199999299</v>
      </c>
      <c r="AD418" t="s">
        <v>57</v>
      </c>
      <c r="AE418">
        <v>1</v>
      </c>
      <c r="AF418">
        <v>0.71704779996071</v>
      </c>
      <c r="AG418" t="s">
        <v>51</v>
      </c>
      <c r="AK418" t="s">
        <v>92</v>
      </c>
      <c r="AL418">
        <v>1</v>
      </c>
      <c r="AM418" t="s">
        <v>82</v>
      </c>
      <c r="AN418" t="s">
        <v>43</v>
      </c>
      <c r="AP418" t="s">
        <v>44</v>
      </c>
      <c r="AQ418">
        <v>60.124517886762398</v>
      </c>
      <c r="AR418" t="s">
        <v>83</v>
      </c>
    </row>
    <row r="419" spans="1:44" x14ac:dyDescent="0.3">
      <c r="A419" t="s">
        <v>76</v>
      </c>
      <c r="B419" t="s">
        <v>49</v>
      </c>
      <c r="C419" s="2" t="str">
        <f t="shared" si="6"/>
        <v>Emotional-I</v>
      </c>
      <c r="D419">
        <v>0.99535959999775503</v>
      </c>
      <c r="E419" t="s">
        <v>59</v>
      </c>
      <c r="F419" t="s">
        <v>48</v>
      </c>
      <c r="G419" t="s">
        <v>50</v>
      </c>
      <c r="H419">
        <v>14</v>
      </c>
      <c r="I419">
        <v>14</v>
      </c>
      <c r="J419">
        <v>0</v>
      </c>
      <c r="K419" t="s">
        <v>50</v>
      </c>
      <c r="L419">
        <v>1</v>
      </c>
      <c r="M419">
        <v>1.41747049998957</v>
      </c>
      <c r="N419" t="s">
        <v>51</v>
      </c>
      <c r="O419">
        <v>0</v>
      </c>
      <c r="P419">
        <v>14</v>
      </c>
      <c r="Q419">
        <v>14</v>
      </c>
      <c r="R419">
        <v>3</v>
      </c>
      <c r="S419">
        <v>20.890314400021399</v>
      </c>
      <c r="X419">
        <v>20.881119700032201</v>
      </c>
      <c r="Y419">
        <v>20.890314400021399</v>
      </c>
      <c r="Z419">
        <v>21.390063700033298</v>
      </c>
      <c r="AA419">
        <v>21.390063700033298</v>
      </c>
      <c r="AB419">
        <v>21.390063700033298</v>
      </c>
      <c r="AC419">
        <v>22.810511000046901</v>
      </c>
      <c r="AD419" t="s">
        <v>50</v>
      </c>
      <c r="AE419">
        <v>1</v>
      </c>
      <c r="AF419">
        <v>1.41747049998957</v>
      </c>
      <c r="AG419" t="s">
        <v>51</v>
      </c>
      <c r="AK419" t="s">
        <v>92</v>
      </c>
      <c r="AL419">
        <v>1</v>
      </c>
      <c r="AM419" t="s">
        <v>82</v>
      </c>
      <c r="AN419" t="s">
        <v>43</v>
      </c>
      <c r="AP419" t="s">
        <v>44</v>
      </c>
      <c r="AQ419">
        <v>60.124517886762398</v>
      </c>
      <c r="AR419" t="s">
        <v>83</v>
      </c>
    </row>
    <row r="420" spans="1:44" x14ac:dyDescent="0.3">
      <c r="A420" t="s">
        <v>60</v>
      </c>
      <c r="B420" t="s">
        <v>62</v>
      </c>
      <c r="C420" s="2" t="str">
        <f t="shared" si="6"/>
        <v>Emotional-C</v>
      </c>
      <c r="D420">
        <v>0.46646369999507398</v>
      </c>
      <c r="E420" t="s">
        <v>59</v>
      </c>
      <c r="F420" t="s">
        <v>61</v>
      </c>
      <c r="G420" t="s">
        <v>63</v>
      </c>
      <c r="H420">
        <v>15</v>
      </c>
      <c r="I420">
        <v>15</v>
      </c>
      <c r="J420">
        <v>0</v>
      </c>
      <c r="K420" t="s">
        <v>63</v>
      </c>
      <c r="L420">
        <v>1</v>
      </c>
      <c r="M420">
        <v>0.73902069998439401</v>
      </c>
      <c r="N420" t="s">
        <v>51</v>
      </c>
      <c r="O420">
        <v>0</v>
      </c>
      <c r="P420">
        <v>15</v>
      </c>
      <c r="Q420">
        <v>15</v>
      </c>
      <c r="R420">
        <v>0</v>
      </c>
      <c r="S420">
        <v>22.823239800054498</v>
      </c>
      <c r="X420">
        <v>22.816054399998301</v>
      </c>
      <c r="Y420">
        <v>22.823239800054498</v>
      </c>
      <c r="Z420">
        <v>23.323702400026299</v>
      </c>
      <c r="AA420">
        <v>23.323702400026299</v>
      </c>
      <c r="AB420">
        <v>23.323702400026299</v>
      </c>
      <c r="AC420">
        <v>24.077828600013099</v>
      </c>
      <c r="AD420" t="s">
        <v>63</v>
      </c>
      <c r="AE420">
        <v>1</v>
      </c>
      <c r="AF420">
        <v>0.73902069998439401</v>
      </c>
      <c r="AG420" t="s">
        <v>51</v>
      </c>
      <c r="AK420" t="s">
        <v>92</v>
      </c>
      <c r="AL420">
        <v>1</v>
      </c>
      <c r="AM420" t="s">
        <v>82</v>
      </c>
      <c r="AN420" t="s">
        <v>43</v>
      </c>
      <c r="AP420" t="s">
        <v>44</v>
      </c>
      <c r="AQ420">
        <v>60.124517886762398</v>
      </c>
      <c r="AR420" t="s">
        <v>83</v>
      </c>
    </row>
    <row r="421" spans="1:44" x14ac:dyDescent="0.3">
      <c r="A421" t="s">
        <v>71</v>
      </c>
      <c r="B421" t="s">
        <v>49</v>
      </c>
      <c r="C421" s="2" t="str">
        <f t="shared" si="6"/>
        <v>Neutral</v>
      </c>
      <c r="D421">
        <v>0.94142889999784496</v>
      </c>
      <c r="E421" t="s">
        <v>47</v>
      </c>
      <c r="F421" t="s">
        <v>48</v>
      </c>
      <c r="G421" t="s">
        <v>50</v>
      </c>
      <c r="H421">
        <v>16</v>
      </c>
      <c r="I421">
        <v>16</v>
      </c>
      <c r="J421">
        <v>0</v>
      </c>
      <c r="K421" t="s">
        <v>50</v>
      </c>
      <c r="L421">
        <v>1</v>
      </c>
      <c r="M421">
        <v>0.40014530002372301</v>
      </c>
      <c r="N421" t="s">
        <v>51</v>
      </c>
      <c r="O421">
        <v>0</v>
      </c>
      <c r="P421">
        <v>16</v>
      </c>
      <c r="Q421">
        <v>16</v>
      </c>
      <c r="R421">
        <v>15</v>
      </c>
      <c r="S421">
        <v>24.090288500010502</v>
      </c>
      <c r="X421">
        <v>24.080495300004198</v>
      </c>
      <c r="Y421">
        <v>24.090288500010502</v>
      </c>
      <c r="Z421">
        <v>24.590950600046199</v>
      </c>
      <c r="AA421">
        <v>24.590950600046199</v>
      </c>
      <c r="AB421">
        <v>24.590950600046199</v>
      </c>
      <c r="AC421">
        <v>24.9950297000468</v>
      </c>
      <c r="AD421" t="s">
        <v>50</v>
      </c>
      <c r="AE421">
        <v>1</v>
      </c>
      <c r="AF421">
        <v>0.40014530002372301</v>
      </c>
      <c r="AG421" t="s">
        <v>51</v>
      </c>
      <c r="AK421" t="s">
        <v>92</v>
      </c>
      <c r="AL421">
        <v>1</v>
      </c>
      <c r="AM421" t="s">
        <v>82</v>
      </c>
      <c r="AN421" t="s">
        <v>43</v>
      </c>
      <c r="AP421" t="s">
        <v>44</v>
      </c>
      <c r="AQ421">
        <v>60.124517886762398</v>
      </c>
      <c r="AR421" t="s">
        <v>83</v>
      </c>
    </row>
    <row r="422" spans="1:44" x14ac:dyDescent="0.3">
      <c r="A422" t="s">
        <v>68</v>
      </c>
      <c r="B422" t="s">
        <v>49</v>
      </c>
      <c r="C422" s="2" t="str">
        <f t="shared" si="6"/>
        <v>Emotional-I</v>
      </c>
      <c r="D422">
        <v>0.66106340003898301</v>
      </c>
      <c r="E422" t="s">
        <v>59</v>
      </c>
      <c r="F422" t="s">
        <v>53</v>
      </c>
      <c r="G422" t="s">
        <v>54</v>
      </c>
      <c r="H422">
        <v>17</v>
      </c>
      <c r="I422">
        <v>17</v>
      </c>
      <c r="J422">
        <v>0</v>
      </c>
      <c r="K422" t="s">
        <v>54</v>
      </c>
      <c r="L422">
        <v>1</v>
      </c>
      <c r="M422">
        <v>0.71130130003439196</v>
      </c>
      <c r="N422" t="s">
        <v>51</v>
      </c>
      <c r="O422">
        <v>0</v>
      </c>
      <c r="P422">
        <v>17</v>
      </c>
      <c r="Q422">
        <v>17</v>
      </c>
      <c r="R422">
        <v>6</v>
      </c>
      <c r="S422">
        <v>25.022643600008401</v>
      </c>
      <c r="X422">
        <v>25.001297300041099</v>
      </c>
      <c r="Y422">
        <v>25.022643600008401</v>
      </c>
      <c r="Z422">
        <v>25.507041200005901</v>
      </c>
      <c r="AA422">
        <v>25.507041200005901</v>
      </c>
      <c r="AB422">
        <v>25.507041200005901</v>
      </c>
      <c r="AC422">
        <v>26.230267600039902</v>
      </c>
      <c r="AD422" t="s">
        <v>54</v>
      </c>
      <c r="AE422">
        <v>1</v>
      </c>
      <c r="AF422">
        <v>0.71130130003439196</v>
      </c>
      <c r="AG422" t="s">
        <v>51</v>
      </c>
      <c r="AK422" t="s">
        <v>92</v>
      </c>
      <c r="AL422">
        <v>1</v>
      </c>
      <c r="AM422" t="s">
        <v>82</v>
      </c>
      <c r="AN422" t="s">
        <v>43</v>
      </c>
      <c r="AP422" t="s">
        <v>44</v>
      </c>
      <c r="AQ422">
        <v>60.124517886762398</v>
      </c>
      <c r="AR422" t="s">
        <v>83</v>
      </c>
    </row>
    <row r="423" spans="1:44" x14ac:dyDescent="0.3">
      <c r="A423" t="s">
        <v>69</v>
      </c>
      <c r="B423" t="s">
        <v>49</v>
      </c>
      <c r="C423" s="2" t="str">
        <f t="shared" si="6"/>
        <v>Emotional-I</v>
      </c>
      <c r="D423">
        <v>1.2780933000030901</v>
      </c>
      <c r="E423" t="s">
        <v>59</v>
      </c>
      <c r="F423" t="s">
        <v>56</v>
      </c>
      <c r="G423" t="s">
        <v>57</v>
      </c>
      <c r="H423">
        <v>18</v>
      </c>
      <c r="I423">
        <v>18</v>
      </c>
      <c r="J423">
        <v>0</v>
      </c>
      <c r="K423" t="s">
        <v>57</v>
      </c>
      <c r="L423">
        <v>1</v>
      </c>
      <c r="M423">
        <v>0.55256189999636196</v>
      </c>
      <c r="N423" t="s">
        <v>51</v>
      </c>
      <c r="O423">
        <v>0</v>
      </c>
      <c r="P423">
        <v>18</v>
      </c>
      <c r="Q423">
        <v>18</v>
      </c>
      <c r="R423">
        <v>5</v>
      </c>
      <c r="S423">
        <v>26.256112100032599</v>
      </c>
      <c r="X423">
        <v>26.234865000005801</v>
      </c>
      <c r="Y423">
        <v>26.256112100032599</v>
      </c>
      <c r="Z423">
        <v>26.739777900045699</v>
      </c>
      <c r="AA423">
        <v>26.739777900045699</v>
      </c>
      <c r="AB423">
        <v>26.739777900045699</v>
      </c>
      <c r="AC423">
        <v>27.295264700020098</v>
      </c>
      <c r="AD423" t="s">
        <v>57</v>
      </c>
      <c r="AE423">
        <v>1</v>
      </c>
      <c r="AF423">
        <v>0.55256189999636196</v>
      </c>
      <c r="AG423" t="s">
        <v>51</v>
      </c>
      <c r="AK423" t="s">
        <v>92</v>
      </c>
      <c r="AL423">
        <v>1</v>
      </c>
      <c r="AM423" t="s">
        <v>82</v>
      </c>
      <c r="AN423" t="s">
        <v>43</v>
      </c>
      <c r="AP423" t="s">
        <v>44</v>
      </c>
      <c r="AQ423">
        <v>60.124517886762398</v>
      </c>
      <c r="AR423" t="s">
        <v>83</v>
      </c>
    </row>
    <row r="424" spans="1:44" x14ac:dyDescent="0.3">
      <c r="A424" t="s">
        <v>72</v>
      </c>
      <c r="B424" t="s">
        <v>62</v>
      </c>
      <c r="C424" s="2" t="str">
        <f t="shared" si="6"/>
        <v>Emotional-C</v>
      </c>
      <c r="D424">
        <v>0.73011679999763102</v>
      </c>
      <c r="E424" t="s">
        <v>59</v>
      </c>
      <c r="F424" t="s">
        <v>61</v>
      </c>
      <c r="G424" t="s">
        <v>63</v>
      </c>
      <c r="H424">
        <v>19</v>
      </c>
      <c r="I424">
        <v>19</v>
      </c>
      <c r="J424">
        <v>0</v>
      </c>
      <c r="K424" t="s">
        <v>63</v>
      </c>
      <c r="L424">
        <v>1</v>
      </c>
      <c r="M424">
        <v>0.74195379996672195</v>
      </c>
      <c r="N424" t="s">
        <v>51</v>
      </c>
      <c r="O424">
        <v>0</v>
      </c>
      <c r="P424">
        <v>19</v>
      </c>
      <c r="Q424">
        <v>19</v>
      </c>
      <c r="R424">
        <v>8</v>
      </c>
      <c r="S424">
        <v>27.306916700035799</v>
      </c>
      <c r="X424">
        <v>27.299408000020701</v>
      </c>
      <c r="Y424">
        <v>27.306916700035799</v>
      </c>
      <c r="Z424">
        <v>27.806980800000002</v>
      </c>
      <c r="AA424">
        <v>27.806980800000002</v>
      </c>
      <c r="AB424">
        <v>27.806980800000002</v>
      </c>
      <c r="AC424">
        <v>28.561312000034299</v>
      </c>
      <c r="AD424" t="s">
        <v>63</v>
      </c>
      <c r="AE424">
        <v>1</v>
      </c>
      <c r="AF424">
        <v>0.74195379996672195</v>
      </c>
      <c r="AG424" t="s">
        <v>51</v>
      </c>
      <c r="AK424" t="s">
        <v>92</v>
      </c>
      <c r="AL424">
        <v>1</v>
      </c>
      <c r="AM424" t="s">
        <v>82</v>
      </c>
      <c r="AN424" t="s">
        <v>43</v>
      </c>
      <c r="AP424" t="s">
        <v>44</v>
      </c>
      <c r="AQ424">
        <v>60.124517886762398</v>
      </c>
      <c r="AR424" t="s">
        <v>83</v>
      </c>
    </row>
    <row r="425" spans="1:44" x14ac:dyDescent="0.3">
      <c r="A425" t="s">
        <v>76</v>
      </c>
      <c r="B425" t="s">
        <v>49</v>
      </c>
      <c r="C425" s="2" t="str">
        <f t="shared" si="6"/>
        <v>Emotional-I</v>
      </c>
      <c r="D425">
        <v>0.69005000003380701</v>
      </c>
      <c r="E425" t="s">
        <v>59</v>
      </c>
      <c r="F425" t="s">
        <v>48</v>
      </c>
      <c r="G425" t="s">
        <v>50</v>
      </c>
      <c r="H425">
        <v>20</v>
      </c>
      <c r="I425">
        <v>0</v>
      </c>
      <c r="J425">
        <v>1</v>
      </c>
      <c r="K425" t="s">
        <v>50</v>
      </c>
      <c r="L425">
        <v>1</v>
      </c>
      <c r="M425">
        <v>1.33236480003688</v>
      </c>
      <c r="N425" t="s">
        <v>51</v>
      </c>
      <c r="O425">
        <v>1</v>
      </c>
      <c r="P425">
        <v>0</v>
      </c>
      <c r="Q425">
        <v>20</v>
      </c>
      <c r="R425">
        <v>3</v>
      </c>
      <c r="S425">
        <v>28.57355000003</v>
      </c>
      <c r="X425">
        <v>28.564043899998001</v>
      </c>
      <c r="Y425">
        <v>28.57355000003</v>
      </c>
      <c r="Z425">
        <v>29.073411100020099</v>
      </c>
      <c r="AA425">
        <v>29.073411100020099</v>
      </c>
      <c r="AB425">
        <v>29.073411100020099</v>
      </c>
      <c r="AC425">
        <v>30.410732100019199</v>
      </c>
      <c r="AD425" t="s">
        <v>50</v>
      </c>
      <c r="AE425">
        <v>1</v>
      </c>
      <c r="AF425">
        <v>1.33236480003688</v>
      </c>
      <c r="AG425" t="s">
        <v>51</v>
      </c>
      <c r="AK425" t="s">
        <v>92</v>
      </c>
      <c r="AL425">
        <v>1</v>
      </c>
      <c r="AM425" t="s">
        <v>82</v>
      </c>
      <c r="AN425" t="s">
        <v>43</v>
      </c>
      <c r="AP425" t="s">
        <v>44</v>
      </c>
      <c r="AQ425">
        <v>60.124517886762398</v>
      </c>
      <c r="AR425" t="s">
        <v>83</v>
      </c>
    </row>
    <row r="426" spans="1:44" x14ac:dyDescent="0.3">
      <c r="A426" t="s">
        <v>78</v>
      </c>
      <c r="B426" t="s">
        <v>49</v>
      </c>
      <c r="C426" s="2" t="str">
        <f t="shared" si="6"/>
        <v>Neutral</v>
      </c>
      <c r="D426">
        <v>0.60991100000683196</v>
      </c>
      <c r="E426" t="s">
        <v>47</v>
      </c>
      <c r="F426" t="s">
        <v>56</v>
      </c>
      <c r="G426" t="s">
        <v>57</v>
      </c>
      <c r="H426">
        <v>21</v>
      </c>
      <c r="I426">
        <v>1</v>
      </c>
      <c r="J426">
        <v>1</v>
      </c>
      <c r="K426" t="s">
        <v>57</v>
      </c>
      <c r="L426">
        <v>1</v>
      </c>
      <c r="M426">
        <v>0.62628329999279198</v>
      </c>
      <c r="N426" t="s">
        <v>51</v>
      </c>
      <c r="O426">
        <v>1</v>
      </c>
      <c r="P426">
        <v>1</v>
      </c>
      <c r="Q426">
        <v>21</v>
      </c>
      <c r="R426">
        <v>17</v>
      </c>
      <c r="S426">
        <v>30.423431000031901</v>
      </c>
      <c r="X426">
        <v>30.413115200004501</v>
      </c>
      <c r="Y426">
        <v>30.423431000031901</v>
      </c>
      <c r="Z426">
        <v>30.923470000037899</v>
      </c>
      <c r="AA426">
        <v>30.923470000037899</v>
      </c>
      <c r="AB426">
        <v>30.923470000037899</v>
      </c>
      <c r="AC426">
        <v>31.559978600009298</v>
      </c>
      <c r="AD426" t="s">
        <v>57</v>
      </c>
      <c r="AE426">
        <v>1</v>
      </c>
      <c r="AF426">
        <v>0.62628329999279198</v>
      </c>
      <c r="AG426" t="s">
        <v>51</v>
      </c>
      <c r="AK426" t="s">
        <v>92</v>
      </c>
      <c r="AL426">
        <v>1</v>
      </c>
      <c r="AM426" t="s">
        <v>82</v>
      </c>
      <c r="AN426" t="s">
        <v>43</v>
      </c>
      <c r="AP426" t="s">
        <v>44</v>
      </c>
      <c r="AQ426">
        <v>60.124517886762398</v>
      </c>
      <c r="AR426" t="s">
        <v>83</v>
      </c>
    </row>
    <row r="427" spans="1:44" x14ac:dyDescent="0.3">
      <c r="A427" t="s">
        <v>75</v>
      </c>
      <c r="B427" t="s">
        <v>49</v>
      </c>
      <c r="C427" s="2" t="str">
        <f t="shared" si="6"/>
        <v>Neutral</v>
      </c>
      <c r="D427">
        <v>0.67160100000910405</v>
      </c>
      <c r="E427" t="s">
        <v>47</v>
      </c>
      <c r="F427" t="s">
        <v>61</v>
      </c>
      <c r="G427" t="s">
        <v>63</v>
      </c>
      <c r="H427">
        <v>22</v>
      </c>
      <c r="I427">
        <v>2</v>
      </c>
      <c r="J427">
        <v>1</v>
      </c>
      <c r="K427" t="s">
        <v>63</v>
      </c>
      <c r="L427">
        <v>1</v>
      </c>
      <c r="M427">
        <v>0.77830319997155994</v>
      </c>
      <c r="N427" t="s">
        <v>51</v>
      </c>
      <c r="O427">
        <v>1</v>
      </c>
      <c r="P427">
        <v>2</v>
      </c>
      <c r="Q427">
        <v>22</v>
      </c>
      <c r="R427">
        <v>16</v>
      </c>
      <c r="S427">
        <v>31.573199600039501</v>
      </c>
      <c r="X427">
        <v>31.563579100009498</v>
      </c>
      <c r="Y427">
        <v>31.573199600039501</v>
      </c>
      <c r="Z427">
        <v>32.075075700005897</v>
      </c>
      <c r="AA427">
        <v>32.075075700005897</v>
      </c>
      <c r="AB427">
        <v>32.075075700005897</v>
      </c>
      <c r="AC427">
        <v>32.860506700002503</v>
      </c>
      <c r="AD427" t="s">
        <v>63</v>
      </c>
      <c r="AE427">
        <v>1</v>
      </c>
      <c r="AF427">
        <v>0.77830319997155994</v>
      </c>
      <c r="AG427" t="s">
        <v>51</v>
      </c>
      <c r="AK427" t="s">
        <v>92</v>
      </c>
      <c r="AL427">
        <v>1</v>
      </c>
      <c r="AM427" t="s">
        <v>82</v>
      </c>
      <c r="AN427" t="s">
        <v>43</v>
      </c>
      <c r="AP427" t="s">
        <v>44</v>
      </c>
      <c r="AQ427">
        <v>60.124517886762398</v>
      </c>
      <c r="AR427" t="s">
        <v>83</v>
      </c>
    </row>
    <row r="428" spans="1:44" x14ac:dyDescent="0.3">
      <c r="A428" t="s">
        <v>46</v>
      </c>
      <c r="B428" t="s">
        <v>49</v>
      </c>
      <c r="C428" s="2" t="str">
        <f t="shared" si="6"/>
        <v>Neutral</v>
      </c>
      <c r="D428">
        <v>0.76676220004446805</v>
      </c>
      <c r="E428" t="s">
        <v>47</v>
      </c>
      <c r="F428" t="s">
        <v>48</v>
      </c>
      <c r="G428" t="s">
        <v>50</v>
      </c>
      <c r="H428">
        <v>23</v>
      </c>
      <c r="I428">
        <v>3</v>
      </c>
      <c r="J428">
        <v>1</v>
      </c>
      <c r="K428" t="s">
        <v>50</v>
      </c>
      <c r="L428">
        <v>1</v>
      </c>
      <c r="M428">
        <v>1.1990661000017999</v>
      </c>
      <c r="N428" t="s">
        <v>51</v>
      </c>
      <c r="O428">
        <v>1</v>
      </c>
      <c r="P428">
        <v>3</v>
      </c>
      <c r="Q428">
        <v>23</v>
      </c>
      <c r="R428">
        <v>19</v>
      </c>
      <c r="S428">
        <v>32.873196500004198</v>
      </c>
      <c r="X428">
        <v>32.863972300023299</v>
      </c>
      <c r="Y428">
        <v>32.873196500004198</v>
      </c>
      <c r="Z428">
        <v>33.373114400019404</v>
      </c>
      <c r="AA428">
        <v>33.373114400019404</v>
      </c>
      <c r="AB428">
        <v>33.373114400019404</v>
      </c>
      <c r="AC428">
        <v>34.577640600036801</v>
      </c>
      <c r="AD428" t="s">
        <v>50</v>
      </c>
      <c r="AE428">
        <v>1</v>
      </c>
      <c r="AF428">
        <v>1.1990661000017999</v>
      </c>
      <c r="AG428" t="s">
        <v>51</v>
      </c>
      <c r="AK428" t="s">
        <v>92</v>
      </c>
      <c r="AL428">
        <v>1</v>
      </c>
      <c r="AM428" t="s">
        <v>82</v>
      </c>
      <c r="AN428" t="s">
        <v>43</v>
      </c>
      <c r="AP428" t="s">
        <v>44</v>
      </c>
      <c r="AQ428">
        <v>60.124517886762398</v>
      </c>
      <c r="AR428" t="s">
        <v>83</v>
      </c>
    </row>
    <row r="429" spans="1:44" x14ac:dyDescent="0.3">
      <c r="A429" t="s">
        <v>60</v>
      </c>
      <c r="B429" t="s">
        <v>62</v>
      </c>
      <c r="C429" s="2" t="str">
        <f t="shared" si="6"/>
        <v>Emotional-C</v>
      </c>
      <c r="D429">
        <v>1.1928365000057899</v>
      </c>
      <c r="E429" t="s">
        <v>59</v>
      </c>
      <c r="F429" t="s">
        <v>61</v>
      </c>
      <c r="G429" t="s">
        <v>63</v>
      </c>
      <c r="H429">
        <v>24</v>
      </c>
      <c r="I429">
        <v>4</v>
      </c>
      <c r="J429">
        <v>1</v>
      </c>
      <c r="K429" t="s">
        <v>63</v>
      </c>
      <c r="L429">
        <v>1</v>
      </c>
      <c r="M429">
        <v>0.86663750000298001</v>
      </c>
      <c r="N429" t="s">
        <v>51</v>
      </c>
      <c r="O429">
        <v>1</v>
      </c>
      <c r="P429">
        <v>4</v>
      </c>
      <c r="Q429">
        <v>24</v>
      </c>
      <c r="R429">
        <v>0</v>
      </c>
      <c r="S429">
        <v>34.5897326000267</v>
      </c>
      <c r="X429">
        <v>34.580860000045497</v>
      </c>
      <c r="Y429">
        <v>34.5897326000267</v>
      </c>
      <c r="Z429">
        <v>35.0901009000372</v>
      </c>
      <c r="AA429">
        <v>35.0901009000372</v>
      </c>
      <c r="AB429">
        <v>35.0901009000372</v>
      </c>
      <c r="AC429">
        <v>35.960662800003703</v>
      </c>
      <c r="AD429" t="s">
        <v>63</v>
      </c>
      <c r="AE429">
        <v>1</v>
      </c>
      <c r="AF429">
        <v>0.86663750000298001</v>
      </c>
      <c r="AG429" t="s">
        <v>51</v>
      </c>
      <c r="AK429" t="s">
        <v>92</v>
      </c>
      <c r="AL429">
        <v>1</v>
      </c>
      <c r="AM429" t="s">
        <v>82</v>
      </c>
      <c r="AN429" t="s">
        <v>43</v>
      </c>
      <c r="AP429" t="s">
        <v>44</v>
      </c>
      <c r="AQ429">
        <v>60.124517886762398</v>
      </c>
      <c r="AR429" t="s">
        <v>83</v>
      </c>
    </row>
    <row r="430" spans="1:44" x14ac:dyDescent="0.3">
      <c r="A430" t="s">
        <v>55</v>
      </c>
      <c r="B430" t="s">
        <v>49</v>
      </c>
      <c r="C430" s="2" t="str">
        <f t="shared" si="6"/>
        <v>Neutral</v>
      </c>
      <c r="D430">
        <v>0.80164739995961998</v>
      </c>
      <c r="E430" t="s">
        <v>47</v>
      </c>
      <c r="F430" t="s">
        <v>56</v>
      </c>
      <c r="G430" t="s">
        <v>57</v>
      </c>
      <c r="H430">
        <v>25</v>
      </c>
      <c r="I430">
        <v>5</v>
      </c>
      <c r="J430">
        <v>1</v>
      </c>
      <c r="K430" t="s">
        <v>57</v>
      </c>
      <c r="L430">
        <v>1</v>
      </c>
      <c r="M430">
        <v>0.81771999999182299</v>
      </c>
      <c r="N430" t="s">
        <v>51</v>
      </c>
      <c r="O430">
        <v>1</v>
      </c>
      <c r="P430">
        <v>5</v>
      </c>
      <c r="Q430">
        <v>25</v>
      </c>
      <c r="R430">
        <v>13</v>
      </c>
      <c r="S430">
        <v>35.973065500031197</v>
      </c>
      <c r="X430">
        <v>35.963543899997603</v>
      </c>
      <c r="Y430">
        <v>35.973065500031197</v>
      </c>
      <c r="Z430">
        <v>36.473430600017302</v>
      </c>
      <c r="AA430">
        <v>36.473430600017302</v>
      </c>
      <c r="AB430">
        <v>36.473430600017302</v>
      </c>
      <c r="AC430">
        <v>37.293632500048197</v>
      </c>
      <c r="AD430" t="s">
        <v>57</v>
      </c>
      <c r="AE430">
        <v>1</v>
      </c>
      <c r="AF430">
        <v>0.81771999999182299</v>
      </c>
      <c r="AG430" t="s">
        <v>51</v>
      </c>
      <c r="AK430" t="s">
        <v>92</v>
      </c>
      <c r="AL430">
        <v>1</v>
      </c>
      <c r="AM430" t="s">
        <v>82</v>
      </c>
      <c r="AN430" t="s">
        <v>43</v>
      </c>
      <c r="AP430" t="s">
        <v>44</v>
      </c>
      <c r="AQ430">
        <v>60.124517886762398</v>
      </c>
      <c r="AR430" t="s">
        <v>83</v>
      </c>
    </row>
    <row r="431" spans="1:44" x14ac:dyDescent="0.3">
      <c r="A431" t="s">
        <v>64</v>
      </c>
      <c r="B431" t="s">
        <v>49</v>
      </c>
      <c r="C431" s="2" t="str">
        <f t="shared" si="6"/>
        <v>Neutral</v>
      </c>
      <c r="D431">
        <v>0.95463110000127904</v>
      </c>
      <c r="E431" t="s">
        <v>47</v>
      </c>
      <c r="F431" t="s">
        <v>53</v>
      </c>
      <c r="G431" t="s">
        <v>54</v>
      </c>
      <c r="H431">
        <v>26</v>
      </c>
      <c r="I431">
        <v>6</v>
      </c>
      <c r="J431">
        <v>1</v>
      </c>
      <c r="K431" t="s">
        <v>54</v>
      </c>
      <c r="L431">
        <v>1</v>
      </c>
      <c r="M431">
        <v>1.80232519999844</v>
      </c>
      <c r="N431" t="s">
        <v>51</v>
      </c>
      <c r="O431">
        <v>1</v>
      </c>
      <c r="P431">
        <v>6</v>
      </c>
      <c r="Q431">
        <v>26</v>
      </c>
      <c r="R431">
        <v>18</v>
      </c>
      <c r="S431">
        <v>37.306915800028897</v>
      </c>
      <c r="X431">
        <v>37.296133900002999</v>
      </c>
      <c r="Y431">
        <v>37.306915800028897</v>
      </c>
      <c r="Z431">
        <v>37.806287800020002</v>
      </c>
      <c r="AA431">
        <v>37.806287800020002</v>
      </c>
      <c r="AB431">
        <v>37.806287800020002</v>
      </c>
      <c r="AC431">
        <v>39.610367400047799</v>
      </c>
      <c r="AD431" t="s">
        <v>54</v>
      </c>
      <c r="AE431">
        <v>1</v>
      </c>
      <c r="AF431">
        <v>1.80232519999844</v>
      </c>
      <c r="AG431" t="s">
        <v>51</v>
      </c>
      <c r="AK431" t="s">
        <v>92</v>
      </c>
      <c r="AL431">
        <v>1</v>
      </c>
      <c r="AM431" t="s">
        <v>82</v>
      </c>
      <c r="AN431" t="s">
        <v>43</v>
      </c>
      <c r="AP431" t="s">
        <v>44</v>
      </c>
      <c r="AQ431">
        <v>60.124517886762398</v>
      </c>
      <c r="AR431" t="s">
        <v>83</v>
      </c>
    </row>
    <row r="432" spans="1:44" x14ac:dyDescent="0.3">
      <c r="A432" t="s">
        <v>67</v>
      </c>
      <c r="B432" t="s">
        <v>49</v>
      </c>
      <c r="C432" s="2" t="str">
        <f t="shared" si="6"/>
        <v>Neutral</v>
      </c>
      <c r="D432">
        <v>0.49165209999773601</v>
      </c>
      <c r="E432" t="s">
        <v>47</v>
      </c>
      <c r="F432" t="s">
        <v>53</v>
      </c>
      <c r="G432" t="s">
        <v>54</v>
      </c>
      <c r="H432">
        <v>27</v>
      </c>
      <c r="I432">
        <v>7</v>
      </c>
      <c r="J432">
        <v>1</v>
      </c>
      <c r="K432" t="s">
        <v>54</v>
      </c>
      <c r="L432">
        <v>1</v>
      </c>
      <c r="M432">
        <v>0.58062189997872304</v>
      </c>
      <c r="N432" t="s">
        <v>51</v>
      </c>
      <c r="O432">
        <v>1</v>
      </c>
      <c r="P432">
        <v>7</v>
      </c>
      <c r="Q432">
        <v>27</v>
      </c>
      <c r="R432">
        <v>10</v>
      </c>
      <c r="S432">
        <v>39.623255100042996</v>
      </c>
      <c r="X432">
        <v>39.6130279000499</v>
      </c>
      <c r="Y432">
        <v>39.623255100042996</v>
      </c>
      <c r="Z432">
        <v>40.122631600010202</v>
      </c>
      <c r="AA432">
        <v>40.122631600010202</v>
      </c>
      <c r="AB432">
        <v>40.122631600010202</v>
      </c>
      <c r="AC432">
        <v>40.709893800027203</v>
      </c>
      <c r="AD432" t="s">
        <v>54</v>
      </c>
      <c r="AE432">
        <v>1</v>
      </c>
      <c r="AF432">
        <v>0.58062189997872304</v>
      </c>
      <c r="AG432" t="s">
        <v>51</v>
      </c>
      <c r="AK432" t="s">
        <v>92</v>
      </c>
      <c r="AL432">
        <v>1</v>
      </c>
      <c r="AM432" t="s">
        <v>82</v>
      </c>
      <c r="AN432" t="s">
        <v>43</v>
      </c>
      <c r="AP432" t="s">
        <v>44</v>
      </c>
      <c r="AQ432">
        <v>60.124517886762398</v>
      </c>
      <c r="AR432" t="s">
        <v>83</v>
      </c>
    </row>
    <row r="433" spans="1:44" x14ac:dyDescent="0.3">
      <c r="A433" t="s">
        <v>65</v>
      </c>
      <c r="B433" t="s">
        <v>49</v>
      </c>
      <c r="C433" s="2" t="str">
        <f t="shared" si="6"/>
        <v>Emotional-I</v>
      </c>
      <c r="D433">
        <v>0.494083999947179</v>
      </c>
      <c r="E433" t="s">
        <v>59</v>
      </c>
      <c r="F433" t="s">
        <v>56</v>
      </c>
      <c r="G433" t="s">
        <v>57</v>
      </c>
      <c r="H433">
        <v>28</v>
      </c>
      <c r="I433">
        <v>8</v>
      </c>
      <c r="J433">
        <v>1</v>
      </c>
      <c r="K433" t="s">
        <v>57</v>
      </c>
      <c r="L433">
        <v>1</v>
      </c>
      <c r="M433">
        <v>1.8378823000239199</v>
      </c>
      <c r="N433" t="s">
        <v>51</v>
      </c>
      <c r="O433">
        <v>1</v>
      </c>
      <c r="P433">
        <v>8</v>
      </c>
      <c r="Q433">
        <v>28</v>
      </c>
      <c r="R433">
        <v>9</v>
      </c>
      <c r="S433">
        <v>40.722717099997602</v>
      </c>
      <c r="X433">
        <v>40.712822600034997</v>
      </c>
      <c r="Y433">
        <v>40.722717099997602</v>
      </c>
      <c r="Z433">
        <v>41.222795700014103</v>
      </c>
      <c r="AA433">
        <v>41.222795700014103</v>
      </c>
      <c r="AB433">
        <v>41.222795700014103</v>
      </c>
      <c r="AC433">
        <v>43.076609300042001</v>
      </c>
      <c r="AD433" t="s">
        <v>57</v>
      </c>
      <c r="AE433">
        <v>1</v>
      </c>
      <c r="AF433">
        <v>1.8378823000239199</v>
      </c>
      <c r="AG433" t="s">
        <v>51</v>
      </c>
      <c r="AK433" t="s">
        <v>92</v>
      </c>
      <c r="AL433">
        <v>1</v>
      </c>
      <c r="AM433" t="s">
        <v>82</v>
      </c>
      <c r="AN433" t="s">
        <v>43</v>
      </c>
      <c r="AP433" t="s">
        <v>44</v>
      </c>
      <c r="AQ433">
        <v>60.124517886762398</v>
      </c>
      <c r="AR433" t="s">
        <v>83</v>
      </c>
    </row>
    <row r="434" spans="1:44" x14ac:dyDescent="0.3">
      <c r="A434" t="s">
        <v>73</v>
      </c>
      <c r="B434" t="s">
        <v>49</v>
      </c>
      <c r="C434" s="2" t="str">
        <f t="shared" si="6"/>
        <v>Emotional-I</v>
      </c>
      <c r="D434">
        <v>1.04389079997781</v>
      </c>
      <c r="E434" t="s">
        <v>59</v>
      </c>
      <c r="F434" t="s">
        <v>56</v>
      </c>
      <c r="G434" t="s">
        <v>57</v>
      </c>
      <c r="H434">
        <v>29</v>
      </c>
      <c r="I434">
        <v>9</v>
      </c>
      <c r="J434">
        <v>1</v>
      </c>
      <c r="K434" t="s">
        <v>57</v>
      </c>
      <c r="L434">
        <v>1</v>
      </c>
      <c r="M434">
        <v>0.49538740003481502</v>
      </c>
      <c r="N434" t="s">
        <v>51</v>
      </c>
      <c r="O434">
        <v>1</v>
      </c>
      <c r="P434">
        <v>9</v>
      </c>
      <c r="Q434">
        <v>29</v>
      </c>
      <c r="R434">
        <v>1</v>
      </c>
      <c r="S434">
        <v>43.089487200020798</v>
      </c>
      <c r="X434">
        <v>43.079598600044797</v>
      </c>
      <c r="Y434">
        <v>43.089487200020798</v>
      </c>
      <c r="Z434">
        <v>43.589613100048098</v>
      </c>
      <c r="AA434">
        <v>43.589613100048098</v>
      </c>
      <c r="AB434">
        <v>43.589613100048098</v>
      </c>
      <c r="AC434">
        <v>44.093253099999799</v>
      </c>
      <c r="AD434" t="s">
        <v>57</v>
      </c>
      <c r="AE434">
        <v>1</v>
      </c>
      <c r="AF434">
        <v>0.49538740003481502</v>
      </c>
      <c r="AG434" t="s">
        <v>51</v>
      </c>
      <c r="AK434" t="s">
        <v>92</v>
      </c>
      <c r="AL434">
        <v>1</v>
      </c>
      <c r="AM434" t="s">
        <v>82</v>
      </c>
      <c r="AN434" t="s">
        <v>43</v>
      </c>
      <c r="AP434" t="s">
        <v>44</v>
      </c>
      <c r="AQ434">
        <v>60.124517886762398</v>
      </c>
      <c r="AR434" t="s">
        <v>83</v>
      </c>
    </row>
    <row r="435" spans="1:44" x14ac:dyDescent="0.3">
      <c r="A435" t="s">
        <v>74</v>
      </c>
      <c r="B435" t="s">
        <v>49</v>
      </c>
      <c r="C435" s="2" t="str">
        <f t="shared" si="6"/>
        <v>Neutral</v>
      </c>
      <c r="D435">
        <v>0.55901930003892597</v>
      </c>
      <c r="E435" t="s">
        <v>47</v>
      </c>
      <c r="F435" t="s">
        <v>48</v>
      </c>
      <c r="G435" t="s">
        <v>50</v>
      </c>
      <c r="H435">
        <v>30</v>
      </c>
      <c r="I435">
        <v>10</v>
      </c>
      <c r="J435">
        <v>1</v>
      </c>
      <c r="K435" t="s">
        <v>50</v>
      </c>
      <c r="L435">
        <v>1</v>
      </c>
      <c r="M435">
        <v>0.84833309997338802</v>
      </c>
      <c r="N435" t="s">
        <v>51</v>
      </c>
      <c r="O435">
        <v>1</v>
      </c>
      <c r="P435">
        <v>10</v>
      </c>
      <c r="Q435">
        <v>30</v>
      </c>
      <c r="R435">
        <v>11</v>
      </c>
      <c r="S435">
        <v>44.105863100034099</v>
      </c>
      <c r="X435">
        <v>44.096576700045198</v>
      </c>
      <c r="Y435">
        <v>44.105863100034099</v>
      </c>
      <c r="Z435">
        <v>44.606270900054298</v>
      </c>
      <c r="AA435">
        <v>44.606270900054298</v>
      </c>
      <c r="AB435">
        <v>44.606270900054298</v>
      </c>
      <c r="AC435">
        <v>45.459586500015497</v>
      </c>
      <c r="AD435" t="s">
        <v>50</v>
      </c>
      <c r="AE435">
        <v>1</v>
      </c>
      <c r="AF435">
        <v>0.84833309997338802</v>
      </c>
      <c r="AG435" t="s">
        <v>51</v>
      </c>
      <c r="AK435" t="s">
        <v>92</v>
      </c>
      <c r="AL435">
        <v>1</v>
      </c>
      <c r="AM435" t="s">
        <v>82</v>
      </c>
      <c r="AN435" t="s">
        <v>43</v>
      </c>
      <c r="AP435" t="s">
        <v>44</v>
      </c>
      <c r="AQ435">
        <v>60.124517886762398</v>
      </c>
      <c r="AR435" t="s">
        <v>83</v>
      </c>
    </row>
    <row r="436" spans="1:44" x14ac:dyDescent="0.3">
      <c r="A436" t="s">
        <v>66</v>
      </c>
      <c r="B436" t="s">
        <v>49</v>
      </c>
      <c r="C436" s="2" t="str">
        <f t="shared" si="6"/>
        <v>Neutral</v>
      </c>
      <c r="D436">
        <v>0.485643199994228</v>
      </c>
      <c r="E436" t="s">
        <v>47</v>
      </c>
      <c r="F436" t="s">
        <v>61</v>
      </c>
      <c r="G436" t="s">
        <v>63</v>
      </c>
      <c r="H436">
        <v>31</v>
      </c>
      <c r="I436">
        <v>11</v>
      </c>
      <c r="J436">
        <v>1</v>
      </c>
      <c r="K436" t="s">
        <v>63</v>
      </c>
      <c r="L436">
        <v>1</v>
      </c>
      <c r="M436">
        <v>0.68749070004559998</v>
      </c>
      <c r="N436" t="s">
        <v>51</v>
      </c>
      <c r="O436">
        <v>1</v>
      </c>
      <c r="P436">
        <v>11</v>
      </c>
      <c r="Q436">
        <v>31</v>
      </c>
      <c r="R436">
        <v>12</v>
      </c>
      <c r="S436">
        <v>45.472718900011301</v>
      </c>
      <c r="X436">
        <v>45.463262300007003</v>
      </c>
      <c r="Y436">
        <v>45.472718900011301</v>
      </c>
      <c r="Z436">
        <v>45.9725373000255</v>
      </c>
      <c r="AA436">
        <v>45.9725373000255</v>
      </c>
      <c r="AB436">
        <v>45.9725373000255</v>
      </c>
      <c r="AC436">
        <v>46.677632500009999</v>
      </c>
      <c r="AD436" t="s">
        <v>63</v>
      </c>
      <c r="AE436">
        <v>1</v>
      </c>
      <c r="AF436">
        <v>0.68749070004559998</v>
      </c>
      <c r="AG436" t="s">
        <v>51</v>
      </c>
      <c r="AK436" t="s">
        <v>92</v>
      </c>
      <c r="AL436">
        <v>1</v>
      </c>
      <c r="AM436" t="s">
        <v>82</v>
      </c>
      <c r="AN436" t="s">
        <v>43</v>
      </c>
      <c r="AP436" t="s">
        <v>44</v>
      </c>
      <c r="AQ436">
        <v>60.124517886762398</v>
      </c>
      <c r="AR436" t="s">
        <v>83</v>
      </c>
    </row>
    <row r="437" spans="1:44" x14ac:dyDescent="0.3">
      <c r="A437" t="s">
        <v>69</v>
      </c>
      <c r="B437" t="s">
        <v>49</v>
      </c>
      <c r="C437" s="2" t="str">
        <f t="shared" si="6"/>
        <v>Emotional-I</v>
      </c>
      <c r="D437">
        <v>0.71044569998048201</v>
      </c>
      <c r="E437" t="s">
        <v>59</v>
      </c>
      <c r="F437" t="s">
        <v>56</v>
      </c>
      <c r="G437" t="s">
        <v>57</v>
      </c>
      <c r="H437">
        <v>32</v>
      </c>
      <c r="I437">
        <v>12</v>
      </c>
      <c r="J437">
        <v>1</v>
      </c>
      <c r="K437" t="s">
        <v>57</v>
      </c>
      <c r="L437">
        <v>1</v>
      </c>
      <c r="M437">
        <v>0.82545399997616098</v>
      </c>
      <c r="N437" t="s">
        <v>51</v>
      </c>
      <c r="O437">
        <v>1</v>
      </c>
      <c r="P437">
        <v>12</v>
      </c>
      <c r="Q437">
        <v>32</v>
      </c>
      <c r="R437">
        <v>5</v>
      </c>
      <c r="S437">
        <v>46.6891845000209</v>
      </c>
      <c r="X437">
        <v>46.680665000050702</v>
      </c>
      <c r="Y437">
        <v>46.6891845000209</v>
      </c>
      <c r="Z437">
        <v>47.189678499998898</v>
      </c>
      <c r="AA437">
        <v>47.189678499998898</v>
      </c>
      <c r="AB437">
        <v>47.189678499998898</v>
      </c>
      <c r="AC437">
        <v>48.027283700008397</v>
      </c>
      <c r="AD437" t="s">
        <v>57</v>
      </c>
      <c r="AE437">
        <v>1</v>
      </c>
      <c r="AF437">
        <v>0.82545399997616098</v>
      </c>
      <c r="AG437" t="s">
        <v>51</v>
      </c>
      <c r="AK437" t="s">
        <v>92</v>
      </c>
      <c r="AL437">
        <v>1</v>
      </c>
      <c r="AM437" t="s">
        <v>82</v>
      </c>
      <c r="AN437" t="s">
        <v>43</v>
      </c>
      <c r="AP437" t="s">
        <v>44</v>
      </c>
      <c r="AQ437">
        <v>60.124517886762398</v>
      </c>
      <c r="AR437" t="s">
        <v>83</v>
      </c>
    </row>
    <row r="438" spans="1:44" x14ac:dyDescent="0.3">
      <c r="A438" t="s">
        <v>71</v>
      </c>
      <c r="B438" t="s">
        <v>49</v>
      </c>
      <c r="C438" s="2" t="str">
        <f t="shared" si="6"/>
        <v>Neutral</v>
      </c>
      <c r="D438">
        <v>0.66724490001797598</v>
      </c>
      <c r="E438" t="s">
        <v>47</v>
      </c>
      <c r="F438" t="s">
        <v>48</v>
      </c>
      <c r="G438" t="s">
        <v>50</v>
      </c>
      <c r="H438">
        <v>33</v>
      </c>
      <c r="I438">
        <v>13</v>
      </c>
      <c r="J438">
        <v>1</v>
      </c>
      <c r="K438" t="s">
        <v>50</v>
      </c>
      <c r="L438">
        <v>1</v>
      </c>
      <c r="M438">
        <v>0.65183819999219805</v>
      </c>
      <c r="N438" t="s">
        <v>51</v>
      </c>
      <c r="O438">
        <v>1</v>
      </c>
      <c r="P438">
        <v>13</v>
      </c>
      <c r="Q438">
        <v>33</v>
      </c>
      <c r="R438">
        <v>15</v>
      </c>
      <c r="S438">
        <v>48.039168200048103</v>
      </c>
      <c r="X438">
        <v>48.030398300033902</v>
      </c>
      <c r="Y438">
        <v>48.039168200048103</v>
      </c>
      <c r="Z438">
        <v>48.538872400007598</v>
      </c>
      <c r="AA438">
        <v>48.538872400007598</v>
      </c>
      <c r="AB438">
        <v>48.538872400007598</v>
      </c>
      <c r="AC438">
        <v>49.193553500051998</v>
      </c>
      <c r="AD438" t="s">
        <v>50</v>
      </c>
      <c r="AE438">
        <v>1</v>
      </c>
      <c r="AF438">
        <v>0.65183819999219805</v>
      </c>
      <c r="AG438" t="s">
        <v>51</v>
      </c>
      <c r="AK438" t="s">
        <v>92</v>
      </c>
      <c r="AL438">
        <v>1</v>
      </c>
      <c r="AM438" t="s">
        <v>82</v>
      </c>
      <c r="AN438" t="s">
        <v>43</v>
      </c>
      <c r="AP438" t="s">
        <v>44</v>
      </c>
      <c r="AQ438">
        <v>60.124517886762398</v>
      </c>
      <c r="AR438" t="s">
        <v>83</v>
      </c>
    </row>
    <row r="439" spans="1:44" x14ac:dyDescent="0.3">
      <c r="A439" t="s">
        <v>77</v>
      </c>
      <c r="B439" t="s">
        <v>62</v>
      </c>
      <c r="C439" s="2" t="str">
        <f t="shared" si="6"/>
        <v>Emotional-C</v>
      </c>
      <c r="D439">
        <v>0.53454209998017099</v>
      </c>
      <c r="E439" t="s">
        <v>59</v>
      </c>
      <c r="F439" t="s">
        <v>61</v>
      </c>
      <c r="G439" t="s">
        <v>63</v>
      </c>
      <c r="H439">
        <v>34</v>
      </c>
      <c r="I439">
        <v>14</v>
      </c>
      <c r="J439">
        <v>1</v>
      </c>
      <c r="K439" t="s">
        <v>63</v>
      </c>
      <c r="L439">
        <v>1</v>
      </c>
      <c r="M439">
        <v>0.55413760000374102</v>
      </c>
      <c r="N439" t="s">
        <v>51</v>
      </c>
      <c r="O439">
        <v>1</v>
      </c>
      <c r="P439">
        <v>14</v>
      </c>
      <c r="Q439">
        <v>34</v>
      </c>
      <c r="R439">
        <v>4</v>
      </c>
      <c r="S439">
        <v>49.206012600043302</v>
      </c>
      <c r="X439">
        <v>49.1967611000291</v>
      </c>
      <c r="Y439">
        <v>49.206012600043302</v>
      </c>
      <c r="Z439">
        <v>49.705776800052199</v>
      </c>
      <c r="AA439">
        <v>49.705776800052199</v>
      </c>
      <c r="AB439">
        <v>49.705776800052199</v>
      </c>
      <c r="AC439">
        <v>50.276635100017302</v>
      </c>
      <c r="AD439" t="s">
        <v>63</v>
      </c>
      <c r="AE439">
        <v>1</v>
      </c>
      <c r="AF439">
        <v>0.55413760000374102</v>
      </c>
      <c r="AG439" t="s">
        <v>51</v>
      </c>
      <c r="AK439" t="s">
        <v>92</v>
      </c>
      <c r="AL439">
        <v>1</v>
      </c>
      <c r="AM439" t="s">
        <v>82</v>
      </c>
      <c r="AN439" t="s">
        <v>43</v>
      </c>
      <c r="AP439" t="s">
        <v>44</v>
      </c>
      <c r="AQ439">
        <v>60.124517886762398</v>
      </c>
      <c r="AR439" t="s">
        <v>83</v>
      </c>
    </row>
    <row r="440" spans="1:44" x14ac:dyDescent="0.3">
      <c r="A440" t="s">
        <v>68</v>
      </c>
      <c r="B440" t="s">
        <v>49</v>
      </c>
      <c r="C440" s="2" t="str">
        <f t="shared" si="6"/>
        <v>Emotional-I</v>
      </c>
      <c r="D440">
        <v>0.68026599998120196</v>
      </c>
      <c r="E440" t="s">
        <v>59</v>
      </c>
      <c r="F440" t="s">
        <v>53</v>
      </c>
      <c r="G440" t="s">
        <v>54</v>
      </c>
      <c r="H440">
        <v>35</v>
      </c>
      <c r="I440">
        <v>15</v>
      </c>
      <c r="J440">
        <v>1</v>
      </c>
      <c r="K440" t="s">
        <v>54</v>
      </c>
      <c r="L440">
        <v>1</v>
      </c>
      <c r="M440">
        <v>0.99535959999775503</v>
      </c>
      <c r="N440" t="s">
        <v>51</v>
      </c>
      <c r="O440">
        <v>1</v>
      </c>
      <c r="P440">
        <v>15</v>
      </c>
      <c r="Q440">
        <v>35</v>
      </c>
      <c r="R440">
        <v>6</v>
      </c>
      <c r="S440">
        <v>50.2896577000501</v>
      </c>
      <c r="X440">
        <v>50.279478000011203</v>
      </c>
      <c r="Y440">
        <v>50.2896577000501</v>
      </c>
      <c r="Z440">
        <v>50.7887588000157</v>
      </c>
      <c r="AA440">
        <v>50.7887588000157</v>
      </c>
      <c r="AB440">
        <v>50.7887588000157</v>
      </c>
      <c r="AC440">
        <v>51.792930800001997</v>
      </c>
      <c r="AD440" t="s">
        <v>54</v>
      </c>
      <c r="AE440">
        <v>1</v>
      </c>
      <c r="AF440">
        <v>0.99535959999775503</v>
      </c>
      <c r="AG440" t="s">
        <v>51</v>
      </c>
      <c r="AK440" t="s">
        <v>92</v>
      </c>
      <c r="AL440">
        <v>1</v>
      </c>
      <c r="AM440" t="s">
        <v>82</v>
      </c>
      <c r="AN440" t="s">
        <v>43</v>
      </c>
      <c r="AP440" t="s">
        <v>44</v>
      </c>
      <c r="AQ440">
        <v>60.124517886762398</v>
      </c>
      <c r="AR440" t="s">
        <v>83</v>
      </c>
    </row>
    <row r="441" spans="1:44" x14ac:dyDescent="0.3">
      <c r="A441" t="s">
        <v>70</v>
      </c>
      <c r="B441" t="s">
        <v>49</v>
      </c>
      <c r="C441" s="2" t="str">
        <f t="shared" si="6"/>
        <v>Emotional-I</v>
      </c>
      <c r="D441">
        <v>0.919698800018522</v>
      </c>
      <c r="E441" t="s">
        <v>59</v>
      </c>
      <c r="F441" t="s">
        <v>53</v>
      </c>
      <c r="G441" t="s">
        <v>54</v>
      </c>
      <c r="H441">
        <v>36</v>
      </c>
      <c r="I441">
        <v>16</v>
      </c>
      <c r="J441">
        <v>1</v>
      </c>
      <c r="K441" t="s">
        <v>54</v>
      </c>
      <c r="L441">
        <v>1</v>
      </c>
      <c r="M441">
        <v>0.46646369999507398</v>
      </c>
      <c r="N441" t="s">
        <v>51</v>
      </c>
      <c r="O441">
        <v>1</v>
      </c>
      <c r="P441">
        <v>16</v>
      </c>
      <c r="Q441">
        <v>36</v>
      </c>
      <c r="R441">
        <v>2</v>
      </c>
      <c r="S441">
        <v>51.806299500050898</v>
      </c>
      <c r="X441">
        <v>51.795710800040901</v>
      </c>
      <c r="Y441">
        <v>51.806299500050898</v>
      </c>
      <c r="Z441">
        <v>52.306526600033898</v>
      </c>
      <c r="AA441">
        <v>52.306526600033898</v>
      </c>
      <c r="AB441">
        <v>52.306526600033898</v>
      </c>
      <c r="AC441">
        <v>52.777292300015603</v>
      </c>
      <c r="AD441" t="s">
        <v>54</v>
      </c>
      <c r="AE441">
        <v>1</v>
      </c>
      <c r="AF441">
        <v>0.46646369999507398</v>
      </c>
      <c r="AG441" t="s">
        <v>51</v>
      </c>
      <c r="AK441" t="s">
        <v>92</v>
      </c>
      <c r="AL441">
        <v>1</v>
      </c>
      <c r="AM441" t="s">
        <v>82</v>
      </c>
      <c r="AN441" t="s">
        <v>43</v>
      </c>
      <c r="AP441" t="s">
        <v>44</v>
      </c>
      <c r="AQ441">
        <v>60.124517886762398</v>
      </c>
      <c r="AR441" t="s">
        <v>83</v>
      </c>
    </row>
    <row r="442" spans="1:44" x14ac:dyDescent="0.3">
      <c r="A442" t="s">
        <v>58</v>
      </c>
      <c r="B442" t="s">
        <v>49</v>
      </c>
      <c r="C442" s="2" t="str">
        <f t="shared" si="6"/>
        <v>Emotional-I</v>
      </c>
      <c r="D442">
        <v>1.5660389999975399</v>
      </c>
      <c r="E442" t="s">
        <v>59</v>
      </c>
      <c r="F442" t="s">
        <v>48</v>
      </c>
      <c r="G442" t="s">
        <v>50</v>
      </c>
      <c r="H442">
        <v>37</v>
      </c>
      <c r="I442">
        <v>17</v>
      </c>
      <c r="J442">
        <v>1</v>
      </c>
      <c r="K442" t="s">
        <v>50</v>
      </c>
      <c r="L442">
        <v>1</v>
      </c>
      <c r="M442">
        <v>0.94142889999784496</v>
      </c>
      <c r="N442" t="s">
        <v>51</v>
      </c>
      <c r="O442">
        <v>1</v>
      </c>
      <c r="P442">
        <v>17</v>
      </c>
      <c r="Q442">
        <v>37</v>
      </c>
      <c r="R442">
        <v>7</v>
      </c>
      <c r="S442">
        <v>52.789477100013698</v>
      </c>
      <c r="X442">
        <v>52.781312600010999</v>
      </c>
      <c r="Y442">
        <v>52.789477100013698</v>
      </c>
      <c r="Z442">
        <v>53.288959100027498</v>
      </c>
      <c r="AA442">
        <v>53.288959100027498</v>
      </c>
      <c r="AB442">
        <v>53.288959100027498</v>
      </c>
      <c r="AC442">
        <v>54.242660200048697</v>
      </c>
      <c r="AD442" t="s">
        <v>50</v>
      </c>
      <c r="AE442">
        <v>1</v>
      </c>
      <c r="AF442">
        <v>0.94142889999784496</v>
      </c>
      <c r="AG442" t="s">
        <v>51</v>
      </c>
      <c r="AK442" t="s">
        <v>92</v>
      </c>
      <c r="AL442">
        <v>1</v>
      </c>
      <c r="AM442" t="s">
        <v>82</v>
      </c>
      <c r="AN442" t="s">
        <v>43</v>
      </c>
      <c r="AP442" t="s">
        <v>44</v>
      </c>
      <c r="AQ442">
        <v>60.124517886762398</v>
      </c>
      <c r="AR442" t="s">
        <v>83</v>
      </c>
    </row>
    <row r="443" spans="1:44" x14ac:dyDescent="0.3">
      <c r="A443" t="s">
        <v>72</v>
      </c>
      <c r="B443" t="s">
        <v>62</v>
      </c>
      <c r="C443" s="2" t="str">
        <f t="shared" si="6"/>
        <v>Emotional-C</v>
      </c>
      <c r="D443">
        <v>0.54170629999134601</v>
      </c>
      <c r="E443" t="s">
        <v>59</v>
      </c>
      <c r="F443" t="s">
        <v>61</v>
      </c>
      <c r="G443" t="s">
        <v>63</v>
      </c>
      <c r="H443">
        <v>38</v>
      </c>
      <c r="I443">
        <v>18</v>
      </c>
      <c r="J443">
        <v>1</v>
      </c>
      <c r="K443" t="s">
        <v>63</v>
      </c>
      <c r="L443">
        <v>1</v>
      </c>
      <c r="M443">
        <v>0.66106340003898301</v>
      </c>
      <c r="N443" t="s">
        <v>51</v>
      </c>
      <c r="O443">
        <v>1</v>
      </c>
      <c r="P443">
        <v>18</v>
      </c>
      <c r="Q443">
        <v>38</v>
      </c>
      <c r="R443">
        <v>8</v>
      </c>
      <c r="S443">
        <v>54.255773500015401</v>
      </c>
      <c r="X443">
        <v>54.246015600045197</v>
      </c>
      <c r="Y443">
        <v>54.255773500015401</v>
      </c>
      <c r="Z443">
        <v>54.7558067000354</v>
      </c>
      <c r="AA443">
        <v>54.7558067000354</v>
      </c>
      <c r="AB443">
        <v>54.7558067000354</v>
      </c>
      <c r="AC443">
        <v>55.4252508000354</v>
      </c>
      <c r="AD443" t="s">
        <v>63</v>
      </c>
      <c r="AE443">
        <v>1</v>
      </c>
      <c r="AF443">
        <v>0.66106340003898301</v>
      </c>
      <c r="AG443" t="s">
        <v>51</v>
      </c>
      <c r="AK443" t="s">
        <v>92</v>
      </c>
      <c r="AL443">
        <v>1</v>
      </c>
      <c r="AM443" t="s">
        <v>82</v>
      </c>
      <c r="AN443" t="s">
        <v>43</v>
      </c>
      <c r="AP443" t="s">
        <v>44</v>
      </c>
      <c r="AQ443">
        <v>60.124517886762398</v>
      </c>
      <c r="AR443" t="s">
        <v>83</v>
      </c>
    </row>
    <row r="444" spans="1:44" x14ac:dyDescent="0.3">
      <c r="A444" t="s">
        <v>52</v>
      </c>
      <c r="B444" t="s">
        <v>49</v>
      </c>
      <c r="C444" s="2" t="str">
        <f t="shared" si="6"/>
        <v>Neutral</v>
      </c>
      <c r="D444">
        <v>0.60335910000139803</v>
      </c>
      <c r="E444" t="s">
        <v>47</v>
      </c>
      <c r="F444" t="s">
        <v>53</v>
      </c>
      <c r="G444" t="s">
        <v>54</v>
      </c>
      <c r="H444">
        <v>39</v>
      </c>
      <c r="I444">
        <v>19</v>
      </c>
      <c r="J444">
        <v>1</v>
      </c>
      <c r="K444" t="s">
        <v>54</v>
      </c>
      <c r="L444">
        <v>1</v>
      </c>
      <c r="M444">
        <v>1.2780933000030901</v>
      </c>
      <c r="N444" t="s">
        <v>51</v>
      </c>
      <c r="O444">
        <v>1</v>
      </c>
      <c r="P444">
        <v>19</v>
      </c>
      <c r="Q444">
        <v>39</v>
      </c>
      <c r="R444">
        <v>14</v>
      </c>
      <c r="S444">
        <v>55.439096900052299</v>
      </c>
      <c r="X444">
        <v>55.4279975000536</v>
      </c>
      <c r="Y444">
        <v>55.439096900052299</v>
      </c>
      <c r="Z444">
        <v>55.939656700007603</v>
      </c>
      <c r="AA444">
        <v>55.939656700007603</v>
      </c>
      <c r="AB444">
        <v>55.939656700007603</v>
      </c>
      <c r="AC444">
        <v>57.226526400016098</v>
      </c>
      <c r="AD444" t="s">
        <v>54</v>
      </c>
      <c r="AE444">
        <v>1</v>
      </c>
      <c r="AF444">
        <v>1.2780933000030901</v>
      </c>
      <c r="AG444" t="s">
        <v>51</v>
      </c>
      <c r="AK444" t="s">
        <v>92</v>
      </c>
      <c r="AL444">
        <v>1</v>
      </c>
      <c r="AM444" t="s">
        <v>82</v>
      </c>
      <c r="AN444" t="s">
        <v>43</v>
      </c>
      <c r="AP444" t="s">
        <v>44</v>
      </c>
      <c r="AQ444">
        <v>60.124517886762398</v>
      </c>
      <c r="AR444" t="s">
        <v>83</v>
      </c>
    </row>
    <row r="445" spans="1:44" x14ac:dyDescent="0.3">
      <c r="A445" t="s">
        <v>74</v>
      </c>
      <c r="B445" t="s">
        <v>49</v>
      </c>
      <c r="C445" s="2" t="str">
        <f t="shared" si="6"/>
        <v>Neutral</v>
      </c>
      <c r="D445">
        <v>1.2632963999640101</v>
      </c>
      <c r="E445" t="s">
        <v>47</v>
      </c>
      <c r="F445" t="s">
        <v>48</v>
      </c>
      <c r="G445" t="s">
        <v>50</v>
      </c>
      <c r="H445">
        <v>40</v>
      </c>
      <c r="I445">
        <v>0</v>
      </c>
      <c r="J445">
        <v>2</v>
      </c>
      <c r="K445" t="s">
        <v>50</v>
      </c>
      <c r="L445">
        <v>1</v>
      </c>
      <c r="M445">
        <v>0.73011679999763102</v>
      </c>
      <c r="N445" t="s">
        <v>51</v>
      </c>
      <c r="O445">
        <v>2</v>
      </c>
      <c r="P445">
        <v>0</v>
      </c>
      <c r="Q445">
        <v>40</v>
      </c>
      <c r="R445">
        <v>11</v>
      </c>
      <c r="S445">
        <v>57.238953699998</v>
      </c>
      <c r="X445">
        <v>57.229889900016097</v>
      </c>
      <c r="Y445">
        <v>57.238953699998</v>
      </c>
      <c r="Z445">
        <v>57.738884999998803</v>
      </c>
      <c r="AA445">
        <v>57.738884999998803</v>
      </c>
      <c r="AB445">
        <v>57.738884999998803</v>
      </c>
      <c r="AC445">
        <v>58.476385800051503</v>
      </c>
      <c r="AD445" t="s">
        <v>50</v>
      </c>
      <c r="AE445">
        <v>1</v>
      </c>
      <c r="AF445">
        <v>0.73011679999763102</v>
      </c>
      <c r="AG445" t="s">
        <v>51</v>
      </c>
      <c r="AK445" t="s">
        <v>92</v>
      </c>
      <c r="AL445">
        <v>1</v>
      </c>
      <c r="AM445" t="s">
        <v>82</v>
      </c>
      <c r="AN445" t="s">
        <v>43</v>
      </c>
      <c r="AP445" t="s">
        <v>44</v>
      </c>
      <c r="AQ445">
        <v>60.124517886762398</v>
      </c>
      <c r="AR445" t="s">
        <v>83</v>
      </c>
    </row>
    <row r="446" spans="1:44" x14ac:dyDescent="0.3">
      <c r="A446" t="s">
        <v>66</v>
      </c>
      <c r="B446" t="s">
        <v>49</v>
      </c>
      <c r="C446" s="2" t="str">
        <f t="shared" si="6"/>
        <v>Neutral</v>
      </c>
      <c r="D446">
        <v>1.06779140001162</v>
      </c>
      <c r="E446" t="s">
        <v>47</v>
      </c>
      <c r="F446" t="s">
        <v>61</v>
      </c>
      <c r="G446" t="s">
        <v>63</v>
      </c>
      <c r="H446">
        <v>41</v>
      </c>
      <c r="I446">
        <v>1</v>
      </c>
      <c r="J446">
        <v>2</v>
      </c>
      <c r="K446" t="s">
        <v>63</v>
      </c>
      <c r="L446">
        <v>1</v>
      </c>
      <c r="M446">
        <v>0.69005000003380701</v>
      </c>
      <c r="N446" t="s">
        <v>51</v>
      </c>
      <c r="O446">
        <v>2</v>
      </c>
      <c r="P446">
        <v>1</v>
      </c>
      <c r="Q446">
        <v>41</v>
      </c>
      <c r="R446">
        <v>12</v>
      </c>
      <c r="S446">
        <v>58.488955900014801</v>
      </c>
      <c r="X446">
        <v>58.479014500044201</v>
      </c>
      <c r="Y446">
        <v>58.488955900014801</v>
      </c>
      <c r="Z446">
        <v>58.989489100000299</v>
      </c>
      <c r="AA446">
        <v>58.989489100000299</v>
      </c>
      <c r="AB446">
        <v>58.989489100000299</v>
      </c>
      <c r="AC446">
        <v>59.693289000017103</v>
      </c>
      <c r="AD446" t="s">
        <v>63</v>
      </c>
      <c r="AE446">
        <v>1</v>
      </c>
      <c r="AF446">
        <v>0.69005000003380701</v>
      </c>
      <c r="AG446" t="s">
        <v>51</v>
      </c>
      <c r="AK446" t="s">
        <v>92</v>
      </c>
      <c r="AL446">
        <v>1</v>
      </c>
      <c r="AM446" t="s">
        <v>82</v>
      </c>
      <c r="AN446" t="s">
        <v>43</v>
      </c>
      <c r="AP446" t="s">
        <v>44</v>
      </c>
      <c r="AQ446">
        <v>60.124517886762398</v>
      </c>
      <c r="AR446" t="s">
        <v>83</v>
      </c>
    </row>
    <row r="447" spans="1:44" x14ac:dyDescent="0.3">
      <c r="A447" t="s">
        <v>60</v>
      </c>
      <c r="B447" t="s">
        <v>62</v>
      </c>
      <c r="C447" s="2" t="str">
        <f t="shared" si="6"/>
        <v>Emotional-C</v>
      </c>
      <c r="D447">
        <v>0.82253559998935</v>
      </c>
      <c r="E447" t="s">
        <v>59</v>
      </c>
      <c r="F447" t="s">
        <v>61</v>
      </c>
      <c r="G447" t="s">
        <v>63</v>
      </c>
      <c r="H447">
        <v>42</v>
      </c>
      <c r="I447">
        <v>2</v>
      </c>
      <c r="J447">
        <v>2</v>
      </c>
      <c r="K447" t="s">
        <v>63</v>
      </c>
      <c r="L447">
        <v>1</v>
      </c>
      <c r="M447">
        <v>0.60991100000683196</v>
      </c>
      <c r="N447" t="s">
        <v>51</v>
      </c>
      <c r="O447">
        <v>2</v>
      </c>
      <c r="P447">
        <v>2</v>
      </c>
      <c r="Q447">
        <v>42</v>
      </c>
      <c r="R447">
        <v>0</v>
      </c>
      <c r="S447">
        <v>59.705644800036602</v>
      </c>
      <c r="X447">
        <v>59.697040900005902</v>
      </c>
      <c r="Y447">
        <v>59.705644800036602</v>
      </c>
      <c r="Z447">
        <v>60.2055936000542</v>
      </c>
      <c r="AA447">
        <v>60.2055936000542</v>
      </c>
      <c r="AB447">
        <v>60.2055936000542</v>
      </c>
      <c r="AC447">
        <v>60.825454900041201</v>
      </c>
      <c r="AD447" t="s">
        <v>63</v>
      </c>
      <c r="AE447">
        <v>1</v>
      </c>
      <c r="AF447">
        <v>0.60991100000683196</v>
      </c>
      <c r="AG447" t="s">
        <v>51</v>
      </c>
      <c r="AK447" t="s">
        <v>92</v>
      </c>
      <c r="AL447">
        <v>1</v>
      </c>
      <c r="AM447" t="s">
        <v>82</v>
      </c>
      <c r="AN447" t="s">
        <v>43</v>
      </c>
      <c r="AP447" t="s">
        <v>44</v>
      </c>
      <c r="AQ447">
        <v>60.124517886762398</v>
      </c>
      <c r="AR447" t="s">
        <v>83</v>
      </c>
    </row>
    <row r="448" spans="1:44" x14ac:dyDescent="0.3">
      <c r="A448" t="s">
        <v>76</v>
      </c>
      <c r="B448" t="s">
        <v>49</v>
      </c>
      <c r="C448" s="2" t="str">
        <f t="shared" si="6"/>
        <v>Emotional-I</v>
      </c>
      <c r="D448">
        <v>0.80548260000068606</v>
      </c>
      <c r="E448" t="s">
        <v>59</v>
      </c>
      <c r="F448" t="s">
        <v>48</v>
      </c>
      <c r="G448" t="s">
        <v>50</v>
      </c>
      <c r="H448">
        <v>43</v>
      </c>
      <c r="I448">
        <v>3</v>
      </c>
      <c r="J448">
        <v>2</v>
      </c>
      <c r="K448" t="s">
        <v>50</v>
      </c>
      <c r="L448">
        <v>1</v>
      </c>
      <c r="M448">
        <v>0.67160100000910405</v>
      </c>
      <c r="N448" t="s">
        <v>51</v>
      </c>
      <c r="O448">
        <v>2</v>
      </c>
      <c r="P448">
        <v>3</v>
      </c>
      <c r="Q448">
        <v>43</v>
      </c>
      <c r="R448">
        <v>3</v>
      </c>
      <c r="S448">
        <v>60.838879700051599</v>
      </c>
      <c r="X448">
        <v>60.828392099996499</v>
      </c>
      <c r="Y448">
        <v>60.838879700051599</v>
      </c>
      <c r="Z448">
        <v>61.338606500008602</v>
      </c>
      <c r="AA448">
        <v>61.338606500008602</v>
      </c>
      <c r="AB448">
        <v>61.338606500008602</v>
      </c>
      <c r="AC448">
        <v>62.025633900018804</v>
      </c>
      <c r="AD448" t="s">
        <v>50</v>
      </c>
      <c r="AE448">
        <v>1</v>
      </c>
      <c r="AF448">
        <v>0.67160100000910405</v>
      </c>
      <c r="AG448" t="s">
        <v>51</v>
      </c>
      <c r="AK448" t="s">
        <v>92</v>
      </c>
      <c r="AL448">
        <v>1</v>
      </c>
      <c r="AM448" t="s">
        <v>82</v>
      </c>
      <c r="AN448" t="s">
        <v>43</v>
      </c>
      <c r="AP448" t="s">
        <v>44</v>
      </c>
      <c r="AQ448">
        <v>60.124517886762398</v>
      </c>
      <c r="AR448" t="s">
        <v>83</v>
      </c>
    </row>
    <row r="449" spans="1:44" hidden="1" x14ac:dyDescent="0.3">
      <c r="A449" t="s">
        <v>68</v>
      </c>
      <c r="B449" t="s">
        <v>49</v>
      </c>
      <c r="C449" s="2" t="str">
        <f t="shared" si="6"/>
        <v>Emotional-I</v>
      </c>
      <c r="D449">
        <v>0.75240990001475405</v>
      </c>
      <c r="E449" t="s">
        <v>59</v>
      </c>
      <c r="F449" t="s">
        <v>53</v>
      </c>
      <c r="G449" t="s">
        <v>54</v>
      </c>
      <c r="H449">
        <v>44</v>
      </c>
      <c r="I449">
        <v>4</v>
      </c>
      <c r="J449">
        <v>2</v>
      </c>
      <c r="K449" t="s">
        <v>50</v>
      </c>
      <c r="L449">
        <v>0</v>
      </c>
      <c r="M449">
        <v>0.55173950002062999</v>
      </c>
      <c r="N449" t="s">
        <v>51</v>
      </c>
      <c r="O449">
        <v>2</v>
      </c>
      <c r="P449">
        <v>4</v>
      </c>
      <c r="Q449">
        <v>44</v>
      </c>
      <c r="R449">
        <v>6</v>
      </c>
      <c r="S449">
        <v>62.039000800053998</v>
      </c>
      <c r="X449">
        <v>62.029018400004098</v>
      </c>
      <c r="Y449">
        <v>62.039000800053998</v>
      </c>
      <c r="Z449">
        <v>62.538702300051199</v>
      </c>
      <c r="AA449">
        <v>62.538702300051199</v>
      </c>
      <c r="AB449">
        <v>62.538702300051199</v>
      </c>
      <c r="AC449">
        <v>63.092495000047997</v>
      </c>
      <c r="AD449" t="s">
        <v>50</v>
      </c>
      <c r="AE449">
        <v>0</v>
      </c>
      <c r="AF449">
        <v>0.55173950002062999</v>
      </c>
      <c r="AG449" t="s">
        <v>51</v>
      </c>
      <c r="AK449" t="s">
        <v>92</v>
      </c>
      <c r="AL449">
        <v>1</v>
      </c>
      <c r="AM449" t="s">
        <v>82</v>
      </c>
      <c r="AN449" t="s">
        <v>43</v>
      </c>
      <c r="AP449" t="s">
        <v>44</v>
      </c>
      <c r="AQ449">
        <v>60.124517886762398</v>
      </c>
      <c r="AR449" t="s">
        <v>83</v>
      </c>
    </row>
    <row r="450" spans="1:44" x14ac:dyDescent="0.3">
      <c r="A450" t="s">
        <v>75</v>
      </c>
      <c r="B450" t="s">
        <v>49</v>
      </c>
      <c r="C450" s="2" t="str">
        <f t="shared" ref="C450:C513" si="7">IF(E450="neutral","Neutral",
IF(AND(E450="emotional",B450="C"),"Emotional-C",
IF(AND(E450="emotional",B450="I"),"Emotional-I","")))</f>
        <v>Neutral</v>
      </c>
      <c r="D450">
        <v>0.78341789997648403</v>
      </c>
      <c r="E450" t="s">
        <v>47</v>
      </c>
      <c r="F450" t="s">
        <v>61</v>
      </c>
      <c r="G450" t="s">
        <v>63</v>
      </c>
      <c r="H450">
        <v>45</v>
      </c>
      <c r="I450">
        <v>5</v>
      </c>
      <c r="J450">
        <v>2</v>
      </c>
      <c r="K450" t="s">
        <v>63</v>
      </c>
      <c r="L450">
        <v>1</v>
      </c>
      <c r="M450">
        <v>0.76676220004446805</v>
      </c>
      <c r="N450" t="s">
        <v>51</v>
      </c>
      <c r="O450">
        <v>2</v>
      </c>
      <c r="P450">
        <v>5</v>
      </c>
      <c r="Q450">
        <v>45</v>
      </c>
      <c r="R450">
        <v>16</v>
      </c>
      <c r="S450">
        <v>63.105273900029701</v>
      </c>
      <c r="X450">
        <v>63.095136600022599</v>
      </c>
      <c r="Y450">
        <v>63.105273900029701</v>
      </c>
      <c r="Z450">
        <v>63.605327400029601</v>
      </c>
      <c r="AA450">
        <v>63.605327400029601</v>
      </c>
      <c r="AB450">
        <v>63.605327400029601</v>
      </c>
      <c r="AC450">
        <v>64.376177099998998</v>
      </c>
      <c r="AD450" t="s">
        <v>63</v>
      </c>
      <c r="AE450">
        <v>1</v>
      </c>
      <c r="AF450">
        <v>0.76676220004446805</v>
      </c>
      <c r="AG450" t="s">
        <v>51</v>
      </c>
      <c r="AK450" t="s">
        <v>92</v>
      </c>
      <c r="AL450">
        <v>1</v>
      </c>
      <c r="AM450" t="s">
        <v>82</v>
      </c>
      <c r="AN450" t="s">
        <v>43</v>
      </c>
      <c r="AP450" t="s">
        <v>44</v>
      </c>
      <c r="AQ450">
        <v>60.124517886762398</v>
      </c>
      <c r="AR450" t="s">
        <v>83</v>
      </c>
    </row>
    <row r="451" spans="1:44" x14ac:dyDescent="0.3">
      <c r="A451" t="s">
        <v>78</v>
      </c>
      <c r="B451" t="s">
        <v>49</v>
      </c>
      <c r="C451" s="2" t="str">
        <f t="shared" si="7"/>
        <v>Neutral</v>
      </c>
      <c r="D451">
        <v>0.51703049999196005</v>
      </c>
      <c r="E451" t="s">
        <v>47</v>
      </c>
      <c r="F451" t="s">
        <v>56</v>
      </c>
      <c r="G451" t="s">
        <v>57</v>
      </c>
      <c r="H451">
        <v>46</v>
      </c>
      <c r="I451">
        <v>6</v>
      </c>
      <c r="J451">
        <v>2</v>
      </c>
      <c r="K451" t="s">
        <v>57</v>
      </c>
      <c r="L451">
        <v>1</v>
      </c>
      <c r="M451">
        <v>1.1928365000057899</v>
      </c>
      <c r="N451" t="s">
        <v>51</v>
      </c>
      <c r="O451">
        <v>2</v>
      </c>
      <c r="P451">
        <v>6</v>
      </c>
      <c r="Q451">
        <v>46</v>
      </c>
      <c r="R451">
        <v>17</v>
      </c>
      <c r="S451">
        <v>64.388409700011806</v>
      </c>
      <c r="X451">
        <v>64.378991400008005</v>
      </c>
      <c r="Y451">
        <v>64.388409700011806</v>
      </c>
      <c r="Z451">
        <v>64.888950400054398</v>
      </c>
      <c r="AA451">
        <v>64.888950400054398</v>
      </c>
      <c r="AB451">
        <v>64.888950400054398</v>
      </c>
      <c r="AC451">
        <v>66.092535900010205</v>
      </c>
      <c r="AD451" t="s">
        <v>57</v>
      </c>
      <c r="AE451">
        <v>1</v>
      </c>
      <c r="AF451">
        <v>1.1928365000057899</v>
      </c>
      <c r="AG451" t="s">
        <v>51</v>
      </c>
      <c r="AK451" t="s">
        <v>92</v>
      </c>
      <c r="AL451">
        <v>1</v>
      </c>
      <c r="AM451" t="s">
        <v>82</v>
      </c>
      <c r="AN451" t="s">
        <v>43</v>
      </c>
      <c r="AP451" t="s">
        <v>44</v>
      </c>
      <c r="AQ451">
        <v>60.124517886762398</v>
      </c>
      <c r="AR451" t="s">
        <v>83</v>
      </c>
    </row>
    <row r="452" spans="1:44" x14ac:dyDescent="0.3">
      <c r="A452" t="s">
        <v>55</v>
      </c>
      <c r="B452" t="s">
        <v>49</v>
      </c>
      <c r="C452" s="2" t="str">
        <f t="shared" si="7"/>
        <v>Neutral</v>
      </c>
      <c r="D452">
        <v>0.64455289999023002</v>
      </c>
      <c r="E452" t="s">
        <v>47</v>
      </c>
      <c r="F452" t="s">
        <v>56</v>
      </c>
      <c r="G452" t="s">
        <v>57</v>
      </c>
      <c r="H452">
        <v>47</v>
      </c>
      <c r="I452">
        <v>7</v>
      </c>
      <c r="J452">
        <v>2</v>
      </c>
      <c r="K452" t="s">
        <v>57</v>
      </c>
      <c r="L452">
        <v>1</v>
      </c>
      <c r="M452">
        <v>0.80164739995961998</v>
      </c>
      <c r="N452" t="s">
        <v>51</v>
      </c>
      <c r="O452">
        <v>2</v>
      </c>
      <c r="P452">
        <v>7</v>
      </c>
      <c r="Q452">
        <v>47</v>
      </c>
      <c r="R452">
        <v>13</v>
      </c>
      <c r="S452">
        <v>66.105545199999995</v>
      </c>
      <c r="X452">
        <v>66.095171000051707</v>
      </c>
      <c r="Y452">
        <v>66.105545199999995</v>
      </c>
      <c r="Z452">
        <v>66.606596500030705</v>
      </c>
      <c r="AA452">
        <v>66.606596500030705</v>
      </c>
      <c r="AB452">
        <v>66.606596500030705</v>
      </c>
      <c r="AC452">
        <v>67.409761500020906</v>
      </c>
      <c r="AD452" t="s">
        <v>57</v>
      </c>
      <c r="AE452">
        <v>1</v>
      </c>
      <c r="AF452">
        <v>0.80164739995961998</v>
      </c>
      <c r="AG452" t="s">
        <v>51</v>
      </c>
      <c r="AK452" t="s">
        <v>92</v>
      </c>
      <c r="AL452">
        <v>1</v>
      </c>
      <c r="AM452" t="s">
        <v>82</v>
      </c>
      <c r="AN452" t="s">
        <v>43</v>
      </c>
      <c r="AP452" t="s">
        <v>44</v>
      </c>
      <c r="AQ452">
        <v>60.124517886762398</v>
      </c>
      <c r="AR452" t="s">
        <v>83</v>
      </c>
    </row>
    <row r="453" spans="1:44" x14ac:dyDescent="0.3">
      <c r="A453" t="s">
        <v>71</v>
      </c>
      <c r="B453" t="s">
        <v>49</v>
      </c>
      <c r="C453" s="2" t="str">
        <f t="shared" si="7"/>
        <v>Neutral</v>
      </c>
      <c r="D453">
        <v>0.78342449996853203</v>
      </c>
      <c r="E453" t="s">
        <v>47</v>
      </c>
      <c r="F453" t="s">
        <v>48</v>
      </c>
      <c r="G453" t="s">
        <v>50</v>
      </c>
      <c r="H453">
        <v>48</v>
      </c>
      <c r="I453">
        <v>8</v>
      </c>
      <c r="J453">
        <v>2</v>
      </c>
      <c r="K453" t="s">
        <v>50</v>
      </c>
      <c r="L453">
        <v>1</v>
      </c>
      <c r="M453">
        <v>0.95463110000127904</v>
      </c>
      <c r="N453" t="s">
        <v>51</v>
      </c>
      <c r="O453">
        <v>2</v>
      </c>
      <c r="P453">
        <v>8</v>
      </c>
      <c r="Q453">
        <v>48</v>
      </c>
      <c r="R453">
        <v>15</v>
      </c>
      <c r="S453">
        <v>67.421294400002793</v>
      </c>
      <c r="X453">
        <v>67.412572100001796</v>
      </c>
      <c r="Y453">
        <v>67.421294400002793</v>
      </c>
      <c r="Z453">
        <v>67.921626700030103</v>
      </c>
      <c r="AA453">
        <v>67.921626700030103</v>
      </c>
      <c r="AB453">
        <v>67.921626700030103</v>
      </c>
      <c r="AC453">
        <v>68.892428100050793</v>
      </c>
      <c r="AD453" t="s">
        <v>50</v>
      </c>
      <c r="AE453">
        <v>1</v>
      </c>
      <c r="AF453">
        <v>0.95463110000127904</v>
      </c>
      <c r="AG453" t="s">
        <v>51</v>
      </c>
      <c r="AK453" t="s">
        <v>92</v>
      </c>
      <c r="AL453">
        <v>1</v>
      </c>
      <c r="AM453" t="s">
        <v>82</v>
      </c>
      <c r="AN453" t="s">
        <v>43</v>
      </c>
      <c r="AP453" t="s">
        <v>44</v>
      </c>
      <c r="AQ453">
        <v>60.124517886762398</v>
      </c>
      <c r="AR453" t="s">
        <v>83</v>
      </c>
    </row>
    <row r="454" spans="1:44" x14ac:dyDescent="0.3">
      <c r="A454" t="s">
        <v>58</v>
      </c>
      <c r="B454" t="s">
        <v>49</v>
      </c>
      <c r="C454" s="2" t="str">
        <f t="shared" si="7"/>
        <v>Emotional-I</v>
      </c>
      <c r="D454">
        <v>0.63477539998711996</v>
      </c>
      <c r="E454" t="s">
        <v>59</v>
      </c>
      <c r="F454" t="s">
        <v>48</v>
      </c>
      <c r="G454" t="s">
        <v>50</v>
      </c>
      <c r="H454">
        <v>49</v>
      </c>
      <c r="I454">
        <v>9</v>
      </c>
      <c r="J454">
        <v>2</v>
      </c>
      <c r="K454" t="s">
        <v>50</v>
      </c>
      <c r="L454">
        <v>1</v>
      </c>
      <c r="M454">
        <v>0.49165209999773601</v>
      </c>
      <c r="N454" t="s">
        <v>51</v>
      </c>
      <c r="O454">
        <v>2</v>
      </c>
      <c r="P454">
        <v>9</v>
      </c>
      <c r="Q454">
        <v>49</v>
      </c>
      <c r="R454">
        <v>7</v>
      </c>
      <c r="S454">
        <v>68.905076200026002</v>
      </c>
      <c r="X454">
        <v>68.896050500043202</v>
      </c>
      <c r="Y454">
        <v>68.905076200026002</v>
      </c>
      <c r="Z454">
        <v>69.405226500006293</v>
      </c>
      <c r="AA454">
        <v>69.405226500006293</v>
      </c>
      <c r="AB454">
        <v>69.405226500006293</v>
      </c>
      <c r="AC454">
        <v>69.909222700051004</v>
      </c>
      <c r="AD454" t="s">
        <v>50</v>
      </c>
      <c r="AE454">
        <v>1</v>
      </c>
      <c r="AF454">
        <v>0.49165209999773601</v>
      </c>
      <c r="AG454" t="s">
        <v>51</v>
      </c>
      <c r="AK454" t="s">
        <v>92</v>
      </c>
      <c r="AL454">
        <v>1</v>
      </c>
      <c r="AM454" t="s">
        <v>82</v>
      </c>
      <c r="AN454" t="s">
        <v>43</v>
      </c>
      <c r="AP454" t="s">
        <v>44</v>
      </c>
      <c r="AQ454">
        <v>60.124517886762398</v>
      </c>
      <c r="AR454" t="s">
        <v>83</v>
      </c>
    </row>
    <row r="455" spans="1:44" x14ac:dyDescent="0.3">
      <c r="A455" t="s">
        <v>72</v>
      </c>
      <c r="B455" t="s">
        <v>62</v>
      </c>
      <c r="C455" s="2" t="str">
        <f t="shared" si="7"/>
        <v>Emotional-C</v>
      </c>
      <c r="D455">
        <v>1.03322800004389</v>
      </c>
      <c r="E455" t="s">
        <v>59</v>
      </c>
      <c r="F455" t="s">
        <v>61</v>
      </c>
      <c r="G455" t="s">
        <v>63</v>
      </c>
      <c r="H455">
        <v>50</v>
      </c>
      <c r="I455">
        <v>10</v>
      </c>
      <c r="J455">
        <v>2</v>
      </c>
      <c r="K455" t="s">
        <v>63</v>
      </c>
      <c r="L455">
        <v>1</v>
      </c>
      <c r="M455">
        <v>0.494083999947179</v>
      </c>
      <c r="N455" t="s">
        <v>51</v>
      </c>
      <c r="O455">
        <v>2</v>
      </c>
      <c r="P455">
        <v>10</v>
      </c>
      <c r="Q455">
        <v>50</v>
      </c>
      <c r="R455">
        <v>8</v>
      </c>
      <c r="S455">
        <v>69.921952900010993</v>
      </c>
      <c r="X455">
        <v>69.911916100012604</v>
      </c>
      <c r="Y455">
        <v>69.921952900010993</v>
      </c>
      <c r="Z455">
        <v>70.421462900005196</v>
      </c>
      <c r="AA455">
        <v>70.421462900005196</v>
      </c>
      <c r="AB455">
        <v>70.421462900005196</v>
      </c>
      <c r="AC455">
        <v>70.924829900031895</v>
      </c>
      <c r="AD455" t="s">
        <v>63</v>
      </c>
      <c r="AE455">
        <v>1</v>
      </c>
      <c r="AF455">
        <v>0.494083999947179</v>
      </c>
      <c r="AG455" t="s">
        <v>51</v>
      </c>
      <c r="AK455" t="s">
        <v>92</v>
      </c>
      <c r="AL455">
        <v>1</v>
      </c>
      <c r="AM455" t="s">
        <v>82</v>
      </c>
      <c r="AN455" t="s">
        <v>43</v>
      </c>
      <c r="AP455" t="s">
        <v>44</v>
      </c>
      <c r="AQ455">
        <v>60.124517886762398</v>
      </c>
      <c r="AR455" t="s">
        <v>83</v>
      </c>
    </row>
    <row r="456" spans="1:44" hidden="1" x14ac:dyDescent="0.3">
      <c r="A456" t="s">
        <v>52</v>
      </c>
      <c r="B456" t="s">
        <v>49</v>
      </c>
      <c r="C456" s="2" t="str">
        <f t="shared" si="7"/>
        <v>Neutral</v>
      </c>
      <c r="D456">
        <v>0.75509890000102997</v>
      </c>
      <c r="E456" t="s">
        <v>47</v>
      </c>
      <c r="F456" t="s">
        <v>53</v>
      </c>
      <c r="G456" t="s">
        <v>54</v>
      </c>
      <c r="H456">
        <v>51</v>
      </c>
      <c r="I456">
        <v>11</v>
      </c>
      <c r="J456">
        <v>2</v>
      </c>
      <c r="K456" t="s">
        <v>50</v>
      </c>
      <c r="L456">
        <v>0</v>
      </c>
      <c r="M456">
        <v>0.62676130002364505</v>
      </c>
      <c r="N456" t="s">
        <v>51</v>
      </c>
      <c r="O456">
        <v>2</v>
      </c>
      <c r="P456">
        <v>11</v>
      </c>
      <c r="Q456">
        <v>51</v>
      </c>
      <c r="R456">
        <v>14</v>
      </c>
      <c r="S456">
        <v>70.937891500012398</v>
      </c>
      <c r="X456">
        <v>70.927476000040699</v>
      </c>
      <c r="Y456">
        <v>70.937891500012398</v>
      </c>
      <c r="Z456">
        <v>71.438454300048704</v>
      </c>
      <c r="AA456">
        <v>71.438454300048704</v>
      </c>
      <c r="AB456">
        <v>71.438454300048704</v>
      </c>
      <c r="AC456">
        <v>72.074593500001299</v>
      </c>
      <c r="AD456" t="s">
        <v>50</v>
      </c>
      <c r="AE456">
        <v>0</v>
      </c>
      <c r="AF456">
        <v>0.62676130002364505</v>
      </c>
      <c r="AG456" t="s">
        <v>51</v>
      </c>
      <c r="AK456" t="s">
        <v>92</v>
      </c>
      <c r="AL456">
        <v>1</v>
      </c>
      <c r="AM456" t="s">
        <v>82</v>
      </c>
      <c r="AN456" t="s">
        <v>43</v>
      </c>
      <c r="AP456" t="s">
        <v>44</v>
      </c>
      <c r="AQ456">
        <v>60.124517886762398</v>
      </c>
      <c r="AR456" t="s">
        <v>83</v>
      </c>
    </row>
    <row r="457" spans="1:44" x14ac:dyDescent="0.3">
      <c r="A457" t="s">
        <v>46</v>
      </c>
      <c r="B457" t="s">
        <v>49</v>
      </c>
      <c r="C457" s="2" t="str">
        <f t="shared" si="7"/>
        <v>Neutral</v>
      </c>
      <c r="D457">
        <v>0.635764800012111</v>
      </c>
      <c r="E457" t="s">
        <v>47</v>
      </c>
      <c r="F457" t="s">
        <v>48</v>
      </c>
      <c r="G457" t="s">
        <v>50</v>
      </c>
      <c r="H457">
        <v>52</v>
      </c>
      <c r="I457">
        <v>12</v>
      </c>
      <c r="J457">
        <v>2</v>
      </c>
      <c r="K457" t="s">
        <v>50</v>
      </c>
      <c r="L457">
        <v>1</v>
      </c>
      <c r="M457">
        <v>1.04389079997781</v>
      </c>
      <c r="N457" t="s">
        <v>51</v>
      </c>
      <c r="O457">
        <v>2</v>
      </c>
      <c r="P457">
        <v>12</v>
      </c>
      <c r="Q457">
        <v>52</v>
      </c>
      <c r="R457">
        <v>19</v>
      </c>
      <c r="S457">
        <v>72.088721900014207</v>
      </c>
      <c r="X457">
        <v>72.077659100003004</v>
      </c>
      <c r="Y457">
        <v>72.088721900014207</v>
      </c>
      <c r="Z457">
        <v>72.588565000041797</v>
      </c>
      <c r="AA457">
        <v>72.588565000041797</v>
      </c>
      <c r="AB457">
        <v>72.588565000041797</v>
      </c>
      <c r="AC457">
        <v>73.641599900030997</v>
      </c>
      <c r="AD457" t="s">
        <v>50</v>
      </c>
      <c r="AE457">
        <v>1</v>
      </c>
      <c r="AF457">
        <v>1.04389079997781</v>
      </c>
      <c r="AG457" t="s">
        <v>51</v>
      </c>
      <c r="AK457" t="s">
        <v>92</v>
      </c>
      <c r="AL457">
        <v>1</v>
      </c>
      <c r="AM457" t="s">
        <v>82</v>
      </c>
      <c r="AN457" t="s">
        <v>43</v>
      </c>
      <c r="AP457" t="s">
        <v>44</v>
      </c>
      <c r="AQ457">
        <v>60.124517886762398</v>
      </c>
      <c r="AR457" t="s">
        <v>83</v>
      </c>
    </row>
    <row r="458" spans="1:44" x14ac:dyDescent="0.3">
      <c r="A458" t="s">
        <v>64</v>
      </c>
      <c r="B458" t="s">
        <v>49</v>
      </c>
      <c r="C458" s="2" t="str">
        <f t="shared" si="7"/>
        <v>Neutral</v>
      </c>
      <c r="D458">
        <v>0.95504380000056699</v>
      </c>
      <c r="E458" t="s">
        <v>47</v>
      </c>
      <c r="F458" t="s">
        <v>53</v>
      </c>
      <c r="G458" t="s">
        <v>54</v>
      </c>
      <c r="H458">
        <v>53</v>
      </c>
      <c r="I458">
        <v>13</v>
      </c>
      <c r="J458">
        <v>2</v>
      </c>
      <c r="K458" t="s">
        <v>54</v>
      </c>
      <c r="L458">
        <v>1</v>
      </c>
      <c r="M458">
        <v>0.55901930003892597</v>
      </c>
      <c r="N458" t="s">
        <v>51</v>
      </c>
      <c r="O458">
        <v>2</v>
      </c>
      <c r="P458">
        <v>13</v>
      </c>
      <c r="Q458">
        <v>53</v>
      </c>
      <c r="R458">
        <v>18</v>
      </c>
      <c r="S458">
        <v>73.654747200023806</v>
      </c>
      <c r="X458">
        <v>73.644312700023804</v>
      </c>
      <c r="Y458">
        <v>73.654747200023806</v>
      </c>
      <c r="Z458">
        <v>74.154987700050697</v>
      </c>
      <c r="AA458">
        <v>74.154987700050697</v>
      </c>
      <c r="AB458">
        <v>74.154987700050697</v>
      </c>
      <c r="AC458">
        <v>74.725147700053597</v>
      </c>
      <c r="AD458" t="s">
        <v>54</v>
      </c>
      <c r="AE458">
        <v>1</v>
      </c>
      <c r="AF458">
        <v>0.55901930003892597</v>
      </c>
      <c r="AG458" t="s">
        <v>51</v>
      </c>
      <c r="AK458" t="s">
        <v>92</v>
      </c>
      <c r="AL458">
        <v>1</v>
      </c>
      <c r="AM458" t="s">
        <v>82</v>
      </c>
      <c r="AN458" t="s">
        <v>43</v>
      </c>
      <c r="AP458" t="s">
        <v>44</v>
      </c>
      <c r="AQ458">
        <v>60.124517886762398</v>
      </c>
      <c r="AR458" t="s">
        <v>83</v>
      </c>
    </row>
    <row r="459" spans="1:44" x14ac:dyDescent="0.3">
      <c r="A459" t="s">
        <v>70</v>
      </c>
      <c r="B459" t="s">
        <v>49</v>
      </c>
      <c r="C459" s="2" t="str">
        <f t="shared" si="7"/>
        <v>Emotional-I</v>
      </c>
      <c r="D459">
        <v>0.53102150000631798</v>
      </c>
      <c r="E459" t="s">
        <v>59</v>
      </c>
      <c r="F459" t="s">
        <v>53</v>
      </c>
      <c r="G459" t="s">
        <v>54</v>
      </c>
      <c r="H459">
        <v>54</v>
      </c>
      <c r="I459">
        <v>14</v>
      </c>
      <c r="J459">
        <v>2</v>
      </c>
      <c r="K459" t="s">
        <v>54</v>
      </c>
      <c r="L459">
        <v>1</v>
      </c>
      <c r="M459">
        <v>0.485643199994228</v>
      </c>
      <c r="N459" t="s">
        <v>51</v>
      </c>
      <c r="O459">
        <v>2</v>
      </c>
      <c r="P459">
        <v>14</v>
      </c>
      <c r="Q459">
        <v>54</v>
      </c>
      <c r="R459">
        <v>2</v>
      </c>
      <c r="S459">
        <v>74.738616500049801</v>
      </c>
      <c r="X459">
        <v>74.727750700025297</v>
      </c>
      <c r="Y459">
        <v>74.738616500049801</v>
      </c>
      <c r="Z459">
        <v>75.237823800009195</v>
      </c>
      <c r="AA459">
        <v>75.237823800009195</v>
      </c>
      <c r="AB459">
        <v>75.237823800009195</v>
      </c>
      <c r="AC459">
        <v>75.725489900039904</v>
      </c>
      <c r="AD459" t="s">
        <v>54</v>
      </c>
      <c r="AE459">
        <v>1</v>
      </c>
      <c r="AF459">
        <v>0.485643199994228</v>
      </c>
      <c r="AG459" t="s">
        <v>51</v>
      </c>
      <c r="AK459" t="s">
        <v>92</v>
      </c>
      <c r="AL459">
        <v>1</v>
      </c>
      <c r="AM459" t="s">
        <v>82</v>
      </c>
      <c r="AN459" t="s">
        <v>43</v>
      </c>
      <c r="AP459" t="s">
        <v>44</v>
      </c>
      <c r="AQ459">
        <v>60.124517886762398</v>
      </c>
      <c r="AR459" t="s">
        <v>83</v>
      </c>
    </row>
    <row r="460" spans="1:44" x14ac:dyDescent="0.3">
      <c r="A460" t="s">
        <v>69</v>
      </c>
      <c r="B460" t="s">
        <v>49</v>
      </c>
      <c r="C460" s="2" t="str">
        <f t="shared" si="7"/>
        <v>Emotional-I</v>
      </c>
      <c r="D460">
        <v>0.80804380000336096</v>
      </c>
      <c r="E460" t="s">
        <v>59</v>
      </c>
      <c r="F460" t="s">
        <v>56</v>
      </c>
      <c r="G460" t="s">
        <v>57</v>
      </c>
      <c r="H460">
        <v>55</v>
      </c>
      <c r="I460">
        <v>15</v>
      </c>
      <c r="J460">
        <v>2</v>
      </c>
      <c r="K460" t="s">
        <v>57</v>
      </c>
      <c r="L460">
        <v>1</v>
      </c>
      <c r="M460">
        <v>0.71044569998048201</v>
      </c>
      <c r="N460" t="s">
        <v>51</v>
      </c>
      <c r="O460">
        <v>2</v>
      </c>
      <c r="P460">
        <v>15</v>
      </c>
      <c r="Q460">
        <v>55</v>
      </c>
      <c r="R460">
        <v>5</v>
      </c>
      <c r="S460">
        <v>75.738038300012704</v>
      </c>
      <c r="X460">
        <v>75.728113100049001</v>
      </c>
      <c r="Y460">
        <v>75.738038300012704</v>
      </c>
      <c r="Z460">
        <v>76.238455800048499</v>
      </c>
      <c r="AA460">
        <v>76.238455800048499</v>
      </c>
      <c r="AB460">
        <v>76.238455800048499</v>
      </c>
      <c r="AC460">
        <v>76.958911399997305</v>
      </c>
      <c r="AD460" t="s">
        <v>57</v>
      </c>
      <c r="AE460">
        <v>1</v>
      </c>
      <c r="AF460">
        <v>0.71044569998048201</v>
      </c>
      <c r="AG460" t="s">
        <v>51</v>
      </c>
      <c r="AK460" t="s">
        <v>92</v>
      </c>
      <c r="AL460">
        <v>1</v>
      </c>
      <c r="AM460" t="s">
        <v>82</v>
      </c>
      <c r="AN460" t="s">
        <v>43</v>
      </c>
      <c r="AP460" t="s">
        <v>44</v>
      </c>
      <c r="AQ460">
        <v>60.124517886762398</v>
      </c>
      <c r="AR460" t="s">
        <v>83</v>
      </c>
    </row>
    <row r="461" spans="1:44" x14ac:dyDescent="0.3">
      <c r="A461" t="s">
        <v>67</v>
      </c>
      <c r="B461" t="s">
        <v>49</v>
      </c>
      <c r="C461" s="2" t="str">
        <f t="shared" si="7"/>
        <v>Neutral</v>
      </c>
      <c r="D461">
        <v>0.60465769999427699</v>
      </c>
      <c r="E461" t="s">
        <v>47</v>
      </c>
      <c r="F461" t="s">
        <v>53</v>
      </c>
      <c r="G461" t="s">
        <v>54</v>
      </c>
      <c r="H461">
        <v>56</v>
      </c>
      <c r="I461">
        <v>16</v>
      </c>
      <c r="J461">
        <v>2</v>
      </c>
      <c r="K461" t="s">
        <v>54</v>
      </c>
      <c r="L461">
        <v>1</v>
      </c>
      <c r="M461">
        <v>0.66724490001797598</v>
      </c>
      <c r="N461" t="s">
        <v>51</v>
      </c>
      <c r="O461">
        <v>2</v>
      </c>
      <c r="P461">
        <v>16</v>
      </c>
      <c r="Q461">
        <v>56</v>
      </c>
      <c r="R461">
        <v>10</v>
      </c>
      <c r="S461">
        <v>76.971556600008597</v>
      </c>
      <c r="X461">
        <v>76.962920200021401</v>
      </c>
      <c r="Y461">
        <v>76.971556600008597</v>
      </c>
      <c r="Z461">
        <v>77.471468300034701</v>
      </c>
      <c r="AA461">
        <v>77.471468300034701</v>
      </c>
      <c r="AB461">
        <v>77.471468300034701</v>
      </c>
      <c r="AC461">
        <v>78.141952900041304</v>
      </c>
      <c r="AD461" t="s">
        <v>54</v>
      </c>
      <c r="AE461">
        <v>1</v>
      </c>
      <c r="AF461">
        <v>0.66724490001797598</v>
      </c>
      <c r="AG461" t="s">
        <v>51</v>
      </c>
      <c r="AK461" t="s">
        <v>92</v>
      </c>
      <c r="AL461">
        <v>1</v>
      </c>
      <c r="AM461" t="s">
        <v>82</v>
      </c>
      <c r="AN461" t="s">
        <v>43</v>
      </c>
      <c r="AP461" t="s">
        <v>44</v>
      </c>
      <c r="AQ461">
        <v>60.124517886762398</v>
      </c>
      <c r="AR461" t="s">
        <v>83</v>
      </c>
    </row>
    <row r="462" spans="1:44" x14ac:dyDescent="0.3">
      <c r="A462" t="s">
        <v>65</v>
      </c>
      <c r="B462" t="s">
        <v>49</v>
      </c>
      <c r="C462" s="2" t="str">
        <f t="shared" si="7"/>
        <v>Emotional-I</v>
      </c>
      <c r="D462">
        <v>1.3249778999597699</v>
      </c>
      <c r="E462" t="s">
        <v>59</v>
      </c>
      <c r="F462" t="s">
        <v>56</v>
      </c>
      <c r="G462" t="s">
        <v>57</v>
      </c>
      <c r="H462">
        <v>57</v>
      </c>
      <c r="I462">
        <v>17</v>
      </c>
      <c r="J462">
        <v>2</v>
      </c>
      <c r="K462" t="s">
        <v>57</v>
      </c>
      <c r="L462">
        <v>1</v>
      </c>
      <c r="M462">
        <v>0.53454209998017099</v>
      </c>
      <c r="N462" t="s">
        <v>51</v>
      </c>
      <c r="O462">
        <v>2</v>
      </c>
      <c r="P462">
        <v>17</v>
      </c>
      <c r="Q462">
        <v>57</v>
      </c>
      <c r="R462">
        <v>9</v>
      </c>
      <c r="S462">
        <v>78.154588600038494</v>
      </c>
      <c r="X462">
        <v>78.145719400024902</v>
      </c>
      <c r="Y462">
        <v>78.154588600038494</v>
      </c>
      <c r="Z462">
        <v>78.654295600019395</v>
      </c>
      <c r="AA462">
        <v>78.654295600019395</v>
      </c>
      <c r="AB462">
        <v>78.654295600019395</v>
      </c>
      <c r="AC462">
        <v>79.192460500053102</v>
      </c>
      <c r="AD462" t="s">
        <v>57</v>
      </c>
      <c r="AE462">
        <v>1</v>
      </c>
      <c r="AF462">
        <v>0.53454209998017099</v>
      </c>
      <c r="AG462" t="s">
        <v>51</v>
      </c>
      <c r="AK462" t="s">
        <v>92</v>
      </c>
      <c r="AL462">
        <v>1</v>
      </c>
      <c r="AM462" t="s">
        <v>82</v>
      </c>
      <c r="AN462" t="s">
        <v>43</v>
      </c>
      <c r="AP462" t="s">
        <v>44</v>
      </c>
      <c r="AQ462">
        <v>60.124517886762398</v>
      </c>
      <c r="AR462" t="s">
        <v>83</v>
      </c>
    </row>
    <row r="463" spans="1:44" x14ac:dyDescent="0.3">
      <c r="A463" t="s">
        <v>73</v>
      </c>
      <c r="B463" t="s">
        <v>49</v>
      </c>
      <c r="C463" s="2" t="str">
        <f t="shared" si="7"/>
        <v>Emotional-I</v>
      </c>
      <c r="D463">
        <v>1.52910440001869</v>
      </c>
      <c r="E463" t="s">
        <v>59</v>
      </c>
      <c r="F463" t="s">
        <v>56</v>
      </c>
      <c r="G463" t="s">
        <v>57</v>
      </c>
      <c r="H463">
        <v>58</v>
      </c>
      <c r="I463">
        <v>18</v>
      </c>
      <c r="J463">
        <v>2</v>
      </c>
      <c r="K463" t="s">
        <v>57</v>
      </c>
      <c r="L463">
        <v>1</v>
      </c>
      <c r="M463">
        <v>0.68026599998120196</v>
      </c>
      <c r="N463" t="s">
        <v>51</v>
      </c>
      <c r="O463">
        <v>2</v>
      </c>
      <c r="P463">
        <v>18</v>
      </c>
      <c r="Q463">
        <v>58</v>
      </c>
      <c r="R463">
        <v>1</v>
      </c>
      <c r="S463">
        <v>79.204597400035695</v>
      </c>
      <c r="X463">
        <v>79.196022700052694</v>
      </c>
      <c r="Y463">
        <v>79.204597400035695</v>
      </c>
      <c r="Z463">
        <v>79.704609400010597</v>
      </c>
      <c r="AA463">
        <v>79.704609400010597</v>
      </c>
      <c r="AB463">
        <v>79.704609400010597</v>
      </c>
      <c r="AC463">
        <v>80.391957200015895</v>
      </c>
      <c r="AD463" t="s">
        <v>57</v>
      </c>
      <c r="AE463">
        <v>1</v>
      </c>
      <c r="AF463">
        <v>0.68026599998120196</v>
      </c>
      <c r="AG463" t="s">
        <v>51</v>
      </c>
      <c r="AK463" t="s">
        <v>92</v>
      </c>
      <c r="AL463">
        <v>1</v>
      </c>
      <c r="AM463" t="s">
        <v>82</v>
      </c>
      <c r="AN463" t="s">
        <v>43</v>
      </c>
      <c r="AP463" t="s">
        <v>44</v>
      </c>
      <c r="AQ463">
        <v>60.124517886762398</v>
      </c>
      <c r="AR463" t="s">
        <v>83</v>
      </c>
    </row>
    <row r="464" spans="1:44" x14ac:dyDescent="0.3">
      <c r="A464" t="s">
        <v>77</v>
      </c>
      <c r="B464" t="s">
        <v>62</v>
      </c>
      <c r="C464" s="2" t="str">
        <f t="shared" si="7"/>
        <v>Emotional-C</v>
      </c>
      <c r="D464">
        <v>0.92707370000425704</v>
      </c>
      <c r="E464" t="s">
        <v>59</v>
      </c>
      <c r="F464" t="s">
        <v>61</v>
      </c>
      <c r="G464" t="s">
        <v>63</v>
      </c>
      <c r="H464">
        <v>59</v>
      </c>
      <c r="I464">
        <v>19</v>
      </c>
      <c r="J464">
        <v>2</v>
      </c>
      <c r="K464" t="s">
        <v>63</v>
      </c>
      <c r="L464">
        <v>1</v>
      </c>
      <c r="M464">
        <v>0.919698800018522</v>
      </c>
      <c r="N464" t="s">
        <v>51</v>
      </c>
      <c r="O464">
        <v>2</v>
      </c>
      <c r="P464">
        <v>19</v>
      </c>
      <c r="Q464">
        <v>59</v>
      </c>
      <c r="R464">
        <v>4</v>
      </c>
      <c r="S464">
        <v>80.404912500001899</v>
      </c>
      <c r="X464">
        <v>80.395591100037507</v>
      </c>
      <c r="Y464">
        <v>80.404912500001899</v>
      </c>
      <c r="Z464">
        <v>80.904831000021602</v>
      </c>
      <c r="AA464">
        <v>80.904831000021602</v>
      </c>
      <c r="AB464">
        <v>80.904831000021602</v>
      </c>
      <c r="AC464">
        <v>81.825772000011</v>
      </c>
      <c r="AD464" t="s">
        <v>63</v>
      </c>
      <c r="AE464">
        <v>1</v>
      </c>
      <c r="AF464">
        <v>0.919698800018522</v>
      </c>
      <c r="AG464" t="s">
        <v>51</v>
      </c>
      <c r="AK464" t="s">
        <v>92</v>
      </c>
      <c r="AL464">
        <v>1</v>
      </c>
      <c r="AM464" t="s">
        <v>82</v>
      </c>
      <c r="AN464" t="s">
        <v>43</v>
      </c>
      <c r="AP464" t="s">
        <v>44</v>
      </c>
      <c r="AQ464">
        <v>60.124517886762398</v>
      </c>
      <c r="AR464" t="s">
        <v>83</v>
      </c>
    </row>
    <row r="465" spans="1:44" x14ac:dyDescent="0.3">
      <c r="A465" t="s">
        <v>68</v>
      </c>
      <c r="B465" t="s">
        <v>49</v>
      </c>
      <c r="C465" s="2" t="str">
        <f t="shared" si="7"/>
        <v>Emotional-I</v>
      </c>
      <c r="D465">
        <v>0.81331209995551002</v>
      </c>
      <c r="E465" t="s">
        <v>59</v>
      </c>
      <c r="F465" t="s">
        <v>53</v>
      </c>
      <c r="G465" t="s">
        <v>54</v>
      </c>
      <c r="H465">
        <v>60</v>
      </c>
      <c r="I465">
        <v>0</v>
      </c>
      <c r="J465">
        <v>3</v>
      </c>
      <c r="K465" t="s">
        <v>54</v>
      </c>
      <c r="L465">
        <v>1</v>
      </c>
      <c r="M465">
        <v>1.5660389999975399</v>
      </c>
      <c r="N465" t="s">
        <v>51</v>
      </c>
      <c r="O465">
        <v>3</v>
      </c>
      <c r="P465">
        <v>0</v>
      </c>
      <c r="Q465">
        <v>60</v>
      </c>
      <c r="R465">
        <v>6</v>
      </c>
      <c r="S465">
        <v>81.837868800037498</v>
      </c>
      <c r="X465">
        <v>81.829185000038706</v>
      </c>
      <c r="Y465">
        <v>81.837868800037498</v>
      </c>
      <c r="Z465">
        <v>82.338538700016201</v>
      </c>
      <c r="AA465">
        <v>82.338538700016201</v>
      </c>
      <c r="AB465">
        <v>82.338538700016201</v>
      </c>
      <c r="AC465">
        <v>83.909141800017096</v>
      </c>
      <c r="AD465" t="s">
        <v>54</v>
      </c>
      <c r="AE465">
        <v>1</v>
      </c>
      <c r="AF465">
        <v>1.5660389999975399</v>
      </c>
      <c r="AG465" t="s">
        <v>51</v>
      </c>
      <c r="AK465" t="s">
        <v>92</v>
      </c>
      <c r="AL465">
        <v>1</v>
      </c>
      <c r="AM465" t="s">
        <v>82</v>
      </c>
      <c r="AN465" t="s">
        <v>43</v>
      </c>
      <c r="AP465" t="s">
        <v>44</v>
      </c>
      <c r="AQ465">
        <v>60.124517886762398</v>
      </c>
      <c r="AR465" t="s">
        <v>83</v>
      </c>
    </row>
    <row r="466" spans="1:44" x14ac:dyDescent="0.3">
      <c r="A466" t="s">
        <v>67</v>
      </c>
      <c r="B466" t="s">
        <v>49</v>
      </c>
      <c r="C466" s="2" t="str">
        <f t="shared" si="7"/>
        <v>Neutral</v>
      </c>
      <c r="D466">
        <v>0.63282990001607597</v>
      </c>
      <c r="E466" t="s">
        <v>47</v>
      </c>
      <c r="F466" t="s">
        <v>53</v>
      </c>
      <c r="G466" t="s">
        <v>54</v>
      </c>
      <c r="H466">
        <v>61</v>
      </c>
      <c r="I466">
        <v>1</v>
      </c>
      <c r="J466">
        <v>3</v>
      </c>
      <c r="K466" t="s">
        <v>54</v>
      </c>
      <c r="L466">
        <v>1</v>
      </c>
      <c r="M466">
        <v>0.54170629999134601</v>
      </c>
      <c r="N466" t="s">
        <v>51</v>
      </c>
      <c r="O466">
        <v>3</v>
      </c>
      <c r="P466">
        <v>1</v>
      </c>
      <c r="Q466">
        <v>61</v>
      </c>
      <c r="R466">
        <v>10</v>
      </c>
      <c r="S466">
        <v>83.920929800020502</v>
      </c>
      <c r="X466">
        <v>83.911696000024605</v>
      </c>
      <c r="Y466">
        <v>83.920929800020502</v>
      </c>
      <c r="Z466">
        <v>84.420818100043107</v>
      </c>
      <c r="AA466">
        <v>84.420818100043107</v>
      </c>
      <c r="AB466">
        <v>84.420818100043107</v>
      </c>
      <c r="AC466">
        <v>84.974446800013496</v>
      </c>
      <c r="AD466" t="s">
        <v>54</v>
      </c>
      <c r="AE466">
        <v>1</v>
      </c>
      <c r="AF466">
        <v>0.54170629999134601</v>
      </c>
      <c r="AG466" t="s">
        <v>51</v>
      </c>
      <c r="AK466" t="s">
        <v>92</v>
      </c>
      <c r="AL466">
        <v>1</v>
      </c>
      <c r="AM466" t="s">
        <v>82</v>
      </c>
      <c r="AN466" t="s">
        <v>43</v>
      </c>
      <c r="AP466" t="s">
        <v>44</v>
      </c>
      <c r="AQ466">
        <v>60.124517886762398</v>
      </c>
      <c r="AR466" t="s">
        <v>83</v>
      </c>
    </row>
    <row r="467" spans="1:44" x14ac:dyDescent="0.3">
      <c r="A467" t="s">
        <v>64</v>
      </c>
      <c r="B467" t="s">
        <v>49</v>
      </c>
      <c r="C467" s="2" t="str">
        <f t="shared" si="7"/>
        <v>Neutral</v>
      </c>
      <c r="D467">
        <v>0.52545050001936</v>
      </c>
      <c r="E467" t="s">
        <v>47</v>
      </c>
      <c r="F467" t="s">
        <v>53</v>
      </c>
      <c r="G467" t="s">
        <v>54</v>
      </c>
      <c r="H467">
        <v>62</v>
      </c>
      <c r="I467">
        <v>2</v>
      </c>
      <c r="J467">
        <v>3</v>
      </c>
      <c r="K467" t="s">
        <v>54</v>
      </c>
      <c r="L467">
        <v>1</v>
      </c>
      <c r="M467">
        <v>0.60335910000139803</v>
      </c>
      <c r="N467" t="s">
        <v>51</v>
      </c>
      <c r="O467">
        <v>3</v>
      </c>
      <c r="P467">
        <v>2</v>
      </c>
      <c r="Q467">
        <v>62</v>
      </c>
      <c r="R467">
        <v>18</v>
      </c>
      <c r="S467">
        <v>84.9880592999979</v>
      </c>
      <c r="X467">
        <v>84.976888300035995</v>
      </c>
      <c r="Y467">
        <v>84.9880592999979</v>
      </c>
      <c r="Z467">
        <v>85.487569800054104</v>
      </c>
      <c r="AA467">
        <v>85.487569800054104</v>
      </c>
      <c r="AB467">
        <v>85.487569800054104</v>
      </c>
      <c r="AC467">
        <v>86.091517699998803</v>
      </c>
      <c r="AD467" t="s">
        <v>54</v>
      </c>
      <c r="AE467">
        <v>1</v>
      </c>
      <c r="AF467">
        <v>0.60335910000139803</v>
      </c>
      <c r="AG467" t="s">
        <v>51</v>
      </c>
      <c r="AK467" t="s">
        <v>92</v>
      </c>
      <c r="AL467">
        <v>1</v>
      </c>
      <c r="AM467" t="s">
        <v>82</v>
      </c>
      <c r="AN467" t="s">
        <v>43</v>
      </c>
      <c r="AP467" t="s">
        <v>44</v>
      </c>
      <c r="AQ467">
        <v>60.124517886762398</v>
      </c>
      <c r="AR467" t="s">
        <v>83</v>
      </c>
    </row>
    <row r="468" spans="1:44" x14ac:dyDescent="0.3">
      <c r="A468" t="s">
        <v>60</v>
      </c>
      <c r="B468" t="s">
        <v>62</v>
      </c>
      <c r="C468" s="2" t="str">
        <f t="shared" si="7"/>
        <v>Emotional-C</v>
      </c>
      <c r="D468">
        <v>0.70810100005473897</v>
      </c>
      <c r="E468" t="s">
        <v>59</v>
      </c>
      <c r="F468" t="s">
        <v>61</v>
      </c>
      <c r="G468" t="s">
        <v>63</v>
      </c>
      <c r="H468">
        <v>63</v>
      </c>
      <c r="I468">
        <v>3</v>
      </c>
      <c r="J468">
        <v>3</v>
      </c>
      <c r="K468" t="s">
        <v>63</v>
      </c>
      <c r="L468">
        <v>1</v>
      </c>
      <c r="M468">
        <v>1.2632963999640101</v>
      </c>
      <c r="N468" t="s">
        <v>51</v>
      </c>
      <c r="O468">
        <v>3</v>
      </c>
      <c r="P468">
        <v>3</v>
      </c>
      <c r="Q468">
        <v>63</v>
      </c>
      <c r="R468">
        <v>0</v>
      </c>
      <c r="S468">
        <v>86.104304100037496</v>
      </c>
      <c r="X468">
        <v>86.0940250999992</v>
      </c>
      <c r="Y468">
        <v>86.104304100037496</v>
      </c>
      <c r="Z468">
        <v>86.604641400044699</v>
      </c>
      <c r="AA468">
        <v>86.604641400044699</v>
      </c>
      <c r="AB468">
        <v>86.604641400044699</v>
      </c>
      <c r="AC468">
        <v>87.874770299997095</v>
      </c>
      <c r="AD468" t="s">
        <v>63</v>
      </c>
      <c r="AE468">
        <v>1</v>
      </c>
      <c r="AF468">
        <v>1.2632963999640101</v>
      </c>
      <c r="AG468" t="s">
        <v>51</v>
      </c>
      <c r="AK468" t="s">
        <v>92</v>
      </c>
      <c r="AL468">
        <v>1</v>
      </c>
      <c r="AM468" t="s">
        <v>82</v>
      </c>
      <c r="AN468" t="s">
        <v>43</v>
      </c>
      <c r="AP468" t="s">
        <v>44</v>
      </c>
      <c r="AQ468">
        <v>60.124517886762398</v>
      </c>
      <c r="AR468" t="s">
        <v>83</v>
      </c>
    </row>
    <row r="469" spans="1:44" x14ac:dyDescent="0.3">
      <c r="A469" t="s">
        <v>76</v>
      </c>
      <c r="B469" t="s">
        <v>49</v>
      </c>
      <c r="C469" s="2" t="str">
        <f t="shared" si="7"/>
        <v>Emotional-I</v>
      </c>
      <c r="D469">
        <v>0.768085299991071</v>
      </c>
      <c r="E469" t="s">
        <v>59</v>
      </c>
      <c r="F469" t="s">
        <v>48</v>
      </c>
      <c r="G469" t="s">
        <v>50</v>
      </c>
      <c r="H469">
        <v>64</v>
      </c>
      <c r="I469">
        <v>4</v>
      </c>
      <c r="J469">
        <v>3</v>
      </c>
      <c r="K469" t="s">
        <v>50</v>
      </c>
      <c r="L469">
        <v>1</v>
      </c>
      <c r="M469">
        <v>1.06779140001162</v>
      </c>
      <c r="N469" t="s">
        <v>51</v>
      </c>
      <c r="O469">
        <v>3</v>
      </c>
      <c r="P469">
        <v>4</v>
      </c>
      <c r="Q469">
        <v>64</v>
      </c>
      <c r="R469">
        <v>3</v>
      </c>
      <c r="S469">
        <v>87.887412200041496</v>
      </c>
      <c r="X469">
        <v>87.877388600027103</v>
      </c>
      <c r="Y469">
        <v>87.887412200041496</v>
      </c>
      <c r="Z469">
        <v>88.388667799998004</v>
      </c>
      <c r="AA469">
        <v>88.388667799998004</v>
      </c>
      <c r="AB469">
        <v>88.388667799998004</v>
      </c>
      <c r="AC469">
        <v>89.459308400051597</v>
      </c>
      <c r="AD469" t="s">
        <v>50</v>
      </c>
      <c r="AE469">
        <v>1</v>
      </c>
      <c r="AF469">
        <v>1.06779140001162</v>
      </c>
      <c r="AG469" t="s">
        <v>51</v>
      </c>
      <c r="AK469" t="s">
        <v>92</v>
      </c>
      <c r="AL469">
        <v>1</v>
      </c>
      <c r="AM469" t="s">
        <v>82</v>
      </c>
      <c r="AN469" t="s">
        <v>43</v>
      </c>
      <c r="AP469" t="s">
        <v>44</v>
      </c>
      <c r="AQ469">
        <v>60.124517886762398</v>
      </c>
      <c r="AR469" t="s">
        <v>83</v>
      </c>
    </row>
    <row r="470" spans="1:44" x14ac:dyDescent="0.3">
      <c r="A470" t="s">
        <v>58</v>
      </c>
      <c r="B470" t="s">
        <v>49</v>
      </c>
      <c r="C470" s="2" t="str">
        <f t="shared" si="7"/>
        <v>Emotional-I</v>
      </c>
      <c r="D470">
        <v>0.39590020000468901</v>
      </c>
      <c r="E470" t="s">
        <v>59</v>
      </c>
      <c r="F470" t="s">
        <v>48</v>
      </c>
      <c r="G470" t="s">
        <v>50</v>
      </c>
      <c r="H470">
        <v>65</v>
      </c>
      <c r="I470">
        <v>5</v>
      </c>
      <c r="J470">
        <v>3</v>
      </c>
      <c r="K470" t="s">
        <v>50</v>
      </c>
      <c r="L470">
        <v>1</v>
      </c>
      <c r="M470">
        <v>0.82253559998935</v>
      </c>
      <c r="N470" t="s">
        <v>51</v>
      </c>
      <c r="O470">
        <v>3</v>
      </c>
      <c r="P470">
        <v>5</v>
      </c>
      <c r="Q470">
        <v>65</v>
      </c>
      <c r="R470">
        <v>7</v>
      </c>
      <c r="S470">
        <v>89.470972100039901</v>
      </c>
      <c r="X470">
        <v>89.462184000003603</v>
      </c>
      <c r="Y470">
        <v>89.470972100039901</v>
      </c>
      <c r="Z470">
        <v>89.971327000006497</v>
      </c>
      <c r="AA470">
        <v>89.971327000006497</v>
      </c>
      <c r="AB470">
        <v>89.971327000006497</v>
      </c>
      <c r="AC470">
        <v>90.808151800010805</v>
      </c>
      <c r="AD470" t="s">
        <v>50</v>
      </c>
      <c r="AE470">
        <v>1</v>
      </c>
      <c r="AF470">
        <v>0.82253559998935</v>
      </c>
      <c r="AG470" t="s">
        <v>51</v>
      </c>
      <c r="AK470" t="s">
        <v>92</v>
      </c>
      <c r="AL470">
        <v>1</v>
      </c>
      <c r="AM470" t="s">
        <v>82</v>
      </c>
      <c r="AN470" t="s">
        <v>43</v>
      </c>
      <c r="AP470" t="s">
        <v>44</v>
      </c>
      <c r="AQ470">
        <v>60.124517886762398</v>
      </c>
      <c r="AR470" t="s">
        <v>83</v>
      </c>
    </row>
    <row r="471" spans="1:44" x14ac:dyDescent="0.3">
      <c r="A471" t="s">
        <v>69</v>
      </c>
      <c r="B471" t="s">
        <v>49</v>
      </c>
      <c r="C471" s="2" t="str">
        <f t="shared" si="7"/>
        <v>Emotional-I</v>
      </c>
      <c r="D471">
        <v>0.70921070000622399</v>
      </c>
      <c r="E471" t="s">
        <v>59</v>
      </c>
      <c r="F471" t="s">
        <v>56</v>
      </c>
      <c r="G471" t="s">
        <v>57</v>
      </c>
      <c r="H471">
        <v>66</v>
      </c>
      <c r="I471">
        <v>6</v>
      </c>
      <c r="J471">
        <v>3</v>
      </c>
      <c r="K471" t="s">
        <v>57</v>
      </c>
      <c r="L471">
        <v>1</v>
      </c>
      <c r="M471">
        <v>0.80548260000068606</v>
      </c>
      <c r="N471" t="s">
        <v>51</v>
      </c>
      <c r="O471">
        <v>3</v>
      </c>
      <c r="P471">
        <v>6</v>
      </c>
      <c r="Q471">
        <v>66</v>
      </c>
      <c r="R471">
        <v>5</v>
      </c>
      <c r="S471">
        <v>90.820987700019003</v>
      </c>
      <c r="X471">
        <v>90.812659400049597</v>
      </c>
      <c r="Y471">
        <v>90.820987700019003</v>
      </c>
      <c r="Z471">
        <v>91.320811300014597</v>
      </c>
      <c r="AA471">
        <v>91.320811300014597</v>
      </c>
      <c r="AB471">
        <v>91.320811300014597</v>
      </c>
      <c r="AC471">
        <v>92.141974900034199</v>
      </c>
      <c r="AD471" t="s">
        <v>57</v>
      </c>
      <c r="AE471">
        <v>1</v>
      </c>
      <c r="AF471">
        <v>0.80548260000068606</v>
      </c>
      <c r="AG471" t="s">
        <v>51</v>
      </c>
      <c r="AK471" t="s">
        <v>92</v>
      </c>
      <c r="AL471">
        <v>1</v>
      </c>
      <c r="AM471" t="s">
        <v>82</v>
      </c>
      <c r="AN471" t="s">
        <v>43</v>
      </c>
      <c r="AP471" t="s">
        <v>44</v>
      </c>
      <c r="AQ471">
        <v>60.124517886762398</v>
      </c>
      <c r="AR471" t="s">
        <v>83</v>
      </c>
    </row>
    <row r="472" spans="1:44" x14ac:dyDescent="0.3">
      <c r="A472" t="s">
        <v>46</v>
      </c>
      <c r="B472" t="s">
        <v>49</v>
      </c>
      <c r="C472" s="2" t="str">
        <f t="shared" si="7"/>
        <v>Neutral</v>
      </c>
      <c r="D472">
        <v>0.52612180000869502</v>
      </c>
      <c r="E472" t="s">
        <v>47</v>
      </c>
      <c r="F472" t="s">
        <v>48</v>
      </c>
      <c r="G472" t="s">
        <v>50</v>
      </c>
      <c r="H472">
        <v>67</v>
      </c>
      <c r="I472">
        <v>7</v>
      </c>
      <c r="J472">
        <v>3</v>
      </c>
      <c r="K472" t="s">
        <v>50</v>
      </c>
      <c r="L472">
        <v>1</v>
      </c>
      <c r="M472">
        <v>0.75240990001475405</v>
      </c>
      <c r="N472" t="s">
        <v>51</v>
      </c>
      <c r="O472">
        <v>3</v>
      </c>
      <c r="P472">
        <v>7</v>
      </c>
      <c r="Q472">
        <v>67</v>
      </c>
      <c r="R472">
        <v>19</v>
      </c>
      <c r="S472">
        <v>92.1544869000208</v>
      </c>
      <c r="X472">
        <v>92.144865700043695</v>
      </c>
      <c r="Y472">
        <v>92.1544869000208</v>
      </c>
      <c r="Z472">
        <v>92.654383400047607</v>
      </c>
      <c r="AA472">
        <v>92.654383400047607</v>
      </c>
      <c r="AB472">
        <v>92.654383400047607</v>
      </c>
      <c r="AC472">
        <v>93.409337200049706</v>
      </c>
      <c r="AD472" t="s">
        <v>50</v>
      </c>
      <c r="AE472">
        <v>1</v>
      </c>
      <c r="AF472">
        <v>0.75240990001475405</v>
      </c>
      <c r="AG472" t="s">
        <v>51</v>
      </c>
      <c r="AK472" t="s">
        <v>92</v>
      </c>
      <c r="AL472">
        <v>1</v>
      </c>
      <c r="AM472" t="s">
        <v>82</v>
      </c>
      <c r="AN472" t="s">
        <v>43</v>
      </c>
      <c r="AP472" t="s">
        <v>44</v>
      </c>
      <c r="AQ472">
        <v>60.124517886762398</v>
      </c>
      <c r="AR472" t="s">
        <v>83</v>
      </c>
    </row>
    <row r="473" spans="1:44" x14ac:dyDescent="0.3">
      <c r="A473" t="s">
        <v>78</v>
      </c>
      <c r="B473" t="s">
        <v>49</v>
      </c>
      <c r="C473" s="2" t="str">
        <f t="shared" si="7"/>
        <v>Neutral</v>
      </c>
      <c r="D473">
        <v>0.68214809999335502</v>
      </c>
      <c r="E473" t="s">
        <v>47</v>
      </c>
      <c r="F473" t="s">
        <v>56</v>
      </c>
      <c r="G473" t="s">
        <v>57</v>
      </c>
      <c r="H473">
        <v>68</v>
      </c>
      <c r="I473">
        <v>8</v>
      </c>
      <c r="J473">
        <v>3</v>
      </c>
      <c r="K473" t="s">
        <v>57</v>
      </c>
      <c r="L473">
        <v>1</v>
      </c>
      <c r="M473">
        <v>0.78341789997648403</v>
      </c>
      <c r="N473" t="s">
        <v>51</v>
      </c>
      <c r="O473">
        <v>3</v>
      </c>
      <c r="P473">
        <v>8</v>
      </c>
      <c r="Q473">
        <v>68</v>
      </c>
      <c r="R473">
        <v>17</v>
      </c>
      <c r="S473">
        <v>93.420686700031993</v>
      </c>
      <c r="X473">
        <v>93.4135289000114</v>
      </c>
      <c r="Y473">
        <v>93.420686700031993</v>
      </c>
      <c r="Z473">
        <v>93.920552900002804</v>
      </c>
      <c r="AA473">
        <v>93.920552900002804</v>
      </c>
      <c r="AB473">
        <v>93.920552900002804</v>
      </c>
      <c r="AC473">
        <v>94.708270600007296</v>
      </c>
      <c r="AD473" t="s">
        <v>57</v>
      </c>
      <c r="AE473">
        <v>1</v>
      </c>
      <c r="AF473">
        <v>0.78341789997648403</v>
      </c>
      <c r="AG473" t="s">
        <v>51</v>
      </c>
      <c r="AK473" t="s">
        <v>92</v>
      </c>
      <c r="AL473">
        <v>1</v>
      </c>
      <c r="AM473" t="s">
        <v>82</v>
      </c>
      <c r="AN473" t="s">
        <v>43</v>
      </c>
      <c r="AP473" t="s">
        <v>44</v>
      </c>
      <c r="AQ473">
        <v>60.124517886762398</v>
      </c>
      <c r="AR473" t="s">
        <v>83</v>
      </c>
    </row>
    <row r="474" spans="1:44" x14ac:dyDescent="0.3">
      <c r="A474" t="s">
        <v>72</v>
      </c>
      <c r="B474" t="s">
        <v>62</v>
      </c>
      <c r="C474" s="2" t="str">
        <f t="shared" si="7"/>
        <v>Emotional-C</v>
      </c>
      <c r="D474">
        <v>0.51121460000285801</v>
      </c>
      <c r="E474" t="s">
        <v>59</v>
      </c>
      <c r="F474" t="s">
        <v>61</v>
      </c>
      <c r="G474" t="s">
        <v>63</v>
      </c>
      <c r="H474">
        <v>69</v>
      </c>
      <c r="I474">
        <v>9</v>
      </c>
      <c r="J474">
        <v>3</v>
      </c>
      <c r="K474" t="s">
        <v>63</v>
      </c>
      <c r="L474">
        <v>1</v>
      </c>
      <c r="M474">
        <v>0.51703049999196005</v>
      </c>
      <c r="N474" t="s">
        <v>51</v>
      </c>
      <c r="O474">
        <v>3</v>
      </c>
      <c r="P474">
        <v>9</v>
      </c>
      <c r="Q474">
        <v>69</v>
      </c>
      <c r="R474">
        <v>8</v>
      </c>
      <c r="S474">
        <v>94.720521600043796</v>
      </c>
      <c r="X474">
        <v>94.712106400053003</v>
      </c>
      <c r="Y474">
        <v>94.720521600043796</v>
      </c>
      <c r="Z474">
        <v>95.2209194000461</v>
      </c>
      <c r="AA474">
        <v>95.2209194000461</v>
      </c>
      <c r="AB474">
        <v>95.2209194000461</v>
      </c>
      <c r="AC474">
        <v>95.741244300035703</v>
      </c>
      <c r="AD474" t="s">
        <v>63</v>
      </c>
      <c r="AE474">
        <v>1</v>
      </c>
      <c r="AF474">
        <v>0.51703049999196005</v>
      </c>
      <c r="AG474" t="s">
        <v>51</v>
      </c>
      <c r="AK474" t="s">
        <v>92</v>
      </c>
      <c r="AL474">
        <v>1</v>
      </c>
      <c r="AM474" t="s">
        <v>82</v>
      </c>
      <c r="AN474" t="s">
        <v>43</v>
      </c>
      <c r="AP474" t="s">
        <v>44</v>
      </c>
      <c r="AQ474">
        <v>60.124517886762398</v>
      </c>
      <c r="AR474" t="s">
        <v>83</v>
      </c>
    </row>
    <row r="475" spans="1:44" x14ac:dyDescent="0.3">
      <c r="A475" t="s">
        <v>55</v>
      </c>
      <c r="B475" t="s">
        <v>49</v>
      </c>
      <c r="C475" s="2" t="str">
        <f t="shared" si="7"/>
        <v>Neutral</v>
      </c>
      <c r="D475">
        <v>0.65317210002103798</v>
      </c>
      <c r="E475" t="s">
        <v>47</v>
      </c>
      <c r="F475" t="s">
        <v>56</v>
      </c>
      <c r="G475" t="s">
        <v>57</v>
      </c>
      <c r="H475">
        <v>70</v>
      </c>
      <c r="I475">
        <v>10</v>
      </c>
      <c r="J475">
        <v>3</v>
      </c>
      <c r="K475" t="s">
        <v>57</v>
      </c>
      <c r="L475">
        <v>1</v>
      </c>
      <c r="M475">
        <v>0.64455289999023002</v>
      </c>
      <c r="N475" t="s">
        <v>51</v>
      </c>
      <c r="O475">
        <v>3</v>
      </c>
      <c r="P475">
        <v>10</v>
      </c>
      <c r="Q475">
        <v>70</v>
      </c>
      <c r="R475">
        <v>13</v>
      </c>
      <c r="S475">
        <v>95.753973100043297</v>
      </c>
      <c r="X475">
        <v>95.744392800028393</v>
      </c>
      <c r="Y475">
        <v>95.753973100043297</v>
      </c>
      <c r="Z475">
        <v>96.2535549000022</v>
      </c>
      <c r="AA475">
        <v>96.2535549000022</v>
      </c>
      <c r="AB475">
        <v>96.2535549000022</v>
      </c>
      <c r="AC475">
        <v>96.907713500026105</v>
      </c>
      <c r="AD475" t="s">
        <v>57</v>
      </c>
      <c r="AE475">
        <v>1</v>
      </c>
      <c r="AF475">
        <v>0.64455289999023002</v>
      </c>
      <c r="AG475" t="s">
        <v>51</v>
      </c>
      <c r="AK475" t="s">
        <v>92</v>
      </c>
      <c r="AL475">
        <v>1</v>
      </c>
      <c r="AM475" t="s">
        <v>82</v>
      </c>
      <c r="AN475" t="s">
        <v>43</v>
      </c>
      <c r="AP475" t="s">
        <v>44</v>
      </c>
      <c r="AQ475">
        <v>60.124517886762398</v>
      </c>
      <c r="AR475" t="s">
        <v>83</v>
      </c>
    </row>
    <row r="476" spans="1:44" x14ac:dyDescent="0.3">
      <c r="A476" t="s">
        <v>66</v>
      </c>
      <c r="B476" t="s">
        <v>49</v>
      </c>
      <c r="C476" s="2" t="str">
        <f t="shared" si="7"/>
        <v>Neutral</v>
      </c>
      <c r="D476">
        <v>0.50976139999693204</v>
      </c>
      <c r="E476" t="s">
        <v>47</v>
      </c>
      <c r="F476" t="s">
        <v>61</v>
      </c>
      <c r="G476" t="s">
        <v>63</v>
      </c>
      <c r="H476">
        <v>71</v>
      </c>
      <c r="I476">
        <v>11</v>
      </c>
      <c r="J476">
        <v>3</v>
      </c>
      <c r="K476" t="s">
        <v>63</v>
      </c>
      <c r="L476">
        <v>1</v>
      </c>
      <c r="M476">
        <v>0.78342449996853203</v>
      </c>
      <c r="N476" t="s">
        <v>51</v>
      </c>
      <c r="O476">
        <v>3</v>
      </c>
      <c r="P476">
        <v>11</v>
      </c>
      <c r="Q476">
        <v>71</v>
      </c>
      <c r="R476">
        <v>12</v>
      </c>
      <c r="S476">
        <v>96.921074800018602</v>
      </c>
      <c r="X476">
        <v>96.910783300001597</v>
      </c>
      <c r="Y476">
        <v>96.921074800018602</v>
      </c>
      <c r="Z476">
        <v>97.422254400036707</v>
      </c>
      <c r="AA476">
        <v>97.422254400036707</v>
      </c>
      <c r="AB476">
        <v>97.422254400036707</v>
      </c>
      <c r="AC476">
        <v>98.207728700013803</v>
      </c>
      <c r="AD476" t="s">
        <v>63</v>
      </c>
      <c r="AE476">
        <v>1</v>
      </c>
      <c r="AF476">
        <v>0.78342449996853203</v>
      </c>
      <c r="AG476" t="s">
        <v>51</v>
      </c>
      <c r="AK476" t="s">
        <v>92</v>
      </c>
      <c r="AL476">
        <v>1</v>
      </c>
      <c r="AM476" t="s">
        <v>82</v>
      </c>
      <c r="AN476" t="s">
        <v>43</v>
      </c>
      <c r="AP476" t="s">
        <v>44</v>
      </c>
      <c r="AQ476">
        <v>60.124517886762398</v>
      </c>
      <c r="AR476" t="s">
        <v>83</v>
      </c>
    </row>
    <row r="477" spans="1:44" x14ac:dyDescent="0.3">
      <c r="A477" t="s">
        <v>52</v>
      </c>
      <c r="B477" t="s">
        <v>49</v>
      </c>
      <c r="C477" s="2" t="str">
        <f t="shared" si="7"/>
        <v>Neutral</v>
      </c>
      <c r="D477">
        <v>0.65856449998682298</v>
      </c>
      <c r="E477" t="s">
        <v>47</v>
      </c>
      <c r="F477" t="s">
        <v>53</v>
      </c>
      <c r="G477" t="s">
        <v>54</v>
      </c>
      <c r="H477">
        <v>72</v>
      </c>
      <c r="I477">
        <v>12</v>
      </c>
      <c r="J477">
        <v>3</v>
      </c>
      <c r="K477" t="s">
        <v>54</v>
      </c>
      <c r="L477">
        <v>1</v>
      </c>
      <c r="M477">
        <v>0.63477539998711996</v>
      </c>
      <c r="N477" t="s">
        <v>51</v>
      </c>
      <c r="O477">
        <v>3</v>
      </c>
      <c r="P477">
        <v>12</v>
      </c>
      <c r="Q477">
        <v>72</v>
      </c>
      <c r="R477">
        <v>14</v>
      </c>
      <c r="S477">
        <v>98.220582600042604</v>
      </c>
      <c r="X477">
        <v>98.210821300046504</v>
      </c>
      <c r="Y477">
        <v>98.220582600042604</v>
      </c>
      <c r="Z477">
        <v>98.720455800008494</v>
      </c>
      <c r="AA477">
        <v>98.720455800008494</v>
      </c>
      <c r="AB477">
        <v>98.720455800008494</v>
      </c>
      <c r="AC477">
        <v>99.357617600005995</v>
      </c>
      <c r="AD477" t="s">
        <v>54</v>
      </c>
      <c r="AE477">
        <v>1</v>
      </c>
      <c r="AF477">
        <v>0.63477539998711996</v>
      </c>
      <c r="AG477" t="s">
        <v>51</v>
      </c>
      <c r="AK477" t="s">
        <v>92</v>
      </c>
      <c r="AL477">
        <v>1</v>
      </c>
      <c r="AM477" t="s">
        <v>82</v>
      </c>
      <c r="AN477" t="s">
        <v>43</v>
      </c>
      <c r="AP477" t="s">
        <v>44</v>
      </c>
      <c r="AQ477">
        <v>60.124517886762398</v>
      </c>
      <c r="AR477" t="s">
        <v>83</v>
      </c>
    </row>
    <row r="478" spans="1:44" hidden="1" x14ac:dyDescent="0.3">
      <c r="A478" t="s">
        <v>73</v>
      </c>
      <c r="B478" t="s">
        <v>49</v>
      </c>
      <c r="C478" s="2" t="str">
        <f t="shared" si="7"/>
        <v>Emotional-I</v>
      </c>
      <c r="D478">
        <v>0.58950890001142398</v>
      </c>
      <c r="E478" t="s">
        <v>59</v>
      </c>
      <c r="F478" t="s">
        <v>56</v>
      </c>
      <c r="G478" t="s">
        <v>57</v>
      </c>
      <c r="H478">
        <v>73</v>
      </c>
      <c r="I478">
        <v>13</v>
      </c>
      <c r="J478">
        <v>3</v>
      </c>
      <c r="K478" t="s">
        <v>63</v>
      </c>
      <c r="L478">
        <v>0</v>
      </c>
      <c r="M478">
        <v>0.58853479998651803</v>
      </c>
      <c r="N478" t="s">
        <v>51</v>
      </c>
      <c r="O478">
        <v>3</v>
      </c>
      <c r="P478">
        <v>13</v>
      </c>
      <c r="Q478">
        <v>73</v>
      </c>
      <c r="R478">
        <v>1</v>
      </c>
      <c r="S478">
        <v>99.370783100021001</v>
      </c>
      <c r="X478">
        <v>99.360204800031994</v>
      </c>
      <c r="Y478">
        <v>99.370783100021001</v>
      </c>
      <c r="Z478">
        <v>99.871154100051996</v>
      </c>
      <c r="AA478">
        <v>99.871154100051996</v>
      </c>
      <c r="AB478">
        <v>99.871154100051996</v>
      </c>
      <c r="AC478">
        <v>100.47448900004299</v>
      </c>
      <c r="AD478" t="s">
        <v>63</v>
      </c>
      <c r="AE478">
        <v>0</v>
      </c>
      <c r="AF478">
        <v>0.58853479998651803</v>
      </c>
      <c r="AG478" t="s">
        <v>51</v>
      </c>
      <c r="AK478" t="s">
        <v>92</v>
      </c>
      <c r="AL478">
        <v>1</v>
      </c>
      <c r="AM478" t="s">
        <v>82</v>
      </c>
      <c r="AN478" t="s">
        <v>43</v>
      </c>
      <c r="AP478" t="s">
        <v>44</v>
      </c>
      <c r="AQ478">
        <v>60.124517886762398</v>
      </c>
      <c r="AR478" t="s">
        <v>83</v>
      </c>
    </row>
    <row r="479" spans="1:44" hidden="1" x14ac:dyDescent="0.3">
      <c r="A479" t="s">
        <v>70</v>
      </c>
      <c r="B479" t="s">
        <v>49</v>
      </c>
      <c r="C479" s="2" t="str">
        <f t="shared" si="7"/>
        <v>Emotional-I</v>
      </c>
      <c r="D479">
        <v>0.43174880003789401</v>
      </c>
      <c r="E479" t="s">
        <v>59</v>
      </c>
      <c r="F479" t="s">
        <v>53</v>
      </c>
      <c r="G479" t="s">
        <v>54</v>
      </c>
      <c r="H479">
        <v>74</v>
      </c>
      <c r="I479">
        <v>14</v>
      </c>
      <c r="J479">
        <v>3</v>
      </c>
      <c r="K479" t="s">
        <v>50</v>
      </c>
      <c r="L479">
        <v>0</v>
      </c>
      <c r="M479">
        <v>1.3914404999813901</v>
      </c>
      <c r="N479" t="s">
        <v>51</v>
      </c>
      <c r="O479">
        <v>3</v>
      </c>
      <c r="P479">
        <v>14</v>
      </c>
      <c r="Q479">
        <v>74</v>
      </c>
      <c r="R479">
        <v>2</v>
      </c>
      <c r="S479">
        <v>100.48693150002499</v>
      </c>
      <c r="X479">
        <v>100.477231400029</v>
      </c>
      <c r="Y479">
        <v>100.48693150002499</v>
      </c>
      <c r="Z479">
        <v>100.9870888</v>
      </c>
      <c r="AA479">
        <v>100.9870888</v>
      </c>
      <c r="AB479">
        <v>100.9870888</v>
      </c>
      <c r="AC479">
        <v>102.392223900009</v>
      </c>
      <c r="AD479" t="s">
        <v>50</v>
      </c>
      <c r="AE479">
        <v>0</v>
      </c>
      <c r="AF479">
        <v>1.3914404999813901</v>
      </c>
      <c r="AG479" t="s">
        <v>51</v>
      </c>
      <c r="AK479" t="s">
        <v>92</v>
      </c>
      <c r="AL479">
        <v>1</v>
      </c>
      <c r="AM479" t="s">
        <v>82</v>
      </c>
      <c r="AN479" t="s">
        <v>43</v>
      </c>
      <c r="AP479" t="s">
        <v>44</v>
      </c>
      <c r="AQ479">
        <v>60.124517886762398</v>
      </c>
      <c r="AR479" t="s">
        <v>83</v>
      </c>
    </row>
    <row r="480" spans="1:44" x14ac:dyDescent="0.3">
      <c r="A480" t="s">
        <v>75</v>
      </c>
      <c r="B480" t="s">
        <v>49</v>
      </c>
      <c r="C480" s="2" t="str">
        <f t="shared" si="7"/>
        <v>Neutral</v>
      </c>
      <c r="D480">
        <v>0.40446829999564199</v>
      </c>
      <c r="E480" t="s">
        <v>47</v>
      </c>
      <c r="F480" t="s">
        <v>61</v>
      </c>
      <c r="G480" t="s">
        <v>63</v>
      </c>
      <c r="H480">
        <v>75</v>
      </c>
      <c r="I480">
        <v>15</v>
      </c>
      <c r="J480">
        <v>3</v>
      </c>
      <c r="K480" t="s">
        <v>63</v>
      </c>
      <c r="L480">
        <v>1</v>
      </c>
      <c r="M480">
        <v>1.03322800004389</v>
      </c>
      <c r="N480" t="s">
        <v>51</v>
      </c>
      <c r="O480">
        <v>3</v>
      </c>
      <c r="P480">
        <v>15</v>
      </c>
      <c r="Q480">
        <v>75</v>
      </c>
      <c r="R480">
        <v>16</v>
      </c>
      <c r="S480">
        <v>102.40441460005199</v>
      </c>
      <c r="X480">
        <v>102.39579030004001</v>
      </c>
      <c r="Y480">
        <v>102.40441460005199</v>
      </c>
      <c r="Z480">
        <v>102.904279300011</v>
      </c>
      <c r="AA480">
        <v>102.904279300011</v>
      </c>
      <c r="AB480">
        <v>102.904279300011</v>
      </c>
      <c r="AC480">
        <v>103.940876700042</v>
      </c>
      <c r="AD480" t="s">
        <v>63</v>
      </c>
      <c r="AE480">
        <v>1</v>
      </c>
      <c r="AF480">
        <v>1.03322800004389</v>
      </c>
      <c r="AG480" t="s">
        <v>51</v>
      </c>
      <c r="AK480" t="s">
        <v>92</v>
      </c>
      <c r="AL480">
        <v>1</v>
      </c>
      <c r="AM480" t="s">
        <v>82</v>
      </c>
      <c r="AN480" t="s">
        <v>43</v>
      </c>
      <c r="AP480" t="s">
        <v>44</v>
      </c>
      <c r="AQ480">
        <v>60.124517886762398</v>
      </c>
      <c r="AR480" t="s">
        <v>83</v>
      </c>
    </row>
    <row r="481" spans="1:44" x14ac:dyDescent="0.3">
      <c r="A481" t="s">
        <v>65</v>
      </c>
      <c r="B481" t="s">
        <v>49</v>
      </c>
      <c r="C481" s="2" t="str">
        <f t="shared" si="7"/>
        <v>Emotional-I</v>
      </c>
      <c r="D481">
        <v>0.87903090001782402</v>
      </c>
      <c r="E481" t="s">
        <v>59</v>
      </c>
      <c r="F481" t="s">
        <v>56</v>
      </c>
      <c r="G481" t="s">
        <v>57</v>
      </c>
      <c r="H481">
        <v>76</v>
      </c>
      <c r="I481">
        <v>16</v>
      </c>
      <c r="J481">
        <v>3</v>
      </c>
      <c r="K481" t="s">
        <v>57</v>
      </c>
      <c r="L481">
        <v>1</v>
      </c>
      <c r="M481">
        <v>0.75509890000102997</v>
      </c>
      <c r="N481" t="s">
        <v>51</v>
      </c>
      <c r="O481">
        <v>3</v>
      </c>
      <c r="P481">
        <v>16</v>
      </c>
      <c r="Q481">
        <v>76</v>
      </c>
      <c r="R481">
        <v>9</v>
      </c>
      <c r="S481">
        <v>103.953439300006</v>
      </c>
      <c r="X481">
        <v>103.943761300004</v>
      </c>
      <c r="Y481">
        <v>103.953439300006</v>
      </c>
      <c r="Z481">
        <v>104.45334270002699</v>
      </c>
      <c r="AA481">
        <v>104.45334270002699</v>
      </c>
      <c r="AB481">
        <v>104.45334270002699</v>
      </c>
      <c r="AC481">
        <v>105.223953200038</v>
      </c>
      <c r="AD481" t="s">
        <v>57</v>
      </c>
      <c r="AE481">
        <v>1</v>
      </c>
      <c r="AF481">
        <v>0.75509890000102997</v>
      </c>
      <c r="AG481" t="s">
        <v>51</v>
      </c>
      <c r="AK481" t="s">
        <v>92</v>
      </c>
      <c r="AL481">
        <v>1</v>
      </c>
      <c r="AM481" t="s">
        <v>82</v>
      </c>
      <c r="AN481" t="s">
        <v>43</v>
      </c>
      <c r="AP481" t="s">
        <v>44</v>
      </c>
      <c r="AQ481">
        <v>60.124517886762398</v>
      </c>
      <c r="AR481" t="s">
        <v>83</v>
      </c>
    </row>
    <row r="482" spans="1:44" x14ac:dyDescent="0.3">
      <c r="A482" t="s">
        <v>77</v>
      </c>
      <c r="B482" t="s">
        <v>62</v>
      </c>
      <c r="C482" s="2" t="str">
        <f t="shared" si="7"/>
        <v>Emotional-C</v>
      </c>
      <c r="D482">
        <v>0.53589310002280399</v>
      </c>
      <c r="E482" t="s">
        <v>59</v>
      </c>
      <c r="F482" t="s">
        <v>61</v>
      </c>
      <c r="G482" t="s">
        <v>63</v>
      </c>
      <c r="H482">
        <v>77</v>
      </c>
      <c r="I482">
        <v>17</v>
      </c>
      <c r="J482">
        <v>3</v>
      </c>
      <c r="K482" t="s">
        <v>63</v>
      </c>
      <c r="L482">
        <v>1</v>
      </c>
      <c r="M482">
        <v>0.635764800012111</v>
      </c>
      <c r="N482" t="s">
        <v>51</v>
      </c>
      <c r="O482">
        <v>3</v>
      </c>
      <c r="P482">
        <v>17</v>
      </c>
      <c r="Q482">
        <v>77</v>
      </c>
      <c r="R482">
        <v>4</v>
      </c>
      <c r="S482">
        <v>105.23705130000501</v>
      </c>
      <c r="X482">
        <v>105.227293600037</v>
      </c>
      <c r="Y482">
        <v>105.23705130000501</v>
      </c>
      <c r="Z482">
        <v>105.737805700046</v>
      </c>
      <c r="AA482">
        <v>105.737805700046</v>
      </c>
      <c r="AB482">
        <v>105.737805700046</v>
      </c>
      <c r="AC482">
        <v>106.375233000027</v>
      </c>
      <c r="AD482" t="s">
        <v>63</v>
      </c>
      <c r="AE482">
        <v>1</v>
      </c>
      <c r="AF482">
        <v>0.635764800012111</v>
      </c>
      <c r="AG482" t="s">
        <v>51</v>
      </c>
      <c r="AK482" t="s">
        <v>92</v>
      </c>
      <c r="AL482">
        <v>1</v>
      </c>
      <c r="AM482" t="s">
        <v>82</v>
      </c>
      <c r="AN482" t="s">
        <v>43</v>
      </c>
      <c r="AP482" t="s">
        <v>44</v>
      </c>
      <c r="AQ482">
        <v>60.124517886762398</v>
      </c>
      <c r="AR482" t="s">
        <v>83</v>
      </c>
    </row>
    <row r="483" spans="1:44" x14ac:dyDescent="0.3">
      <c r="A483" t="s">
        <v>71</v>
      </c>
      <c r="B483" t="s">
        <v>49</v>
      </c>
      <c r="C483" s="2" t="str">
        <f t="shared" si="7"/>
        <v>Neutral</v>
      </c>
      <c r="D483">
        <v>0.57908399996813298</v>
      </c>
      <c r="E483" t="s">
        <v>47</v>
      </c>
      <c r="F483" t="s">
        <v>48</v>
      </c>
      <c r="G483" t="s">
        <v>50</v>
      </c>
      <c r="H483">
        <v>78</v>
      </c>
      <c r="I483">
        <v>18</v>
      </c>
      <c r="J483">
        <v>3</v>
      </c>
      <c r="K483" t="s">
        <v>50</v>
      </c>
      <c r="L483">
        <v>1</v>
      </c>
      <c r="M483">
        <v>0.95504380000056699</v>
      </c>
      <c r="N483" t="s">
        <v>51</v>
      </c>
      <c r="O483">
        <v>3</v>
      </c>
      <c r="P483">
        <v>18</v>
      </c>
      <c r="Q483">
        <v>78</v>
      </c>
      <c r="R483">
        <v>15</v>
      </c>
      <c r="S483">
        <v>106.386674600013</v>
      </c>
      <c r="X483">
        <v>106.37914220005</v>
      </c>
      <c r="Y483">
        <v>106.386674600013</v>
      </c>
      <c r="Z483">
        <v>106.887138999998</v>
      </c>
      <c r="AA483">
        <v>106.887138999998</v>
      </c>
      <c r="AB483">
        <v>106.887138999998</v>
      </c>
      <c r="AC483">
        <v>107.85750280000499</v>
      </c>
      <c r="AD483" t="s">
        <v>50</v>
      </c>
      <c r="AE483">
        <v>1</v>
      </c>
      <c r="AF483">
        <v>0.95504380000056699</v>
      </c>
      <c r="AG483" t="s">
        <v>51</v>
      </c>
      <c r="AK483" t="s">
        <v>92</v>
      </c>
      <c r="AL483">
        <v>1</v>
      </c>
      <c r="AM483" t="s">
        <v>82</v>
      </c>
      <c r="AN483" t="s">
        <v>43</v>
      </c>
      <c r="AP483" t="s">
        <v>44</v>
      </c>
      <c r="AQ483">
        <v>60.124517886762398</v>
      </c>
      <c r="AR483" t="s">
        <v>83</v>
      </c>
    </row>
    <row r="484" spans="1:44" x14ac:dyDescent="0.3">
      <c r="A484" t="s">
        <v>74</v>
      </c>
      <c r="B484" t="s">
        <v>49</v>
      </c>
      <c r="C484" s="2" t="str">
        <f t="shared" si="7"/>
        <v>Neutral</v>
      </c>
      <c r="D484">
        <v>0.61515029997099102</v>
      </c>
      <c r="E484" t="s">
        <v>47</v>
      </c>
      <c r="F484" t="s">
        <v>48</v>
      </c>
      <c r="G484" t="s">
        <v>50</v>
      </c>
      <c r="H484">
        <v>79</v>
      </c>
      <c r="I484">
        <v>19</v>
      </c>
      <c r="J484">
        <v>3</v>
      </c>
      <c r="K484" t="s">
        <v>50</v>
      </c>
      <c r="L484">
        <v>1</v>
      </c>
      <c r="M484">
        <v>0.53102150000631798</v>
      </c>
      <c r="N484" t="s">
        <v>51</v>
      </c>
      <c r="O484">
        <v>3</v>
      </c>
      <c r="P484">
        <v>19</v>
      </c>
      <c r="Q484">
        <v>79</v>
      </c>
      <c r="R484">
        <v>11</v>
      </c>
      <c r="S484">
        <v>107.86994750000299</v>
      </c>
      <c r="X484">
        <v>107.860444799996</v>
      </c>
      <c r="Y484">
        <v>107.86994750000299</v>
      </c>
      <c r="Z484">
        <v>108.37043230002701</v>
      </c>
      <c r="AA484">
        <v>108.37043230002701</v>
      </c>
      <c r="AB484">
        <v>108.37043230002701</v>
      </c>
      <c r="AC484">
        <v>108.907247900031</v>
      </c>
      <c r="AD484" t="s">
        <v>50</v>
      </c>
      <c r="AE484">
        <v>1</v>
      </c>
      <c r="AF484">
        <v>0.53102150000631798</v>
      </c>
      <c r="AG484" t="s">
        <v>51</v>
      </c>
      <c r="AK484" t="s">
        <v>92</v>
      </c>
      <c r="AL484">
        <v>1</v>
      </c>
      <c r="AM484" t="s">
        <v>82</v>
      </c>
      <c r="AN484" t="s">
        <v>43</v>
      </c>
      <c r="AP484" t="s">
        <v>44</v>
      </c>
      <c r="AQ484">
        <v>60.124517886762398</v>
      </c>
      <c r="AR484" t="s">
        <v>83</v>
      </c>
    </row>
    <row r="485" spans="1:44" x14ac:dyDescent="0.3">
      <c r="A485" t="s">
        <v>68</v>
      </c>
      <c r="B485" t="s">
        <v>49</v>
      </c>
      <c r="C485" s="2" t="str">
        <f t="shared" si="7"/>
        <v>Emotional-I</v>
      </c>
      <c r="D485">
        <v>0.88420260004932005</v>
      </c>
      <c r="E485" t="s">
        <v>59</v>
      </c>
      <c r="F485" t="s">
        <v>53</v>
      </c>
      <c r="G485" t="s">
        <v>54</v>
      </c>
      <c r="H485">
        <v>80</v>
      </c>
      <c r="I485">
        <v>0</v>
      </c>
      <c r="J485">
        <v>4</v>
      </c>
      <c r="K485" t="s">
        <v>54</v>
      </c>
      <c r="L485">
        <v>1</v>
      </c>
      <c r="M485">
        <v>0.80804380000336096</v>
      </c>
      <c r="N485" t="s">
        <v>51</v>
      </c>
      <c r="O485">
        <v>4</v>
      </c>
      <c r="P485">
        <v>0</v>
      </c>
      <c r="Q485">
        <v>80</v>
      </c>
      <c r="R485">
        <v>6</v>
      </c>
      <c r="S485">
        <v>108.92058780003499</v>
      </c>
      <c r="X485">
        <v>108.910216100048</v>
      </c>
      <c r="Y485">
        <v>108.92058780003499</v>
      </c>
      <c r="Z485">
        <v>109.420181100023</v>
      </c>
      <c r="AA485">
        <v>109.420181100023</v>
      </c>
      <c r="AB485">
        <v>109.420181100023</v>
      </c>
      <c r="AC485">
        <v>110.240773500001</v>
      </c>
      <c r="AD485" t="s">
        <v>54</v>
      </c>
      <c r="AE485">
        <v>1</v>
      </c>
      <c r="AF485">
        <v>0.80804380000336096</v>
      </c>
      <c r="AG485" t="s">
        <v>51</v>
      </c>
      <c r="AK485" t="s">
        <v>92</v>
      </c>
      <c r="AL485">
        <v>1</v>
      </c>
      <c r="AM485" t="s">
        <v>82</v>
      </c>
      <c r="AN485" t="s">
        <v>43</v>
      </c>
      <c r="AP485" t="s">
        <v>44</v>
      </c>
      <c r="AQ485">
        <v>60.124517886762398</v>
      </c>
      <c r="AR485" t="s">
        <v>83</v>
      </c>
    </row>
    <row r="486" spans="1:44" x14ac:dyDescent="0.3">
      <c r="A486" t="s">
        <v>70</v>
      </c>
      <c r="B486" t="s">
        <v>49</v>
      </c>
      <c r="C486" s="2" t="str">
        <f t="shared" si="7"/>
        <v>Emotional-I</v>
      </c>
      <c r="D486">
        <v>0.64070019999053296</v>
      </c>
      <c r="E486" t="s">
        <v>59</v>
      </c>
      <c r="F486" t="s">
        <v>53</v>
      </c>
      <c r="G486" t="s">
        <v>54</v>
      </c>
      <c r="H486">
        <v>81</v>
      </c>
      <c r="I486">
        <v>1</v>
      </c>
      <c r="J486">
        <v>4</v>
      </c>
      <c r="K486" t="s">
        <v>54</v>
      </c>
      <c r="L486">
        <v>1</v>
      </c>
      <c r="M486">
        <v>0.60465769999427699</v>
      </c>
      <c r="N486" t="s">
        <v>51</v>
      </c>
      <c r="O486">
        <v>4</v>
      </c>
      <c r="P486">
        <v>1</v>
      </c>
      <c r="Q486">
        <v>81</v>
      </c>
      <c r="R486">
        <v>2</v>
      </c>
      <c r="S486">
        <v>110.254299900028</v>
      </c>
      <c r="X486">
        <v>110.244442499999</v>
      </c>
      <c r="Y486">
        <v>110.254299900028</v>
      </c>
      <c r="Z486">
        <v>110.75317380001</v>
      </c>
      <c r="AA486">
        <v>110.75317380001</v>
      </c>
      <c r="AB486">
        <v>110.75317380001</v>
      </c>
      <c r="AC486">
        <v>111.35893000004501</v>
      </c>
      <c r="AD486" t="s">
        <v>54</v>
      </c>
      <c r="AE486">
        <v>1</v>
      </c>
      <c r="AF486">
        <v>0.60465769999427699</v>
      </c>
      <c r="AG486" t="s">
        <v>51</v>
      </c>
      <c r="AK486" t="s">
        <v>92</v>
      </c>
      <c r="AL486">
        <v>1</v>
      </c>
      <c r="AM486" t="s">
        <v>82</v>
      </c>
      <c r="AN486" t="s">
        <v>43</v>
      </c>
      <c r="AP486" t="s">
        <v>44</v>
      </c>
      <c r="AQ486">
        <v>60.124517886762398</v>
      </c>
      <c r="AR486" t="s">
        <v>83</v>
      </c>
    </row>
    <row r="487" spans="1:44" x14ac:dyDescent="0.3">
      <c r="A487" t="s">
        <v>74</v>
      </c>
      <c r="B487" t="s">
        <v>49</v>
      </c>
      <c r="C487" s="2" t="str">
        <f t="shared" si="7"/>
        <v>Neutral</v>
      </c>
      <c r="D487">
        <v>0.94751010002801195</v>
      </c>
      <c r="E487" t="s">
        <v>47</v>
      </c>
      <c r="F487" t="s">
        <v>48</v>
      </c>
      <c r="G487" t="s">
        <v>50</v>
      </c>
      <c r="H487">
        <v>82</v>
      </c>
      <c r="I487">
        <v>2</v>
      </c>
      <c r="J487">
        <v>4</v>
      </c>
      <c r="K487" t="s">
        <v>50</v>
      </c>
      <c r="L487">
        <v>1</v>
      </c>
      <c r="M487">
        <v>1.3249778999597699</v>
      </c>
      <c r="N487" t="s">
        <v>51</v>
      </c>
      <c r="O487">
        <v>4</v>
      </c>
      <c r="P487">
        <v>2</v>
      </c>
      <c r="Q487">
        <v>82</v>
      </c>
      <c r="R487">
        <v>11</v>
      </c>
      <c r="S487">
        <v>111.37011270003801</v>
      </c>
      <c r="X487">
        <v>111.36239510000399</v>
      </c>
      <c r="Y487">
        <v>111.37011270003801</v>
      </c>
      <c r="Z487">
        <v>111.870435800054</v>
      </c>
      <c r="AA487">
        <v>111.870435800054</v>
      </c>
      <c r="AB487">
        <v>111.870435800054</v>
      </c>
      <c r="AC487">
        <v>113.206622300029</v>
      </c>
      <c r="AD487" t="s">
        <v>50</v>
      </c>
      <c r="AE487">
        <v>1</v>
      </c>
      <c r="AF487">
        <v>1.3249778999597699</v>
      </c>
      <c r="AG487" t="s">
        <v>51</v>
      </c>
      <c r="AK487" t="s">
        <v>92</v>
      </c>
      <c r="AL487">
        <v>1</v>
      </c>
      <c r="AM487" t="s">
        <v>82</v>
      </c>
      <c r="AN487" t="s">
        <v>43</v>
      </c>
      <c r="AP487" t="s">
        <v>44</v>
      </c>
      <c r="AQ487">
        <v>60.124517886762398</v>
      </c>
      <c r="AR487" t="s">
        <v>83</v>
      </c>
    </row>
    <row r="488" spans="1:44" hidden="1" x14ac:dyDescent="0.3">
      <c r="A488" t="s">
        <v>77</v>
      </c>
      <c r="B488" t="s">
        <v>62</v>
      </c>
      <c r="C488" s="2" t="str">
        <f t="shared" si="7"/>
        <v>Emotional-C</v>
      </c>
      <c r="D488">
        <v>1.0612978999852201</v>
      </c>
      <c r="E488" t="s">
        <v>59</v>
      </c>
      <c r="F488" t="s">
        <v>61</v>
      </c>
      <c r="G488" t="s">
        <v>63</v>
      </c>
      <c r="H488">
        <v>83</v>
      </c>
      <c r="I488">
        <v>3</v>
      </c>
      <c r="J488">
        <v>4</v>
      </c>
      <c r="K488" t="s">
        <v>57</v>
      </c>
      <c r="L488">
        <v>0</v>
      </c>
      <c r="M488">
        <v>0.78039930004160796</v>
      </c>
      <c r="N488" t="s">
        <v>51</v>
      </c>
      <c r="O488">
        <v>4</v>
      </c>
      <c r="P488">
        <v>3</v>
      </c>
      <c r="Q488">
        <v>83</v>
      </c>
      <c r="R488">
        <v>4</v>
      </c>
      <c r="S488">
        <v>113.219560700003</v>
      </c>
      <c r="X488">
        <v>113.210244000016</v>
      </c>
      <c r="Y488">
        <v>113.219560700003</v>
      </c>
      <c r="Z488">
        <v>113.720532600011</v>
      </c>
      <c r="AA488">
        <v>113.720532600011</v>
      </c>
      <c r="AB488">
        <v>113.720532600011</v>
      </c>
      <c r="AC488">
        <v>114.506904100009</v>
      </c>
      <c r="AD488" t="s">
        <v>57</v>
      </c>
      <c r="AE488">
        <v>0</v>
      </c>
      <c r="AF488">
        <v>0.78039930004160796</v>
      </c>
      <c r="AG488" t="s">
        <v>51</v>
      </c>
      <c r="AK488" t="s">
        <v>92</v>
      </c>
      <c r="AL488">
        <v>1</v>
      </c>
      <c r="AM488" t="s">
        <v>82</v>
      </c>
      <c r="AN488" t="s">
        <v>43</v>
      </c>
      <c r="AP488" t="s">
        <v>44</v>
      </c>
      <c r="AQ488">
        <v>60.124517886762398</v>
      </c>
      <c r="AR488" t="s">
        <v>83</v>
      </c>
    </row>
    <row r="489" spans="1:44" hidden="1" x14ac:dyDescent="0.3">
      <c r="A489" t="s">
        <v>72</v>
      </c>
      <c r="B489" t="s">
        <v>62</v>
      </c>
      <c r="C489" s="2" t="str">
        <f t="shared" si="7"/>
        <v>Emotional-C</v>
      </c>
      <c r="D489">
        <v>0.44341379997786101</v>
      </c>
      <c r="E489" t="s">
        <v>59</v>
      </c>
      <c r="F489" t="s">
        <v>61</v>
      </c>
      <c r="G489" t="s">
        <v>63</v>
      </c>
      <c r="H489">
        <v>84</v>
      </c>
      <c r="I489">
        <v>4</v>
      </c>
      <c r="J489">
        <v>4</v>
      </c>
      <c r="K489" t="s">
        <v>57</v>
      </c>
      <c r="L489">
        <v>0</v>
      </c>
      <c r="M489">
        <v>0.58661230001598597</v>
      </c>
      <c r="N489" t="s">
        <v>51</v>
      </c>
      <c r="O489">
        <v>4</v>
      </c>
      <c r="P489">
        <v>4</v>
      </c>
      <c r="Q489">
        <v>84</v>
      </c>
      <c r="R489">
        <v>8</v>
      </c>
      <c r="S489">
        <v>114.519821399997</v>
      </c>
      <c r="X489">
        <v>114.510063800029</v>
      </c>
      <c r="Y489">
        <v>114.519821399997</v>
      </c>
      <c r="Z489">
        <v>115.01968470000401</v>
      </c>
      <c r="AA489">
        <v>115.01968470000401</v>
      </c>
      <c r="AB489">
        <v>115.01968470000401</v>
      </c>
      <c r="AC489">
        <v>115.607865300029</v>
      </c>
      <c r="AD489" t="s">
        <v>57</v>
      </c>
      <c r="AE489">
        <v>0</v>
      </c>
      <c r="AF489">
        <v>0.58661230001598597</v>
      </c>
      <c r="AG489" t="s">
        <v>51</v>
      </c>
      <c r="AK489" t="s">
        <v>92</v>
      </c>
      <c r="AL489">
        <v>1</v>
      </c>
      <c r="AM489" t="s">
        <v>82</v>
      </c>
      <c r="AN489" t="s">
        <v>43</v>
      </c>
      <c r="AP489" t="s">
        <v>44</v>
      </c>
      <c r="AQ489">
        <v>60.124517886762398</v>
      </c>
      <c r="AR489" t="s">
        <v>83</v>
      </c>
    </row>
    <row r="490" spans="1:44" hidden="1" x14ac:dyDescent="0.3">
      <c r="A490" t="s">
        <v>75</v>
      </c>
      <c r="B490" t="s">
        <v>49</v>
      </c>
      <c r="C490" s="2" t="str">
        <f t="shared" si="7"/>
        <v>Neutral</v>
      </c>
      <c r="D490">
        <v>1.34193769999546</v>
      </c>
      <c r="E490" t="s">
        <v>47</v>
      </c>
      <c r="F490" t="s">
        <v>61</v>
      </c>
      <c r="G490" t="s">
        <v>63</v>
      </c>
      <c r="H490">
        <v>85</v>
      </c>
      <c r="I490">
        <v>5</v>
      </c>
      <c r="J490">
        <v>4</v>
      </c>
      <c r="K490" t="s">
        <v>57</v>
      </c>
      <c r="L490">
        <v>0</v>
      </c>
      <c r="M490">
        <v>0.85966500005451896</v>
      </c>
      <c r="N490" t="s">
        <v>51</v>
      </c>
      <c r="O490">
        <v>4</v>
      </c>
      <c r="P490">
        <v>5</v>
      </c>
      <c r="Q490">
        <v>85</v>
      </c>
      <c r="R490">
        <v>16</v>
      </c>
      <c r="S490">
        <v>115.61955040000601</v>
      </c>
      <c r="X490">
        <v>115.610897000005</v>
      </c>
      <c r="Y490">
        <v>115.61955040000601</v>
      </c>
      <c r="Z490">
        <v>116.120136700046</v>
      </c>
      <c r="AA490">
        <v>116.120136700046</v>
      </c>
      <c r="AB490">
        <v>116.120136700046</v>
      </c>
      <c r="AC490">
        <v>116.99001090001499</v>
      </c>
      <c r="AD490" t="s">
        <v>57</v>
      </c>
      <c r="AE490">
        <v>0</v>
      </c>
      <c r="AF490">
        <v>0.85966500005451896</v>
      </c>
      <c r="AG490" t="s">
        <v>51</v>
      </c>
      <c r="AK490" t="s">
        <v>92</v>
      </c>
      <c r="AL490">
        <v>1</v>
      </c>
      <c r="AM490" t="s">
        <v>82</v>
      </c>
      <c r="AN490" t="s">
        <v>43</v>
      </c>
      <c r="AP490" t="s">
        <v>44</v>
      </c>
      <c r="AQ490">
        <v>60.124517886762398</v>
      </c>
      <c r="AR490" t="s">
        <v>83</v>
      </c>
    </row>
    <row r="491" spans="1:44" x14ac:dyDescent="0.3">
      <c r="A491" t="s">
        <v>55</v>
      </c>
      <c r="B491" t="s">
        <v>49</v>
      </c>
      <c r="C491" s="2" t="str">
        <f t="shared" si="7"/>
        <v>Neutral</v>
      </c>
      <c r="D491">
        <v>0.45578850002493698</v>
      </c>
      <c r="E491" t="s">
        <v>47</v>
      </c>
      <c r="F491" t="s">
        <v>56</v>
      </c>
      <c r="G491" t="s">
        <v>57</v>
      </c>
      <c r="H491">
        <v>86</v>
      </c>
      <c r="I491">
        <v>6</v>
      </c>
      <c r="J491">
        <v>4</v>
      </c>
      <c r="K491" t="s">
        <v>57</v>
      </c>
      <c r="L491">
        <v>1</v>
      </c>
      <c r="M491">
        <v>1.52910440001869</v>
      </c>
      <c r="N491" t="s">
        <v>51</v>
      </c>
      <c r="O491">
        <v>4</v>
      </c>
      <c r="P491">
        <v>6</v>
      </c>
      <c r="Q491">
        <v>86</v>
      </c>
      <c r="R491">
        <v>13</v>
      </c>
      <c r="S491">
        <v>117.003159900021</v>
      </c>
      <c r="X491">
        <v>116.993457000004</v>
      </c>
      <c r="Y491">
        <v>117.003159900021</v>
      </c>
      <c r="Z491">
        <v>117.50329720001901</v>
      </c>
      <c r="AA491">
        <v>117.50329720001901</v>
      </c>
      <c r="AB491">
        <v>117.50329720001901</v>
      </c>
      <c r="AC491">
        <v>119.039924600045</v>
      </c>
      <c r="AD491" t="s">
        <v>57</v>
      </c>
      <c r="AE491">
        <v>1</v>
      </c>
      <c r="AF491">
        <v>1.52910440001869</v>
      </c>
      <c r="AG491" t="s">
        <v>51</v>
      </c>
      <c r="AK491" t="s">
        <v>92</v>
      </c>
      <c r="AL491">
        <v>1</v>
      </c>
      <c r="AM491" t="s">
        <v>82</v>
      </c>
      <c r="AN491" t="s">
        <v>43</v>
      </c>
      <c r="AP491" t="s">
        <v>44</v>
      </c>
      <c r="AQ491">
        <v>60.124517886762398</v>
      </c>
      <c r="AR491" t="s">
        <v>83</v>
      </c>
    </row>
    <row r="492" spans="1:44" x14ac:dyDescent="0.3">
      <c r="A492" t="s">
        <v>52</v>
      </c>
      <c r="B492" t="s">
        <v>49</v>
      </c>
      <c r="C492" s="2" t="str">
        <f t="shared" si="7"/>
        <v>Neutral</v>
      </c>
      <c r="D492">
        <v>1.3771563000045699</v>
      </c>
      <c r="E492" t="s">
        <v>47</v>
      </c>
      <c r="F492" t="s">
        <v>53</v>
      </c>
      <c r="G492" t="s">
        <v>54</v>
      </c>
      <c r="H492">
        <v>87</v>
      </c>
      <c r="I492">
        <v>7</v>
      </c>
      <c r="J492">
        <v>4</v>
      </c>
      <c r="K492" t="s">
        <v>54</v>
      </c>
      <c r="L492">
        <v>1</v>
      </c>
      <c r="M492">
        <v>0.92707370000425704</v>
      </c>
      <c r="N492" t="s">
        <v>51</v>
      </c>
      <c r="O492">
        <v>4</v>
      </c>
      <c r="P492">
        <v>7</v>
      </c>
      <c r="Q492">
        <v>87</v>
      </c>
      <c r="R492">
        <v>14</v>
      </c>
      <c r="S492">
        <v>119.053284100024</v>
      </c>
      <c r="X492">
        <v>119.043236600002</v>
      </c>
      <c r="Y492">
        <v>119.053284100024</v>
      </c>
      <c r="Z492">
        <v>119.552915800013</v>
      </c>
      <c r="AA492">
        <v>119.552915800013</v>
      </c>
      <c r="AB492">
        <v>119.552915800013</v>
      </c>
      <c r="AC492">
        <v>120.489744100021</v>
      </c>
      <c r="AD492" t="s">
        <v>54</v>
      </c>
      <c r="AE492">
        <v>1</v>
      </c>
      <c r="AF492">
        <v>0.92707370000425704</v>
      </c>
      <c r="AG492" t="s">
        <v>51</v>
      </c>
      <c r="AK492" t="s">
        <v>92</v>
      </c>
      <c r="AL492">
        <v>1</v>
      </c>
      <c r="AM492" t="s">
        <v>82</v>
      </c>
      <c r="AN492" t="s">
        <v>43</v>
      </c>
      <c r="AP492" t="s">
        <v>44</v>
      </c>
      <c r="AQ492">
        <v>60.124517886762398</v>
      </c>
      <c r="AR492" t="s">
        <v>83</v>
      </c>
    </row>
    <row r="493" spans="1:44" x14ac:dyDescent="0.3">
      <c r="A493" t="s">
        <v>60</v>
      </c>
      <c r="B493" t="s">
        <v>62</v>
      </c>
      <c r="C493" s="2" t="str">
        <f t="shared" si="7"/>
        <v>Emotional-C</v>
      </c>
      <c r="D493">
        <v>0.88113860000157695</v>
      </c>
      <c r="E493" t="s">
        <v>59</v>
      </c>
      <c r="F493" t="s">
        <v>61</v>
      </c>
      <c r="G493" t="s">
        <v>63</v>
      </c>
      <c r="H493">
        <v>88</v>
      </c>
      <c r="I493">
        <v>8</v>
      </c>
      <c r="J493">
        <v>4</v>
      </c>
      <c r="K493" t="s">
        <v>63</v>
      </c>
      <c r="L493">
        <v>1</v>
      </c>
      <c r="M493">
        <v>0.81331209995551002</v>
      </c>
      <c r="N493" t="s">
        <v>51</v>
      </c>
      <c r="O493">
        <v>4</v>
      </c>
      <c r="P493">
        <v>8</v>
      </c>
      <c r="Q493">
        <v>88</v>
      </c>
      <c r="R493">
        <v>0</v>
      </c>
      <c r="S493">
        <v>120.503184500033</v>
      </c>
      <c r="X493">
        <v>120.49368770001399</v>
      </c>
      <c r="Y493">
        <v>120.503184500033</v>
      </c>
      <c r="Z493">
        <v>121.00279020000001</v>
      </c>
      <c r="AA493">
        <v>121.00279020000001</v>
      </c>
      <c r="AB493">
        <v>121.00279020000001</v>
      </c>
      <c r="AC493">
        <v>121.82329349999701</v>
      </c>
      <c r="AD493" t="s">
        <v>63</v>
      </c>
      <c r="AE493">
        <v>1</v>
      </c>
      <c r="AF493">
        <v>0.81331209995551002</v>
      </c>
      <c r="AG493" t="s">
        <v>51</v>
      </c>
      <c r="AK493" t="s">
        <v>92</v>
      </c>
      <c r="AL493">
        <v>1</v>
      </c>
      <c r="AM493" t="s">
        <v>82</v>
      </c>
      <c r="AN493" t="s">
        <v>43</v>
      </c>
      <c r="AP493" t="s">
        <v>44</v>
      </c>
      <c r="AQ493">
        <v>60.124517886762398</v>
      </c>
      <c r="AR493" t="s">
        <v>83</v>
      </c>
    </row>
    <row r="494" spans="1:44" x14ac:dyDescent="0.3">
      <c r="A494" t="s">
        <v>64</v>
      </c>
      <c r="B494" t="s">
        <v>49</v>
      </c>
      <c r="C494" s="2" t="str">
        <f t="shared" si="7"/>
        <v>Neutral</v>
      </c>
      <c r="D494">
        <v>1.3046284000156401</v>
      </c>
      <c r="E494" t="s">
        <v>47</v>
      </c>
      <c r="F494" t="s">
        <v>53</v>
      </c>
      <c r="G494" t="s">
        <v>54</v>
      </c>
      <c r="H494">
        <v>89</v>
      </c>
      <c r="I494">
        <v>9</v>
      </c>
      <c r="J494">
        <v>4</v>
      </c>
      <c r="K494" t="s">
        <v>54</v>
      </c>
      <c r="L494">
        <v>1</v>
      </c>
      <c r="M494">
        <v>0.63282990001607597</v>
      </c>
      <c r="N494" t="s">
        <v>51</v>
      </c>
      <c r="O494">
        <v>4</v>
      </c>
      <c r="P494">
        <v>9</v>
      </c>
      <c r="Q494">
        <v>89</v>
      </c>
      <c r="R494">
        <v>18</v>
      </c>
      <c r="S494">
        <v>121.836541700002</v>
      </c>
      <c r="X494">
        <v>121.826375100004</v>
      </c>
      <c r="Y494">
        <v>121.836541700002</v>
      </c>
      <c r="Z494">
        <v>122.336349999997</v>
      </c>
      <c r="AA494">
        <v>122.336349999997</v>
      </c>
      <c r="AB494">
        <v>122.336349999997</v>
      </c>
      <c r="AC494">
        <v>122.972986000007</v>
      </c>
      <c r="AD494" t="s">
        <v>54</v>
      </c>
      <c r="AE494">
        <v>1</v>
      </c>
      <c r="AF494">
        <v>0.63282990001607597</v>
      </c>
      <c r="AG494" t="s">
        <v>51</v>
      </c>
      <c r="AK494" t="s">
        <v>92</v>
      </c>
      <c r="AL494">
        <v>1</v>
      </c>
      <c r="AM494" t="s">
        <v>82</v>
      </c>
      <c r="AN494" t="s">
        <v>43</v>
      </c>
      <c r="AP494" t="s">
        <v>44</v>
      </c>
      <c r="AQ494">
        <v>60.124517886762398</v>
      </c>
      <c r="AR494" t="s">
        <v>83</v>
      </c>
    </row>
    <row r="495" spans="1:44" x14ac:dyDescent="0.3">
      <c r="A495" t="s">
        <v>66</v>
      </c>
      <c r="B495" t="s">
        <v>49</v>
      </c>
      <c r="C495" s="2" t="str">
        <f t="shared" si="7"/>
        <v>Neutral</v>
      </c>
      <c r="D495">
        <v>0.87399380002170801</v>
      </c>
      <c r="E495" t="s">
        <v>47</v>
      </c>
      <c r="F495" t="s">
        <v>61</v>
      </c>
      <c r="G495" t="s">
        <v>63</v>
      </c>
      <c r="H495">
        <v>90</v>
      </c>
      <c r="I495">
        <v>10</v>
      </c>
      <c r="J495">
        <v>4</v>
      </c>
      <c r="K495" t="s">
        <v>63</v>
      </c>
      <c r="L495">
        <v>1</v>
      </c>
      <c r="M495">
        <v>0.52545050001936</v>
      </c>
      <c r="N495" t="s">
        <v>51</v>
      </c>
      <c r="O495">
        <v>4</v>
      </c>
      <c r="P495">
        <v>10</v>
      </c>
      <c r="Q495">
        <v>90</v>
      </c>
      <c r="R495">
        <v>12</v>
      </c>
      <c r="S495">
        <v>122.98649979999701</v>
      </c>
      <c r="X495">
        <v>122.976021500013</v>
      </c>
      <c r="Y495">
        <v>122.98649979999701</v>
      </c>
      <c r="Z495">
        <v>123.486424200003</v>
      </c>
      <c r="AA495">
        <v>123.486424200003</v>
      </c>
      <c r="AB495">
        <v>123.486424200003</v>
      </c>
      <c r="AC495">
        <v>124.02310560003301</v>
      </c>
      <c r="AD495" t="s">
        <v>63</v>
      </c>
      <c r="AE495">
        <v>1</v>
      </c>
      <c r="AF495">
        <v>0.52545050001936</v>
      </c>
      <c r="AG495" t="s">
        <v>51</v>
      </c>
      <c r="AK495" t="s">
        <v>92</v>
      </c>
      <c r="AL495">
        <v>1</v>
      </c>
      <c r="AM495" t="s">
        <v>82</v>
      </c>
      <c r="AN495" t="s">
        <v>43</v>
      </c>
      <c r="AP495" t="s">
        <v>44</v>
      </c>
      <c r="AQ495">
        <v>60.124517886762398</v>
      </c>
      <c r="AR495" t="s">
        <v>83</v>
      </c>
    </row>
    <row r="496" spans="1:44" x14ac:dyDescent="0.3">
      <c r="A496" t="s">
        <v>78</v>
      </c>
      <c r="B496" t="s">
        <v>49</v>
      </c>
      <c r="C496" s="2" t="str">
        <f t="shared" si="7"/>
        <v>Neutral</v>
      </c>
      <c r="D496">
        <v>0.45316889998503002</v>
      </c>
      <c r="E496" t="s">
        <v>47</v>
      </c>
      <c r="F496" t="s">
        <v>56</v>
      </c>
      <c r="G496" t="s">
        <v>57</v>
      </c>
      <c r="H496">
        <v>91</v>
      </c>
      <c r="I496">
        <v>11</v>
      </c>
      <c r="J496">
        <v>4</v>
      </c>
      <c r="K496" t="s">
        <v>57</v>
      </c>
      <c r="L496">
        <v>1</v>
      </c>
      <c r="M496">
        <v>0.70810100005473897</v>
      </c>
      <c r="N496" t="s">
        <v>51</v>
      </c>
      <c r="O496">
        <v>4</v>
      </c>
      <c r="P496">
        <v>11</v>
      </c>
      <c r="Q496">
        <v>91</v>
      </c>
      <c r="R496">
        <v>17</v>
      </c>
      <c r="S496">
        <v>124.035906200006</v>
      </c>
      <c r="X496">
        <v>124.025946500012</v>
      </c>
      <c r="Y496">
        <v>124.035906200006</v>
      </c>
      <c r="Z496">
        <v>124.536041900049</v>
      </c>
      <c r="AA496">
        <v>124.536041900049</v>
      </c>
      <c r="AB496">
        <v>124.536041900049</v>
      </c>
      <c r="AC496">
        <v>125.25587870000101</v>
      </c>
      <c r="AD496" t="s">
        <v>57</v>
      </c>
      <c r="AE496">
        <v>1</v>
      </c>
      <c r="AF496">
        <v>0.70810100005473897</v>
      </c>
      <c r="AG496" t="s">
        <v>51</v>
      </c>
      <c r="AK496" t="s">
        <v>92</v>
      </c>
      <c r="AL496">
        <v>1</v>
      </c>
      <c r="AM496" t="s">
        <v>82</v>
      </c>
      <c r="AN496" t="s">
        <v>43</v>
      </c>
      <c r="AP496" t="s">
        <v>44</v>
      </c>
      <c r="AQ496">
        <v>60.124517886762398</v>
      </c>
      <c r="AR496" t="s">
        <v>83</v>
      </c>
    </row>
    <row r="497" spans="1:44" x14ac:dyDescent="0.3">
      <c r="A497" t="s">
        <v>69</v>
      </c>
      <c r="B497" t="s">
        <v>49</v>
      </c>
      <c r="C497" s="2" t="str">
        <f t="shared" si="7"/>
        <v>Emotional-I</v>
      </c>
      <c r="D497">
        <v>1.08514829998603</v>
      </c>
      <c r="E497" t="s">
        <v>59</v>
      </c>
      <c r="F497" t="s">
        <v>56</v>
      </c>
      <c r="G497" t="s">
        <v>57</v>
      </c>
      <c r="H497">
        <v>92</v>
      </c>
      <c r="I497">
        <v>12</v>
      </c>
      <c r="J497">
        <v>4</v>
      </c>
      <c r="K497" t="s">
        <v>57</v>
      </c>
      <c r="L497">
        <v>1</v>
      </c>
      <c r="M497">
        <v>0.768085299991071</v>
      </c>
      <c r="N497" t="s">
        <v>51</v>
      </c>
      <c r="O497">
        <v>4</v>
      </c>
      <c r="P497">
        <v>12</v>
      </c>
      <c r="Q497">
        <v>92</v>
      </c>
      <c r="R497">
        <v>5</v>
      </c>
      <c r="S497">
        <v>125.269148999999</v>
      </c>
      <c r="X497">
        <v>125.258586700016</v>
      </c>
      <c r="Y497">
        <v>125.269148999999</v>
      </c>
      <c r="Z497">
        <v>125.76929550000899</v>
      </c>
      <c r="AA497">
        <v>125.76929550000899</v>
      </c>
      <c r="AB497">
        <v>125.76929550000899</v>
      </c>
      <c r="AC497">
        <v>126.540446099999</v>
      </c>
      <c r="AD497" t="s">
        <v>57</v>
      </c>
      <c r="AE497">
        <v>1</v>
      </c>
      <c r="AF497">
        <v>0.768085299991071</v>
      </c>
      <c r="AG497" t="s">
        <v>51</v>
      </c>
      <c r="AK497" t="s">
        <v>92</v>
      </c>
      <c r="AL497">
        <v>1</v>
      </c>
      <c r="AM497" t="s">
        <v>82</v>
      </c>
      <c r="AN497" t="s">
        <v>43</v>
      </c>
      <c r="AP497" t="s">
        <v>44</v>
      </c>
      <c r="AQ497">
        <v>60.124517886762398</v>
      </c>
      <c r="AR497" t="s">
        <v>83</v>
      </c>
    </row>
    <row r="498" spans="1:44" x14ac:dyDescent="0.3">
      <c r="A498" t="s">
        <v>73</v>
      </c>
      <c r="B498" t="s">
        <v>49</v>
      </c>
      <c r="C498" s="2" t="str">
        <f t="shared" si="7"/>
        <v>Emotional-I</v>
      </c>
      <c r="D498">
        <v>1.73161239997716</v>
      </c>
      <c r="E498" t="s">
        <v>59</v>
      </c>
      <c r="F498" t="s">
        <v>56</v>
      </c>
      <c r="G498" t="s">
        <v>57</v>
      </c>
      <c r="H498">
        <v>93</v>
      </c>
      <c r="I498">
        <v>13</v>
      </c>
      <c r="J498">
        <v>4</v>
      </c>
      <c r="K498" t="s">
        <v>57</v>
      </c>
      <c r="L498">
        <v>1</v>
      </c>
      <c r="M498">
        <v>0.39590020000468901</v>
      </c>
      <c r="N498" t="s">
        <v>51</v>
      </c>
      <c r="O498">
        <v>4</v>
      </c>
      <c r="P498">
        <v>13</v>
      </c>
      <c r="Q498">
        <v>93</v>
      </c>
      <c r="R498">
        <v>1</v>
      </c>
      <c r="S498">
        <v>126.553059600002</v>
      </c>
      <c r="X498">
        <v>126.54291790002</v>
      </c>
      <c r="Y498">
        <v>126.553059600002</v>
      </c>
      <c r="Z498">
        <v>127.052886700024</v>
      </c>
      <c r="AA498">
        <v>127.052886700024</v>
      </c>
      <c r="AB498">
        <v>127.052886700024</v>
      </c>
      <c r="AC498">
        <v>127.457005000032</v>
      </c>
      <c r="AD498" t="s">
        <v>57</v>
      </c>
      <c r="AE498">
        <v>1</v>
      </c>
      <c r="AF498">
        <v>0.39590020000468901</v>
      </c>
      <c r="AG498" t="s">
        <v>51</v>
      </c>
      <c r="AK498" t="s">
        <v>92</v>
      </c>
      <c r="AL498">
        <v>1</v>
      </c>
      <c r="AM498" t="s">
        <v>82</v>
      </c>
      <c r="AN498" t="s">
        <v>43</v>
      </c>
      <c r="AP498" t="s">
        <v>44</v>
      </c>
      <c r="AQ498">
        <v>60.124517886762398</v>
      </c>
      <c r="AR498" t="s">
        <v>83</v>
      </c>
    </row>
    <row r="499" spans="1:44" x14ac:dyDescent="0.3">
      <c r="A499" t="s">
        <v>71</v>
      </c>
      <c r="B499" t="s">
        <v>49</v>
      </c>
      <c r="C499" s="2" t="str">
        <f t="shared" si="7"/>
        <v>Neutral</v>
      </c>
      <c r="D499">
        <v>2.9246858000406002</v>
      </c>
      <c r="E499" t="s">
        <v>47</v>
      </c>
      <c r="F499" t="s">
        <v>48</v>
      </c>
      <c r="G499" t="s">
        <v>50</v>
      </c>
      <c r="H499">
        <v>94</v>
      </c>
      <c r="I499">
        <v>14</v>
      </c>
      <c r="J499">
        <v>4</v>
      </c>
      <c r="K499" t="s">
        <v>50</v>
      </c>
      <c r="L499">
        <v>1</v>
      </c>
      <c r="M499">
        <v>0.70921070000622399</v>
      </c>
      <c r="N499" t="s">
        <v>51</v>
      </c>
      <c r="O499">
        <v>4</v>
      </c>
      <c r="P499">
        <v>14</v>
      </c>
      <c r="Q499">
        <v>94</v>
      </c>
      <c r="R499">
        <v>15</v>
      </c>
      <c r="S499">
        <v>127.469595200032</v>
      </c>
      <c r="X499">
        <v>127.460208200034</v>
      </c>
      <c r="Y499">
        <v>127.469595200032</v>
      </c>
      <c r="Z499">
        <v>127.96953900001201</v>
      </c>
      <c r="AA499">
        <v>127.96953900001201</v>
      </c>
      <c r="AB499">
        <v>127.96953900001201</v>
      </c>
      <c r="AC499">
        <v>128.690941800014</v>
      </c>
      <c r="AD499" t="s">
        <v>50</v>
      </c>
      <c r="AE499">
        <v>1</v>
      </c>
      <c r="AF499">
        <v>0.70921070000622399</v>
      </c>
      <c r="AG499" t="s">
        <v>51</v>
      </c>
      <c r="AK499" t="s">
        <v>92</v>
      </c>
      <c r="AL499">
        <v>1</v>
      </c>
      <c r="AM499" t="s">
        <v>82</v>
      </c>
      <c r="AN499" t="s">
        <v>43</v>
      </c>
      <c r="AP499" t="s">
        <v>44</v>
      </c>
      <c r="AQ499">
        <v>60.124517886762398</v>
      </c>
      <c r="AR499" t="s">
        <v>83</v>
      </c>
    </row>
    <row r="500" spans="1:44" x14ac:dyDescent="0.3">
      <c r="A500" t="s">
        <v>76</v>
      </c>
      <c r="B500" t="s">
        <v>49</v>
      </c>
      <c r="C500" s="2" t="str">
        <f t="shared" si="7"/>
        <v>Emotional-I</v>
      </c>
      <c r="D500">
        <v>0.87632409995421701</v>
      </c>
      <c r="E500" t="s">
        <v>59</v>
      </c>
      <c r="F500" t="s">
        <v>48</v>
      </c>
      <c r="G500" t="s">
        <v>50</v>
      </c>
      <c r="H500">
        <v>95</v>
      </c>
      <c r="I500">
        <v>15</v>
      </c>
      <c r="J500">
        <v>4</v>
      </c>
      <c r="K500" t="s">
        <v>50</v>
      </c>
      <c r="L500">
        <v>1</v>
      </c>
      <c r="M500">
        <v>0.52612180000869502</v>
      </c>
      <c r="N500" t="s">
        <v>51</v>
      </c>
      <c r="O500">
        <v>4</v>
      </c>
      <c r="P500">
        <v>15</v>
      </c>
      <c r="Q500">
        <v>95</v>
      </c>
      <c r="R500">
        <v>3</v>
      </c>
      <c r="S500">
        <v>128.70237290003499</v>
      </c>
      <c r="X500">
        <v>128.694602200004</v>
      </c>
      <c r="Y500">
        <v>128.70237290003499</v>
      </c>
      <c r="Z500">
        <v>129.202620199997</v>
      </c>
      <c r="AA500">
        <v>129.202620199997</v>
      </c>
      <c r="AB500">
        <v>129.202620199997</v>
      </c>
      <c r="AC500">
        <v>129.73940100002801</v>
      </c>
      <c r="AD500" t="s">
        <v>50</v>
      </c>
      <c r="AE500">
        <v>1</v>
      </c>
      <c r="AF500">
        <v>0.52612180000869502</v>
      </c>
      <c r="AG500" t="s">
        <v>51</v>
      </c>
      <c r="AK500" t="s">
        <v>92</v>
      </c>
      <c r="AL500">
        <v>1</v>
      </c>
      <c r="AM500" t="s">
        <v>82</v>
      </c>
      <c r="AN500" t="s">
        <v>43</v>
      </c>
      <c r="AP500" t="s">
        <v>44</v>
      </c>
      <c r="AQ500">
        <v>60.124517886762398</v>
      </c>
      <c r="AR500" t="s">
        <v>83</v>
      </c>
    </row>
    <row r="501" spans="1:44" x14ac:dyDescent="0.3">
      <c r="A501" t="s">
        <v>65</v>
      </c>
      <c r="B501" t="s">
        <v>49</v>
      </c>
      <c r="C501" s="2" t="str">
        <f t="shared" si="7"/>
        <v>Emotional-I</v>
      </c>
      <c r="D501">
        <v>1.42569419997744</v>
      </c>
      <c r="E501" t="s">
        <v>59</v>
      </c>
      <c r="F501" t="s">
        <v>56</v>
      </c>
      <c r="G501" t="s">
        <v>57</v>
      </c>
      <c r="H501">
        <v>96</v>
      </c>
      <c r="I501">
        <v>16</v>
      </c>
      <c r="J501">
        <v>4</v>
      </c>
      <c r="K501" t="s">
        <v>57</v>
      </c>
      <c r="L501">
        <v>1</v>
      </c>
      <c r="M501">
        <v>0.68214809999335502</v>
      </c>
      <c r="N501" t="s">
        <v>51</v>
      </c>
      <c r="O501">
        <v>4</v>
      </c>
      <c r="P501">
        <v>16</v>
      </c>
      <c r="Q501">
        <v>96</v>
      </c>
      <c r="R501">
        <v>9</v>
      </c>
      <c r="S501">
        <v>129.75252650002901</v>
      </c>
      <c r="X501">
        <v>129.74264380004001</v>
      </c>
      <c r="Y501">
        <v>129.75252650002901</v>
      </c>
      <c r="Z501">
        <v>130.252492200001</v>
      </c>
      <c r="AA501">
        <v>130.252492200001</v>
      </c>
      <c r="AB501">
        <v>130.252492200001</v>
      </c>
      <c r="AC501">
        <v>130.940575300017</v>
      </c>
      <c r="AD501" t="s">
        <v>57</v>
      </c>
      <c r="AE501">
        <v>1</v>
      </c>
      <c r="AF501">
        <v>0.68214809999335502</v>
      </c>
      <c r="AG501" t="s">
        <v>51</v>
      </c>
      <c r="AK501" t="s">
        <v>92</v>
      </c>
      <c r="AL501">
        <v>1</v>
      </c>
      <c r="AM501" t="s">
        <v>82</v>
      </c>
      <c r="AN501" t="s">
        <v>43</v>
      </c>
      <c r="AP501" t="s">
        <v>44</v>
      </c>
      <c r="AQ501">
        <v>60.124517886762398</v>
      </c>
      <c r="AR501" t="s">
        <v>83</v>
      </c>
    </row>
    <row r="502" spans="1:44" x14ac:dyDescent="0.3">
      <c r="A502" t="s">
        <v>67</v>
      </c>
      <c r="B502" t="s">
        <v>49</v>
      </c>
      <c r="C502" s="2" t="str">
        <f t="shared" si="7"/>
        <v>Neutral</v>
      </c>
      <c r="D502">
        <v>0.85728140000719499</v>
      </c>
      <c r="E502" t="s">
        <v>47</v>
      </c>
      <c r="F502" t="s">
        <v>53</v>
      </c>
      <c r="G502" t="s">
        <v>54</v>
      </c>
      <c r="H502">
        <v>97</v>
      </c>
      <c r="I502">
        <v>17</v>
      </c>
      <c r="J502">
        <v>4</v>
      </c>
      <c r="K502" t="s">
        <v>54</v>
      </c>
      <c r="L502">
        <v>1</v>
      </c>
      <c r="M502">
        <v>0.51121460000285801</v>
      </c>
      <c r="N502" t="s">
        <v>51</v>
      </c>
      <c r="O502">
        <v>4</v>
      </c>
      <c r="P502">
        <v>17</v>
      </c>
      <c r="Q502">
        <v>97</v>
      </c>
      <c r="R502">
        <v>10</v>
      </c>
      <c r="S502">
        <v>130.953138400043</v>
      </c>
      <c r="X502">
        <v>130.944216100033</v>
      </c>
      <c r="Y502">
        <v>130.953138400043</v>
      </c>
      <c r="Z502">
        <v>131.45249740005201</v>
      </c>
      <c r="AA502">
        <v>131.45249740005201</v>
      </c>
      <c r="AB502">
        <v>131.45249740005201</v>
      </c>
      <c r="AC502">
        <v>131.97243320004699</v>
      </c>
      <c r="AD502" t="s">
        <v>54</v>
      </c>
      <c r="AE502">
        <v>1</v>
      </c>
      <c r="AF502">
        <v>0.51121460000285801</v>
      </c>
      <c r="AG502" t="s">
        <v>51</v>
      </c>
      <c r="AK502" t="s">
        <v>92</v>
      </c>
      <c r="AL502">
        <v>1</v>
      </c>
      <c r="AM502" t="s">
        <v>82</v>
      </c>
      <c r="AN502" t="s">
        <v>43</v>
      </c>
      <c r="AP502" t="s">
        <v>44</v>
      </c>
      <c r="AQ502">
        <v>60.124517886762398</v>
      </c>
      <c r="AR502" t="s">
        <v>83</v>
      </c>
    </row>
    <row r="503" spans="1:44" x14ac:dyDescent="0.3">
      <c r="A503" t="s">
        <v>46</v>
      </c>
      <c r="B503" t="s">
        <v>49</v>
      </c>
      <c r="C503" s="2" t="str">
        <f t="shared" si="7"/>
        <v>Neutral</v>
      </c>
      <c r="D503">
        <v>0.51825569994980403</v>
      </c>
      <c r="E503" t="s">
        <v>47</v>
      </c>
      <c r="F503" t="s">
        <v>48</v>
      </c>
      <c r="G503" t="s">
        <v>50</v>
      </c>
      <c r="H503">
        <v>98</v>
      </c>
      <c r="I503">
        <v>18</v>
      </c>
      <c r="J503">
        <v>4</v>
      </c>
      <c r="K503" t="s">
        <v>50</v>
      </c>
      <c r="L503">
        <v>1</v>
      </c>
      <c r="M503">
        <v>0.65317210002103798</v>
      </c>
      <c r="N503" t="s">
        <v>51</v>
      </c>
      <c r="O503">
        <v>4</v>
      </c>
      <c r="P503">
        <v>18</v>
      </c>
      <c r="Q503">
        <v>98</v>
      </c>
      <c r="R503">
        <v>19</v>
      </c>
      <c r="S503">
        <v>131.98573640000501</v>
      </c>
      <c r="X503">
        <v>131.97591730003401</v>
      </c>
      <c r="Y503">
        <v>131.98573640000501</v>
      </c>
      <c r="Z503">
        <v>132.486633400025</v>
      </c>
      <c r="AA503">
        <v>132.486633400025</v>
      </c>
      <c r="AB503">
        <v>132.486633400025</v>
      </c>
      <c r="AC503">
        <v>133.156341599999</v>
      </c>
      <c r="AD503" t="s">
        <v>50</v>
      </c>
      <c r="AE503">
        <v>1</v>
      </c>
      <c r="AF503">
        <v>0.65317210002103798</v>
      </c>
      <c r="AG503" t="s">
        <v>51</v>
      </c>
      <c r="AK503" t="s">
        <v>92</v>
      </c>
      <c r="AL503">
        <v>1</v>
      </c>
      <c r="AM503" t="s">
        <v>82</v>
      </c>
      <c r="AN503" t="s">
        <v>43</v>
      </c>
      <c r="AP503" t="s">
        <v>44</v>
      </c>
      <c r="AQ503">
        <v>60.124517886762398</v>
      </c>
      <c r="AR503" t="s">
        <v>83</v>
      </c>
    </row>
    <row r="504" spans="1:44" x14ac:dyDescent="0.3">
      <c r="A504" t="s">
        <v>58</v>
      </c>
      <c r="B504" t="s">
        <v>49</v>
      </c>
      <c r="C504" s="2" t="str">
        <f t="shared" si="7"/>
        <v>Emotional-I</v>
      </c>
      <c r="D504">
        <v>1.9529492000001401</v>
      </c>
      <c r="E504" t="s">
        <v>59</v>
      </c>
      <c r="F504" t="s">
        <v>48</v>
      </c>
      <c r="G504" t="s">
        <v>50</v>
      </c>
      <c r="H504">
        <v>99</v>
      </c>
      <c r="I504">
        <v>19</v>
      </c>
      <c r="J504">
        <v>4</v>
      </c>
      <c r="K504" t="s">
        <v>50</v>
      </c>
      <c r="L504">
        <v>1</v>
      </c>
      <c r="M504">
        <v>0.50976139999693204</v>
      </c>
      <c r="N504" t="s">
        <v>51</v>
      </c>
      <c r="O504">
        <v>4</v>
      </c>
      <c r="P504">
        <v>19</v>
      </c>
      <c r="Q504">
        <v>99</v>
      </c>
      <c r="R504">
        <v>7</v>
      </c>
      <c r="S504">
        <v>133.16898590000301</v>
      </c>
      <c r="X504">
        <v>133.15967280004401</v>
      </c>
      <c r="Y504">
        <v>133.16898590000301</v>
      </c>
      <c r="Z504">
        <v>133.668966800032</v>
      </c>
      <c r="AA504">
        <v>133.668966800032</v>
      </c>
      <c r="AB504">
        <v>133.668966800032</v>
      </c>
      <c r="AC504">
        <v>134.18940290005401</v>
      </c>
      <c r="AD504" t="s">
        <v>50</v>
      </c>
      <c r="AE504">
        <v>1</v>
      </c>
      <c r="AF504">
        <v>0.50976139999693204</v>
      </c>
      <c r="AG504" t="s">
        <v>51</v>
      </c>
      <c r="AK504" t="s">
        <v>92</v>
      </c>
      <c r="AL504">
        <v>1</v>
      </c>
      <c r="AM504" t="s">
        <v>82</v>
      </c>
      <c r="AN504" t="s">
        <v>43</v>
      </c>
      <c r="AP504" t="s">
        <v>44</v>
      </c>
      <c r="AQ504">
        <v>60.124517886762398</v>
      </c>
      <c r="AR504" t="s">
        <v>83</v>
      </c>
    </row>
    <row r="505" spans="1:44" x14ac:dyDescent="0.3">
      <c r="A505" t="s">
        <v>65</v>
      </c>
      <c r="B505" t="s">
        <v>49</v>
      </c>
      <c r="C505" s="2" t="str">
        <f t="shared" si="7"/>
        <v>Emotional-I</v>
      </c>
      <c r="D505">
        <v>0.44798490003449798</v>
      </c>
      <c r="E505" t="s">
        <v>59</v>
      </c>
      <c r="F505" t="s">
        <v>56</v>
      </c>
      <c r="G505" t="s">
        <v>57</v>
      </c>
      <c r="H505">
        <v>100</v>
      </c>
      <c r="I505">
        <v>0</v>
      </c>
      <c r="J505">
        <v>5</v>
      </c>
      <c r="K505" t="s">
        <v>57</v>
      </c>
      <c r="L505">
        <v>1</v>
      </c>
      <c r="M505">
        <v>0.65856449998682298</v>
      </c>
      <c r="N505" t="s">
        <v>51</v>
      </c>
      <c r="O505">
        <v>5</v>
      </c>
      <c r="P505">
        <v>0</v>
      </c>
      <c r="Q505">
        <v>100</v>
      </c>
      <c r="R505">
        <v>9</v>
      </c>
      <c r="S505">
        <v>134.202428600052</v>
      </c>
      <c r="X505">
        <v>134.192567600053</v>
      </c>
      <c r="Y505">
        <v>134.202428600052</v>
      </c>
      <c r="Z505">
        <v>134.70189340005101</v>
      </c>
      <c r="AA505">
        <v>134.70189340005101</v>
      </c>
      <c r="AB505">
        <v>134.70189340005101</v>
      </c>
      <c r="AC505">
        <v>135.37295099999699</v>
      </c>
      <c r="AD505" t="s">
        <v>57</v>
      </c>
      <c r="AE505">
        <v>1</v>
      </c>
      <c r="AF505">
        <v>0.65856449998682298</v>
      </c>
      <c r="AG505" t="s">
        <v>51</v>
      </c>
      <c r="AK505" t="s">
        <v>92</v>
      </c>
      <c r="AL505">
        <v>1</v>
      </c>
      <c r="AM505" t="s">
        <v>82</v>
      </c>
      <c r="AN505" t="s">
        <v>43</v>
      </c>
      <c r="AP505" t="s">
        <v>44</v>
      </c>
      <c r="AQ505">
        <v>60.124517886762398</v>
      </c>
      <c r="AR505" t="s">
        <v>83</v>
      </c>
    </row>
    <row r="506" spans="1:44" x14ac:dyDescent="0.3">
      <c r="A506" t="s">
        <v>72</v>
      </c>
      <c r="B506" t="s">
        <v>62</v>
      </c>
      <c r="C506" s="2" t="str">
        <f t="shared" si="7"/>
        <v>Emotional-C</v>
      </c>
      <c r="D506">
        <v>0.92818050005007502</v>
      </c>
      <c r="E506" t="s">
        <v>59</v>
      </c>
      <c r="F506" t="s">
        <v>61</v>
      </c>
      <c r="G506" t="s">
        <v>63</v>
      </c>
      <c r="H506">
        <v>101</v>
      </c>
      <c r="I506">
        <v>1</v>
      </c>
      <c r="J506">
        <v>5</v>
      </c>
      <c r="K506" t="s">
        <v>63</v>
      </c>
      <c r="L506">
        <v>1</v>
      </c>
      <c r="M506">
        <v>0.58950890001142398</v>
      </c>
      <c r="N506" t="s">
        <v>51</v>
      </c>
      <c r="O506">
        <v>5</v>
      </c>
      <c r="P506">
        <v>1</v>
      </c>
      <c r="Q506">
        <v>101</v>
      </c>
      <c r="R506">
        <v>8</v>
      </c>
      <c r="S506">
        <v>135.385339900036</v>
      </c>
      <c r="X506">
        <v>135.376028800033</v>
      </c>
      <c r="Y506">
        <v>135.385339900036</v>
      </c>
      <c r="Z506">
        <v>135.88568570005</v>
      </c>
      <c r="AA506">
        <v>135.88568570005</v>
      </c>
      <c r="AB506">
        <v>135.88568570005</v>
      </c>
      <c r="AC506">
        <v>136.48970289999801</v>
      </c>
      <c r="AD506" t="s">
        <v>63</v>
      </c>
      <c r="AE506">
        <v>1</v>
      </c>
      <c r="AF506">
        <v>0.58950890001142398</v>
      </c>
      <c r="AG506" t="s">
        <v>51</v>
      </c>
      <c r="AK506" t="s">
        <v>92</v>
      </c>
      <c r="AL506">
        <v>1</v>
      </c>
      <c r="AM506" t="s">
        <v>82</v>
      </c>
      <c r="AN506" t="s">
        <v>43</v>
      </c>
      <c r="AP506" t="s">
        <v>44</v>
      </c>
      <c r="AQ506">
        <v>60.124517886762398</v>
      </c>
      <c r="AR506" t="s">
        <v>83</v>
      </c>
    </row>
    <row r="507" spans="1:44" x14ac:dyDescent="0.3">
      <c r="A507" t="s">
        <v>75</v>
      </c>
      <c r="B507" t="s">
        <v>49</v>
      </c>
      <c r="C507" s="2" t="str">
        <f t="shared" si="7"/>
        <v>Neutral</v>
      </c>
      <c r="D507">
        <v>0.53699400002369602</v>
      </c>
      <c r="E507" t="s">
        <v>47</v>
      </c>
      <c r="F507" t="s">
        <v>61</v>
      </c>
      <c r="G507" t="s">
        <v>63</v>
      </c>
      <c r="H507">
        <v>102</v>
      </c>
      <c r="I507">
        <v>2</v>
      </c>
      <c r="J507">
        <v>5</v>
      </c>
      <c r="K507" t="s">
        <v>63</v>
      </c>
      <c r="L507">
        <v>1</v>
      </c>
      <c r="M507">
        <v>0.43174880003789401</v>
      </c>
      <c r="N507" t="s">
        <v>51</v>
      </c>
      <c r="O507">
        <v>5</v>
      </c>
      <c r="P507">
        <v>2</v>
      </c>
      <c r="Q507">
        <v>102</v>
      </c>
      <c r="R507">
        <v>16</v>
      </c>
      <c r="S507">
        <v>136.50197500002099</v>
      </c>
      <c r="X507">
        <v>136.493225600046</v>
      </c>
      <c r="Y507">
        <v>136.50197500002099</v>
      </c>
      <c r="Z507">
        <v>137.00218910002101</v>
      </c>
      <c r="AA507">
        <v>137.00218910002101</v>
      </c>
      <c r="AB507">
        <v>137.00218910002101</v>
      </c>
      <c r="AC507">
        <v>137.43970320001199</v>
      </c>
      <c r="AD507" t="s">
        <v>63</v>
      </c>
      <c r="AE507">
        <v>1</v>
      </c>
      <c r="AF507">
        <v>0.43174880003789401</v>
      </c>
      <c r="AG507" t="s">
        <v>51</v>
      </c>
      <c r="AK507" t="s">
        <v>92</v>
      </c>
      <c r="AL507">
        <v>1</v>
      </c>
      <c r="AM507" t="s">
        <v>82</v>
      </c>
      <c r="AN507" t="s">
        <v>43</v>
      </c>
      <c r="AP507" t="s">
        <v>44</v>
      </c>
      <c r="AQ507">
        <v>60.124517886762398</v>
      </c>
      <c r="AR507" t="s">
        <v>83</v>
      </c>
    </row>
    <row r="508" spans="1:44" x14ac:dyDescent="0.3">
      <c r="A508" t="s">
        <v>77</v>
      </c>
      <c r="B508" t="s">
        <v>62</v>
      </c>
      <c r="C508" s="2" t="str">
        <f t="shared" si="7"/>
        <v>Emotional-C</v>
      </c>
      <c r="D508">
        <v>1.1023363000131201</v>
      </c>
      <c r="E508" t="s">
        <v>59</v>
      </c>
      <c r="F508" t="s">
        <v>61</v>
      </c>
      <c r="G508" t="s">
        <v>63</v>
      </c>
      <c r="H508">
        <v>103</v>
      </c>
      <c r="I508">
        <v>3</v>
      </c>
      <c r="J508">
        <v>5</v>
      </c>
      <c r="K508" t="s">
        <v>63</v>
      </c>
      <c r="L508">
        <v>1</v>
      </c>
      <c r="M508">
        <v>0.40446829999564199</v>
      </c>
      <c r="N508" t="s">
        <v>51</v>
      </c>
      <c r="O508">
        <v>5</v>
      </c>
      <c r="P508">
        <v>3</v>
      </c>
      <c r="Q508">
        <v>103</v>
      </c>
      <c r="R508">
        <v>4</v>
      </c>
      <c r="S508">
        <v>137.45254970004299</v>
      </c>
      <c r="X508">
        <v>137.44234180002201</v>
      </c>
      <c r="Y508">
        <v>137.45254970004299</v>
      </c>
      <c r="Z508">
        <v>137.95228050003001</v>
      </c>
      <c r="AA508">
        <v>137.95228050003001</v>
      </c>
      <c r="AB508">
        <v>137.95228050003001</v>
      </c>
      <c r="AC508">
        <v>138.372730300005</v>
      </c>
      <c r="AD508" t="s">
        <v>63</v>
      </c>
      <c r="AE508">
        <v>1</v>
      </c>
      <c r="AF508">
        <v>0.40446829999564199</v>
      </c>
      <c r="AG508" t="s">
        <v>51</v>
      </c>
      <c r="AK508" t="s">
        <v>92</v>
      </c>
      <c r="AL508">
        <v>1</v>
      </c>
      <c r="AM508" t="s">
        <v>82</v>
      </c>
      <c r="AN508" t="s">
        <v>43</v>
      </c>
      <c r="AP508" t="s">
        <v>44</v>
      </c>
      <c r="AQ508">
        <v>60.124517886762398</v>
      </c>
      <c r="AR508" t="s">
        <v>83</v>
      </c>
    </row>
    <row r="509" spans="1:44" x14ac:dyDescent="0.3">
      <c r="A509" t="s">
        <v>69</v>
      </c>
      <c r="B509" t="s">
        <v>49</v>
      </c>
      <c r="C509" s="2" t="str">
        <f t="shared" si="7"/>
        <v>Emotional-I</v>
      </c>
      <c r="D509">
        <v>0.83752870000898805</v>
      </c>
      <c r="E509" t="s">
        <v>59</v>
      </c>
      <c r="F509" t="s">
        <v>56</v>
      </c>
      <c r="G509" t="s">
        <v>57</v>
      </c>
      <c r="H509">
        <v>104</v>
      </c>
      <c r="I509">
        <v>4</v>
      </c>
      <c r="J509">
        <v>5</v>
      </c>
      <c r="K509" t="s">
        <v>57</v>
      </c>
      <c r="L509">
        <v>1</v>
      </c>
      <c r="M509">
        <v>0.87903090001782402</v>
      </c>
      <c r="N509" t="s">
        <v>51</v>
      </c>
      <c r="O509">
        <v>5</v>
      </c>
      <c r="P509">
        <v>4</v>
      </c>
      <c r="Q509">
        <v>104</v>
      </c>
      <c r="R509">
        <v>5</v>
      </c>
      <c r="S509">
        <v>138.38539100001799</v>
      </c>
      <c r="X509">
        <v>138.37561300001099</v>
      </c>
      <c r="Y509">
        <v>138.38539100001799</v>
      </c>
      <c r="Z509">
        <v>138.88601960003101</v>
      </c>
      <c r="AA509">
        <v>138.88601960003101</v>
      </c>
      <c r="AB509">
        <v>138.88601960003101</v>
      </c>
      <c r="AC509">
        <v>139.77368320000801</v>
      </c>
      <c r="AD509" t="s">
        <v>57</v>
      </c>
      <c r="AE509">
        <v>1</v>
      </c>
      <c r="AF509">
        <v>0.87903090001782402</v>
      </c>
      <c r="AG509" t="s">
        <v>51</v>
      </c>
      <c r="AK509" t="s">
        <v>92</v>
      </c>
      <c r="AL509">
        <v>1</v>
      </c>
      <c r="AM509" t="s">
        <v>82</v>
      </c>
      <c r="AN509" t="s">
        <v>43</v>
      </c>
      <c r="AP509" t="s">
        <v>44</v>
      </c>
      <c r="AQ509">
        <v>60.124517886762398</v>
      </c>
      <c r="AR509" t="s">
        <v>83</v>
      </c>
    </row>
    <row r="510" spans="1:44" hidden="1" x14ac:dyDescent="0.3">
      <c r="A510" t="s">
        <v>74</v>
      </c>
      <c r="B510" t="s">
        <v>49</v>
      </c>
      <c r="C510" s="2" t="str">
        <f t="shared" si="7"/>
        <v>Neutral</v>
      </c>
      <c r="D510">
        <v>0.56267229997320101</v>
      </c>
      <c r="E510" t="s">
        <v>47</v>
      </c>
      <c r="F510" t="s">
        <v>48</v>
      </c>
      <c r="G510" t="s">
        <v>50</v>
      </c>
      <c r="H510">
        <v>105</v>
      </c>
      <c r="I510">
        <v>5</v>
      </c>
      <c r="J510">
        <v>5</v>
      </c>
      <c r="K510" t="s">
        <v>54</v>
      </c>
      <c r="L510">
        <v>0</v>
      </c>
      <c r="M510">
        <v>0.66430850001052</v>
      </c>
      <c r="N510" t="s">
        <v>51</v>
      </c>
      <c r="O510">
        <v>5</v>
      </c>
      <c r="P510">
        <v>5</v>
      </c>
      <c r="Q510">
        <v>105</v>
      </c>
      <c r="R510">
        <v>11</v>
      </c>
      <c r="S510">
        <v>139.785182500025</v>
      </c>
      <c r="X510">
        <v>139.77738660003499</v>
      </c>
      <c r="Y510">
        <v>139.785182500025</v>
      </c>
      <c r="Z510">
        <v>140.285908500023</v>
      </c>
      <c r="AA510">
        <v>140.285908500023</v>
      </c>
      <c r="AB510">
        <v>140.285908500023</v>
      </c>
      <c r="AC510">
        <v>140.956414300017</v>
      </c>
      <c r="AD510" t="s">
        <v>54</v>
      </c>
      <c r="AE510">
        <v>0</v>
      </c>
      <c r="AF510">
        <v>0.66430850001052</v>
      </c>
      <c r="AG510" t="s">
        <v>51</v>
      </c>
      <c r="AK510" t="s">
        <v>92</v>
      </c>
      <c r="AL510">
        <v>1</v>
      </c>
      <c r="AM510" t="s">
        <v>82</v>
      </c>
      <c r="AN510" t="s">
        <v>43</v>
      </c>
      <c r="AP510" t="s">
        <v>44</v>
      </c>
      <c r="AQ510">
        <v>60.124517886762398</v>
      </c>
      <c r="AR510" t="s">
        <v>83</v>
      </c>
    </row>
    <row r="511" spans="1:44" x14ac:dyDescent="0.3">
      <c r="A511" t="s">
        <v>70</v>
      </c>
      <c r="B511" t="s">
        <v>49</v>
      </c>
      <c r="C511" s="2" t="str">
        <f t="shared" si="7"/>
        <v>Emotional-I</v>
      </c>
      <c r="D511">
        <v>0.80883680004626501</v>
      </c>
      <c r="E511" t="s">
        <v>59</v>
      </c>
      <c r="F511" t="s">
        <v>53</v>
      </c>
      <c r="G511" t="s">
        <v>54</v>
      </c>
      <c r="H511">
        <v>106</v>
      </c>
      <c r="I511">
        <v>6</v>
      </c>
      <c r="J511">
        <v>5</v>
      </c>
      <c r="K511" t="s">
        <v>54</v>
      </c>
      <c r="L511">
        <v>1</v>
      </c>
      <c r="M511">
        <v>0.53589310002280399</v>
      </c>
      <c r="N511" t="s">
        <v>51</v>
      </c>
      <c r="O511">
        <v>5</v>
      </c>
      <c r="P511">
        <v>6</v>
      </c>
      <c r="Q511">
        <v>106</v>
      </c>
      <c r="R511">
        <v>2</v>
      </c>
      <c r="S511">
        <v>140.968948399997</v>
      </c>
      <c r="X511">
        <v>140.95950250001599</v>
      </c>
      <c r="Y511">
        <v>140.968948399997</v>
      </c>
      <c r="Z511">
        <v>141.46928940003201</v>
      </c>
      <c r="AA511">
        <v>141.46928940003201</v>
      </c>
      <c r="AB511">
        <v>141.46928940003201</v>
      </c>
      <c r="AC511">
        <v>142.005606600025</v>
      </c>
      <c r="AD511" t="s">
        <v>54</v>
      </c>
      <c r="AE511">
        <v>1</v>
      </c>
      <c r="AF511">
        <v>0.53589310002280399</v>
      </c>
      <c r="AG511" t="s">
        <v>51</v>
      </c>
      <c r="AK511" t="s">
        <v>92</v>
      </c>
      <c r="AL511">
        <v>1</v>
      </c>
      <c r="AM511" t="s">
        <v>82</v>
      </c>
      <c r="AN511" t="s">
        <v>43</v>
      </c>
      <c r="AP511" t="s">
        <v>44</v>
      </c>
      <c r="AQ511">
        <v>60.124517886762398</v>
      </c>
      <c r="AR511" t="s">
        <v>83</v>
      </c>
    </row>
    <row r="512" spans="1:44" x14ac:dyDescent="0.3">
      <c r="A512" t="s">
        <v>58</v>
      </c>
      <c r="B512" t="s">
        <v>49</v>
      </c>
      <c r="C512" s="2" t="str">
        <f t="shared" si="7"/>
        <v>Emotional-I</v>
      </c>
      <c r="D512">
        <v>0.92818739998620003</v>
      </c>
      <c r="E512" t="s">
        <v>59</v>
      </c>
      <c r="F512" t="s">
        <v>48</v>
      </c>
      <c r="G512" t="s">
        <v>50</v>
      </c>
      <c r="H512">
        <v>107</v>
      </c>
      <c r="I512">
        <v>7</v>
      </c>
      <c r="J512">
        <v>5</v>
      </c>
      <c r="K512" t="s">
        <v>50</v>
      </c>
      <c r="L512">
        <v>1</v>
      </c>
      <c r="M512">
        <v>0.57908399996813298</v>
      </c>
      <c r="N512" t="s">
        <v>51</v>
      </c>
      <c r="O512">
        <v>5</v>
      </c>
      <c r="P512">
        <v>7</v>
      </c>
      <c r="Q512">
        <v>107</v>
      </c>
      <c r="R512">
        <v>7</v>
      </c>
      <c r="S512">
        <v>142.01885890000199</v>
      </c>
      <c r="X512">
        <v>142.00932720000799</v>
      </c>
      <c r="Y512">
        <v>142.01885890000199</v>
      </c>
      <c r="Z512">
        <v>142.51850689999901</v>
      </c>
      <c r="AA512">
        <v>142.51850689999901</v>
      </c>
      <c r="AB512">
        <v>142.51850689999901</v>
      </c>
      <c r="AC512">
        <v>143.105427300033</v>
      </c>
      <c r="AD512" t="s">
        <v>50</v>
      </c>
      <c r="AE512">
        <v>1</v>
      </c>
      <c r="AF512">
        <v>0.57908399996813298</v>
      </c>
      <c r="AG512" t="s">
        <v>51</v>
      </c>
      <c r="AK512" t="s">
        <v>92</v>
      </c>
      <c r="AL512">
        <v>1</v>
      </c>
      <c r="AM512" t="s">
        <v>82</v>
      </c>
      <c r="AN512" t="s">
        <v>43</v>
      </c>
      <c r="AP512" t="s">
        <v>44</v>
      </c>
      <c r="AQ512">
        <v>60.124517886762398</v>
      </c>
      <c r="AR512" t="s">
        <v>83</v>
      </c>
    </row>
    <row r="513" spans="1:44" x14ac:dyDescent="0.3">
      <c r="A513" t="s">
        <v>55</v>
      </c>
      <c r="B513" t="s">
        <v>49</v>
      </c>
      <c r="C513" s="2" t="str">
        <f t="shared" si="7"/>
        <v>Neutral</v>
      </c>
      <c r="D513">
        <v>0.51718590001109899</v>
      </c>
      <c r="E513" t="s">
        <v>47</v>
      </c>
      <c r="F513" t="s">
        <v>56</v>
      </c>
      <c r="G513" t="s">
        <v>57</v>
      </c>
      <c r="H513">
        <v>108</v>
      </c>
      <c r="I513">
        <v>8</v>
      </c>
      <c r="J513">
        <v>5</v>
      </c>
      <c r="K513" t="s">
        <v>57</v>
      </c>
      <c r="L513">
        <v>1</v>
      </c>
      <c r="M513">
        <v>0.61515029997099102</v>
      </c>
      <c r="N513" t="s">
        <v>51</v>
      </c>
      <c r="O513">
        <v>5</v>
      </c>
      <c r="P513">
        <v>8</v>
      </c>
      <c r="Q513">
        <v>108</v>
      </c>
      <c r="R513">
        <v>13</v>
      </c>
      <c r="S513">
        <v>143.118610800011</v>
      </c>
      <c r="X513">
        <v>143.10839560005101</v>
      </c>
      <c r="Y513">
        <v>143.118610800011</v>
      </c>
      <c r="Z513">
        <v>143.618946400005</v>
      </c>
      <c r="AA513">
        <v>143.618946400005</v>
      </c>
      <c r="AB513">
        <v>143.618946400005</v>
      </c>
      <c r="AC513">
        <v>144.23938220000099</v>
      </c>
      <c r="AD513" t="s">
        <v>57</v>
      </c>
      <c r="AE513">
        <v>1</v>
      </c>
      <c r="AF513">
        <v>0.61515029997099102</v>
      </c>
      <c r="AG513" t="s">
        <v>51</v>
      </c>
      <c r="AK513" t="s">
        <v>92</v>
      </c>
      <c r="AL513">
        <v>1</v>
      </c>
      <c r="AM513" t="s">
        <v>82</v>
      </c>
      <c r="AN513" t="s">
        <v>43</v>
      </c>
      <c r="AP513" t="s">
        <v>44</v>
      </c>
      <c r="AQ513">
        <v>60.124517886762398</v>
      </c>
      <c r="AR513" t="s">
        <v>83</v>
      </c>
    </row>
    <row r="514" spans="1:44" x14ac:dyDescent="0.3">
      <c r="A514" t="s">
        <v>71</v>
      </c>
      <c r="B514" t="s">
        <v>49</v>
      </c>
      <c r="C514" s="2" t="str">
        <f t="shared" ref="C514:C577" si="8">IF(E514="neutral","Neutral",
IF(AND(E514="emotional",B514="C"),"Emotional-C",
IF(AND(E514="emotional",B514="I"),"Emotional-I","")))</f>
        <v>Neutral</v>
      </c>
      <c r="D514">
        <v>0.66656209999928195</v>
      </c>
      <c r="E514" t="s">
        <v>47</v>
      </c>
      <c r="F514" t="s">
        <v>48</v>
      </c>
      <c r="G514" t="s">
        <v>50</v>
      </c>
      <c r="H514">
        <v>109</v>
      </c>
      <c r="I514">
        <v>9</v>
      </c>
      <c r="J514">
        <v>5</v>
      </c>
      <c r="K514" t="s">
        <v>50</v>
      </c>
      <c r="L514">
        <v>1</v>
      </c>
      <c r="M514">
        <v>0.88420260004932005</v>
      </c>
      <c r="N514" t="s">
        <v>51</v>
      </c>
      <c r="O514">
        <v>5</v>
      </c>
      <c r="P514">
        <v>9</v>
      </c>
      <c r="Q514">
        <v>109</v>
      </c>
      <c r="R514">
        <v>15</v>
      </c>
      <c r="S514">
        <v>144.252052300027</v>
      </c>
      <c r="X514">
        <v>144.243186500039</v>
      </c>
      <c r="Y514">
        <v>144.252052300027</v>
      </c>
      <c r="Z514">
        <v>144.75259730004399</v>
      </c>
      <c r="AA514">
        <v>144.75259730004399</v>
      </c>
      <c r="AB514">
        <v>144.75259730004399</v>
      </c>
      <c r="AC514">
        <v>145.639186500047</v>
      </c>
      <c r="AD514" t="s">
        <v>50</v>
      </c>
      <c r="AE514">
        <v>1</v>
      </c>
      <c r="AF514">
        <v>0.88420260004932005</v>
      </c>
      <c r="AG514" t="s">
        <v>51</v>
      </c>
      <c r="AK514" t="s">
        <v>92</v>
      </c>
      <c r="AL514">
        <v>1</v>
      </c>
      <c r="AM514" t="s">
        <v>82</v>
      </c>
      <c r="AN514" t="s">
        <v>43</v>
      </c>
      <c r="AP514" t="s">
        <v>44</v>
      </c>
      <c r="AQ514">
        <v>60.124517886762398</v>
      </c>
      <c r="AR514" t="s">
        <v>83</v>
      </c>
    </row>
    <row r="515" spans="1:44" x14ac:dyDescent="0.3">
      <c r="A515" t="s">
        <v>60</v>
      </c>
      <c r="B515" t="s">
        <v>62</v>
      </c>
      <c r="C515" s="2" t="str">
        <f t="shared" si="8"/>
        <v>Emotional-C</v>
      </c>
      <c r="D515">
        <v>0.76736759999766901</v>
      </c>
      <c r="E515" t="s">
        <v>59</v>
      </c>
      <c r="F515" t="s">
        <v>61</v>
      </c>
      <c r="G515" t="s">
        <v>63</v>
      </c>
      <c r="H515">
        <v>110</v>
      </c>
      <c r="I515">
        <v>10</v>
      </c>
      <c r="J515">
        <v>5</v>
      </c>
      <c r="K515" t="s">
        <v>63</v>
      </c>
      <c r="L515">
        <v>1</v>
      </c>
      <c r="M515">
        <v>0.64070019999053296</v>
      </c>
      <c r="N515" t="s">
        <v>51</v>
      </c>
      <c r="O515">
        <v>5</v>
      </c>
      <c r="P515">
        <v>10</v>
      </c>
      <c r="Q515">
        <v>110</v>
      </c>
      <c r="R515">
        <v>0</v>
      </c>
      <c r="S515">
        <v>145.65182930003999</v>
      </c>
      <c r="X515">
        <v>145.641704800014</v>
      </c>
      <c r="Y515">
        <v>145.65182930003999</v>
      </c>
      <c r="Z515">
        <v>146.150910200027</v>
      </c>
      <c r="AA515">
        <v>146.150910200027</v>
      </c>
      <c r="AB515">
        <v>146.150910200027</v>
      </c>
      <c r="AC515">
        <v>146.80450620001599</v>
      </c>
      <c r="AD515" t="s">
        <v>63</v>
      </c>
      <c r="AE515">
        <v>1</v>
      </c>
      <c r="AF515">
        <v>0.64070019999053296</v>
      </c>
      <c r="AG515" t="s">
        <v>51</v>
      </c>
      <c r="AK515" t="s">
        <v>92</v>
      </c>
      <c r="AL515">
        <v>1</v>
      </c>
      <c r="AM515" t="s">
        <v>82</v>
      </c>
      <c r="AN515" t="s">
        <v>43</v>
      </c>
      <c r="AP515" t="s">
        <v>44</v>
      </c>
      <c r="AQ515">
        <v>60.124517886762398</v>
      </c>
      <c r="AR515" t="s">
        <v>83</v>
      </c>
    </row>
    <row r="516" spans="1:44" x14ac:dyDescent="0.3">
      <c r="A516" t="s">
        <v>67</v>
      </c>
      <c r="B516" t="s">
        <v>49</v>
      </c>
      <c r="C516" s="2" t="str">
        <f t="shared" si="8"/>
        <v>Neutral</v>
      </c>
      <c r="D516">
        <v>0.47273949999362203</v>
      </c>
      <c r="E516" t="s">
        <v>47</v>
      </c>
      <c r="F516" t="s">
        <v>53</v>
      </c>
      <c r="G516" t="s">
        <v>54</v>
      </c>
      <c r="H516">
        <v>111</v>
      </c>
      <c r="I516">
        <v>11</v>
      </c>
      <c r="J516">
        <v>5</v>
      </c>
      <c r="K516" t="s">
        <v>54</v>
      </c>
      <c r="L516">
        <v>1</v>
      </c>
      <c r="M516">
        <v>0.94751010002801195</v>
      </c>
      <c r="N516" t="s">
        <v>51</v>
      </c>
      <c r="O516">
        <v>5</v>
      </c>
      <c r="P516">
        <v>11</v>
      </c>
      <c r="Q516">
        <v>111</v>
      </c>
      <c r="R516">
        <v>10</v>
      </c>
      <c r="S516">
        <v>146.81730890000401</v>
      </c>
      <c r="X516">
        <v>146.80775220005299</v>
      </c>
      <c r="Y516">
        <v>146.81730890000401</v>
      </c>
      <c r="Z516">
        <v>147.31956700002701</v>
      </c>
      <c r="AA516">
        <v>147.31956700002701</v>
      </c>
      <c r="AB516">
        <v>147.31956700002701</v>
      </c>
      <c r="AC516">
        <v>148.27081060002001</v>
      </c>
      <c r="AD516" t="s">
        <v>54</v>
      </c>
      <c r="AE516">
        <v>1</v>
      </c>
      <c r="AF516">
        <v>0.94751010002801195</v>
      </c>
      <c r="AG516" t="s">
        <v>51</v>
      </c>
      <c r="AK516" t="s">
        <v>92</v>
      </c>
      <c r="AL516">
        <v>1</v>
      </c>
      <c r="AM516" t="s">
        <v>82</v>
      </c>
      <c r="AN516" t="s">
        <v>43</v>
      </c>
      <c r="AP516" t="s">
        <v>44</v>
      </c>
      <c r="AQ516">
        <v>60.124517886762398</v>
      </c>
      <c r="AR516" t="s">
        <v>83</v>
      </c>
    </row>
    <row r="517" spans="1:44" x14ac:dyDescent="0.3">
      <c r="A517" t="s">
        <v>76</v>
      </c>
      <c r="B517" t="s">
        <v>49</v>
      </c>
      <c r="C517" s="2" t="str">
        <f t="shared" si="8"/>
        <v>Emotional-I</v>
      </c>
      <c r="D517">
        <v>0.68490630004089303</v>
      </c>
      <c r="E517" t="s">
        <v>59</v>
      </c>
      <c r="F517" t="s">
        <v>48</v>
      </c>
      <c r="G517" t="s">
        <v>50</v>
      </c>
      <c r="H517">
        <v>112</v>
      </c>
      <c r="I517">
        <v>12</v>
      </c>
      <c r="J517">
        <v>5</v>
      </c>
      <c r="K517" t="s">
        <v>50</v>
      </c>
      <c r="L517">
        <v>1</v>
      </c>
      <c r="M517">
        <v>1.0612978999852201</v>
      </c>
      <c r="N517" t="s">
        <v>51</v>
      </c>
      <c r="O517">
        <v>5</v>
      </c>
      <c r="P517">
        <v>12</v>
      </c>
      <c r="Q517">
        <v>112</v>
      </c>
      <c r="R517">
        <v>3</v>
      </c>
      <c r="S517">
        <v>148.28448600001801</v>
      </c>
      <c r="X517">
        <v>148.27352470002299</v>
      </c>
      <c r="Y517">
        <v>148.28448600001801</v>
      </c>
      <c r="Z517">
        <v>148.78373880003301</v>
      </c>
      <c r="AA517">
        <v>148.78373880003301</v>
      </c>
      <c r="AB517">
        <v>148.78373880003301</v>
      </c>
      <c r="AC517">
        <v>149.85470720002101</v>
      </c>
      <c r="AD517" t="s">
        <v>50</v>
      </c>
      <c r="AE517">
        <v>1</v>
      </c>
      <c r="AF517">
        <v>1.0612978999852201</v>
      </c>
      <c r="AG517" t="s">
        <v>51</v>
      </c>
      <c r="AK517" t="s">
        <v>92</v>
      </c>
      <c r="AL517">
        <v>1</v>
      </c>
      <c r="AM517" t="s">
        <v>82</v>
      </c>
      <c r="AN517" t="s">
        <v>43</v>
      </c>
      <c r="AP517" t="s">
        <v>44</v>
      </c>
      <c r="AQ517">
        <v>60.124517886762398</v>
      </c>
      <c r="AR517" t="s">
        <v>83</v>
      </c>
    </row>
    <row r="518" spans="1:44" x14ac:dyDescent="0.3">
      <c r="A518" t="s">
        <v>46</v>
      </c>
      <c r="B518" t="s">
        <v>49</v>
      </c>
      <c r="C518" s="2" t="str">
        <f t="shared" si="8"/>
        <v>Neutral</v>
      </c>
      <c r="D518">
        <v>0.82329950004350305</v>
      </c>
      <c r="E518" t="s">
        <v>47</v>
      </c>
      <c r="F518" t="s">
        <v>48</v>
      </c>
      <c r="G518" t="s">
        <v>50</v>
      </c>
      <c r="H518">
        <v>113</v>
      </c>
      <c r="I518">
        <v>13</v>
      </c>
      <c r="J518">
        <v>5</v>
      </c>
      <c r="K518" t="s">
        <v>50</v>
      </c>
      <c r="L518">
        <v>1</v>
      </c>
      <c r="M518">
        <v>0.44341379997786101</v>
      </c>
      <c r="N518" t="s">
        <v>51</v>
      </c>
      <c r="O518">
        <v>5</v>
      </c>
      <c r="P518">
        <v>13</v>
      </c>
      <c r="Q518">
        <v>113</v>
      </c>
      <c r="R518">
        <v>19</v>
      </c>
      <c r="S518">
        <v>149.86728130001501</v>
      </c>
      <c r="X518">
        <v>149.857595800014</v>
      </c>
      <c r="Y518">
        <v>149.86728130001501</v>
      </c>
      <c r="Z518">
        <v>150.36730480002001</v>
      </c>
      <c r="AA518">
        <v>150.36730480002001</v>
      </c>
      <c r="AB518">
        <v>150.36730480002001</v>
      </c>
      <c r="AC518">
        <v>150.82110220001701</v>
      </c>
      <c r="AD518" t="s">
        <v>50</v>
      </c>
      <c r="AE518">
        <v>1</v>
      </c>
      <c r="AF518">
        <v>0.44341379997786101</v>
      </c>
      <c r="AG518" t="s">
        <v>51</v>
      </c>
      <c r="AK518" t="s">
        <v>92</v>
      </c>
      <c r="AL518">
        <v>1</v>
      </c>
      <c r="AM518" t="s">
        <v>82</v>
      </c>
      <c r="AN518" t="s">
        <v>43</v>
      </c>
      <c r="AP518" t="s">
        <v>44</v>
      </c>
      <c r="AQ518">
        <v>60.124517886762398</v>
      </c>
      <c r="AR518" t="s">
        <v>83</v>
      </c>
    </row>
    <row r="519" spans="1:44" x14ac:dyDescent="0.3">
      <c r="A519" t="s">
        <v>66</v>
      </c>
      <c r="B519" t="s">
        <v>49</v>
      </c>
      <c r="C519" s="2" t="str">
        <f t="shared" si="8"/>
        <v>Neutral</v>
      </c>
      <c r="D519">
        <v>0.730286500009242</v>
      </c>
      <c r="E519" t="s">
        <v>47</v>
      </c>
      <c r="F519" t="s">
        <v>61</v>
      </c>
      <c r="G519" t="s">
        <v>63</v>
      </c>
      <c r="H519">
        <v>114</v>
      </c>
      <c r="I519">
        <v>14</v>
      </c>
      <c r="J519">
        <v>5</v>
      </c>
      <c r="K519" t="s">
        <v>63</v>
      </c>
      <c r="L519">
        <v>1</v>
      </c>
      <c r="M519">
        <v>1.34193769999546</v>
      </c>
      <c r="N519" t="s">
        <v>51</v>
      </c>
      <c r="O519">
        <v>5</v>
      </c>
      <c r="P519">
        <v>14</v>
      </c>
      <c r="Q519">
        <v>114</v>
      </c>
      <c r="R519">
        <v>12</v>
      </c>
      <c r="S519">
        <v>150.83406290004399</v>
      </c>
      <c r="X519">
        <v>150.823476600053</v>
      </c>
      <c r="Y519">
        <v>150.83406290004399</v>
      </c>
      <c r="Z519">
        <v>151.334182700025</v>
      </c>
      <c r="AA519">
        <v>151.334182700025</v>
      </c>
      <c r="AB519">
        <v>151.334182700025</v>
      </c>
      <c r="AC519">
        <v>152.68847900000401</v>
      </c>
      <c r="AD519" t="s">
        <v>63</v>
      </c>
      <c r="AE519">
        <v>1</v>
      </c>
      <c r="AF519">
        <v>1.34193769999546</v>
      </c>
      <c r="AG519" t="s">
        <v>51</v>
      </c>
      <c r="AK519" t="s">
        <v>92</v>
      </c>
      <c r="AL519">
        <v>1</v>
      </c>
      <c r="AM519" t="s">
        <v>82</v>
      </c>
      <c r="AN519" t="s">
        <v>43</v>
      </c>
      <c r="AP519" t="s">
        <v>44</v>
      </c>
      <c r="AQ519">
        <v>60.124517886762398</v>
      </c>
      <c r="AR519" t="s">
        <v>83</v>
      </c>
    </row>
    <row r="520" spans="1:44" hidden="1" x14ac:dyDescent="0.3">
      <c r="A520" t="s">
        <v>68</v>
      </c>
      <c r="B520" t="s">
        <v>49</v>
      </c>
      <c r="C520" s="2" t="str">
        <f t="shared" si="8"/>
        <v>Emotional-I</v>
      </c>
      <c r="D520">
        <v>0.44067300000460802</v>
      </c>
      <c r="E520" t="s">
        <v>59</v>
      </c>
      <c r="F520" t="s">
        <v>53</v>
      </c>
      <c r="G520" t="s">
        <v>54</v>
      </c>
      <c r="H520">
        <v>115</v>
      </c>
      <c r="I520">
        <v>15</v>
      </c>
      <c r="J520">
        <v>5</v>
      </c>
      <c r="K520" t="s">
        <v>57</v>
      </c>
      <c r="L520">
        <v>0</v>
      </c>
      <c r="M520">
        <v>0.71817649999866195</v>
      </c>
      <c r="N520" t="s">
        <v>51</v>
      </c>
      <c r="O520">
        <v>5</v>
      </c>
      <c r="P520">
        <v>15</v>
      </c>
      <c r="Q520">
        <v>115</v>
      </c>
      <c r="R520">
        <v>6</v>
      </c>
      <c r="S520">
        <v>152.701880100008</v>
      </c>
      <c r="X520">
        <v>152.69104540004599</v>
      </c>
      <c r="Y520">
        <v>152.701880100008</v>
      </c>
      <c r="Z520">
        <v>153.20305599999801</v>
      </c>
      <c r="AA520">
        <v>153.20305599999801</v>
      </c>
      <c r="AB520">
        <v>153.20305599999801</v>
      </c>
      <c r="AC520">
        <v>153.92172240000201</v>
      </c>
      <c r="AD520" t="s">
        <v>57</v>
      </c>
      <c r="AE520">
        <v>0</v>
      </c>
      <c r="AF520">
        <v>0.71817649999866195</v>
      </c>
      <c r="AG520" t="s">
        <v>51</v>
      </c>
      <c r="AK520" t="s">
        <v>92</v>
      </c>
      <c r="AL520">
        <v>1</v>
      </c>
      <c r="AM520" t="s">
        <v>82</v>
      </c>
      <c r="AN520" t="s">
        <v>43</v>
      </c>
      <c r="AP520" t="s">
        <v>44</v>
      </c>
      <c r="AQ520">
        <v>60.124517886762398</v>
      </c>
      <c r="AR520" t="s">
        <v>83</v>
      </c>
    </row>
    <row r="521" spans="1:44" x14ac:dyDescent="0.3">
      <c r="A521" t="s">
        <v>73</v>
      </c>
      <c r="B521" t="s">
        <v>49</v>
      </c>
      <c r="C521" s="2" t="str">
        <f t="shared" si="8"/>
        <v>Emotional-I</v>
      </c>
      <c r="D521">
        <v>0.89186480001080704</v>
      </c>
      <c r="E521" t="s">
        <v>59</v>
      </c>
      <c r="F521" t="s">
        <v>56</v>
      </c>
      <c r="G521" t="s">
        <v>57</v>
      </c>
      <c r="H521">
        <v>116</v>
      </c>
      <c r="I521">
        <v>16</v>
      </c>
      <c r="J521">
        <v>5</v>
      </c>
      <c r="K521" t="s">
        <v>57</v>
      </c>
      <c r="L521">
        <v>1</v>
      </c>
      <c r="M521">
        <v>0.45578850002493698</v>
      </c>
      <c r="N521" t="s">
        <v>51</v>
      </c>
      <c r="O521">
        <v>5</v>
      </c>
      <c r="P521">
        <v>16</v>
      </c>
      <c r="Q521">
        <v>116</v>
      </c>
      <c r="R521">
        <v>1</v>
      </c>
      <c r="S521">
        <v>153.93467490002499</v>
      </c>
      <c r="X521">
        <v>153.924359900003</v>
      </c>
      <c r="Y521">
        <v>153.93467490002499</v>
      </c>
      <c r="Z521">
        <v>154.43481780000701</v>
      </c>
      <c r="AA521">
        <v>154.43481780000701</v>
      </c>
      <c r="AB521">
        <v>154.43481780000701</v>
      </c>
      <c r="AC521">
        <v>154.90612260001899</v>
      </c>
      <c r="AD521" t="s">
        <v>57</v>
      </c>
      <c r="AE521">
        <v>1</v>
      </c>
      <c r="AF521">
        <v>0.45578850002493698</v>
      </c>
      <c r="AG521" t="s">
        <v>51</v>
      </c>
      <c r="AK521" t="s">
        <v>92</v>
      </c>
      <c r="AL521">
        <v>1</v>
      </c>
      <c r="AM521" t="s">
        <v>82</v>
      </c>
      <c r="AN521" t="s">
        <v>43</v>
      </c>
      <c r="AP521" t="s">
        <v>44</v>
      </c>
      <c r="AQ521">
        <v>60.124517886762398</v>
      </c>
      <c r="AR521" t="s">
        <v>83</v>
      </c>
    </row>
    <row r="522" spans="1:44" x14ac:dyDescent="0.3">
      <c r="A522" t="s">
        <v>64</v>
      </c>
      <c r="B522" t="s">
        <v>49</v>
      </c>
      <c r="C522" s="2" t="str">
        <f t="shared" si="8"/>
        <v>Neutral</v>
      </c>
      <c r="D522">
        <v>0.73186890000943094</v>
      </c>
      <c r="E522" t="s">
        <v>47</v>
      </c>
      <c r="F522" t="s">
        <v>53</v>
      </c>
      <c r="G522" t="s">
        <v>54</v>
      </c>
      <c r="H522">
        <v>117</v>
      </c>
      <c r="I522">
        <v>17</v>
      </c>
      <c r="J522">
        <v>5</v>
      </c>
      <c r="K522" t="s">
        <v>54</v>
      </c>
      <c r="L522">
        <v>1</v>
      </c>
      <c r="M522">
        <v>1.3771563000045699</v>
      </c>
      <c r="N522" t="s">
        <v>51</v>
      </c>
      <c r="O522">
        <v>5</v>
      </c>
      <c r="P522">
        <v>17</v>
      </c>
      <c r="Q522">
        <v>117</v>
      </c>
      <c r="R522">
        <v>18</v>
      </c>
      <c r="S522">
        <v>154.918179600033</v>
      </c>
      <c r="X522">
        <v>154.91045360005199</v>
      </c>
      <c r="Y522">
        <v>154.918179600033</v>
      </c>
      <c r="Z522">
        <v>155.418170800025</v>
      </c>
      <c r="AA522">
        <v>155.418170800025</v>
      </c>
      <c r="AB522">
        <v>155.418170800025</v>
      </c>
      <c r="AC522">
        <v>156.80329190002499</v>
      </c>
      <c r="AD522" t="s">
        <v>54</v>
      </c>
      <c r="AE522">
        <v>1</v>
      </c>
      <c r="AF522">
        <v>1.3771563000045699</v>
      </c>
      <c r="AG522" t="s">
        <v>51</v>
      </c>
      <c r="AK522" t="s">
        <v>92</v>
      </c>
      <c r="AL522">
        <v>1</v>
      </c>
      <c r="AM522" t="s">
        <v>82</v>
      </c>
      <c r="AN522" t="s">
        <v>43</v>
      </c>
      <c r="AP522" t="s">
        <v>44</v>
      </c>
      <c r="AQ522">
        <v>60.124517886762398</v>
      </c>
      <c r="AR522" t="s">
        <v>83</v>
      </c>
    </row>
    <row r="523" spans="1:44" x14ac:dyDescent="0.3">
      <c r="A523" t="s">
        <v>78</v>
      </c>
      <c r="B523" t="s">
        <v>49</v>
      </c>
      <c r="C523" s="2" t="str">
        <f t="shared" si="8"/>
        <v>Neutral</v>
      </c>
      <c r="D523">
        <v>0.76266629999736302</v>
      </c>
      <c r="E523" t="s">
        <v>47</v>
      </c>
      <c r="F523" t="s">
        <v>56</v>
      </c>
      <c r="G523" t="s">
        <v>57</v>
      </c>
      <c r="H523">
        <v>118</v>
      </c>
      <c r="I523">
        <v>18</v>
      </c>
      <c r="J523">
        <v>5</v>
      </c>
      <c r="K523" t="s">
        <v>57</v>
      </c>
      <c r="L523">
        <v>1</v>
      </c>
      <c r="M523">
        <v>0.88113860000157695</v>
      </c>
      <c r="N523" t="s">
        <v>51</v>
      </c>
      <c r="O523">
        <v>5</v>
      </c>
      <c r="P523">
        <v>18</v>
      </c>
      <c r="Q523">
        <v>118</v>
      </c>
      <c r="R523">
        <v>17</v>
      </c>
      <c r="S523">
        <v>156.816724200034</v>
      </c>
      <c r="X523">
        <v>156.80573960003599</v>
      </c>
      <c r="Y523">
        <v>156.816724200034</v>
      </c>
      <c r="Z523">
        <v>157.31669440004001</v>
      </c>
      <c r="AA523">
        <v>157.31669440004001</v>
      </c>
      <c r="AB523">
        <v>157.31669440004001</v>
      </c>
      <c r="AC523">
        <v>158.20308639999701</v>
      </c>
      <c r="AD523" t="s">
        <v>57</v>
      </c>
      <c r="AE523">
        <v>1</v>
      </c>
      <c r="AF523">
        <v>0.88113860000157695</v>
      </c>
      <c r="AG523" t="s">
        <v>51</v>
      </c>
      <c r="AK523" t="s">
        <v>92</v>
      </c>
      <c r="AL523">
        <v>1</v>
      </c>
      <c r="AM523" t="s">
        <v>82</v>
      </c>
      <c r="AN523" t="s">
        <v>43</v>
      </c>
      <c r="AP523" t="s">
        <v>44</v>
      </c>
      <c r="AQ523">
        <v>60.124517886762398</v>
      </c>
      <c r="AR523" t="s">
        <v>83</v>
      </c>
    </row>
    <row r="524" spans="1:44" x14ac:dyDescent="0.3">
      <c r="A524" t="s">
        <v>52</v>
      </c>
      <c r="B524" t="s">
        <v>49</v>
      </c>
      <c r="C524" s="2" t="str">
        <f t="shared" si="8"/>
        <v>Neutral</v>
      </c>
      <c r="D524">
        <v>1.00724290002835</v>
      </c>
      <c r="E524" t="s">
        <v>47</v>
      </c>
      <c r="F524" t="s">
        <v>53</v>
      </c>
      <c r="G524" t="s">
        <v>54</v>
      </c>
      <c r="H524">
        <v>119</v>
      </c>
      <c r="I524">
        <v>19</v>
      </c>
      <c r="J524">
        <v>5</v>
      </c>
      <c r="K524" t="s">
        <v>54</v>
      </c>
      <c r="L524">
        <v>1</v>
      </c>
      <c r="M524">
        <v>1.3046284000156401</v>
      </c>
      <c r="N524" t="s">
        <v>51</v>
      </c>
      <c r="O524">
        <v>5</v>
      </c>
      <c r="P524">
        <v>19</v>
      </c>
      <c r="Q524">
        <v>119</v>
      </c>
      <c r="R524">
        <v>14</v>
      </c>
      <c r="S524">
        <v>158.216641700011</v>
      </c>
      <c r="X524">
        <v>158.20541920000599</v>
      </c>
      <c r="Y524">
        <v>158.216641700011</v>
      </c>
      <c r="Z524">
        <v>158.71699640003499</v>
      </c>
      <c r="AA524">
        <v>158.71699640003499</v>
      </c>
      <c r="AB524">
        <v>158.71699640003499</v>
      </c>
      <c r="AC524">
        <v>160.03793849999701</v>
      </c>
      <c r="AD524" t="s">
        <v>54</v>
      </c>
      <c r="AE524">
        <v>1</v>
      </c>
      <c r="AF524">
        <v>1.3046284000156401</v>
      </c>
      <c r="AG524" t="s">
        <v>51</v>
      </c>
      <c r="AK524" t="s">
        <v>92</v>
      </c>
      <c r="AL524">
        <v>1</v>
      </c>
      <c r="AM524" t="s">
        <v>82</v>
      </c>
      <c r="AN524" t="s">
        <v>43</v>
      </c>
      <c r="AP524" t="s">
        <v>44</v>
      </c>
      <c r="AQ524">
        <v>60.124517886762398</v>
      </c>
      <c r="AR524" t="s">
        <v>83</v>
      </c>
    </row>
    <row r="525" spans="1:44" x14ac:dyDescent="0.3">
      <c r="A525" t="s">
        <v>66</v>
      </c>
      <c r="B525" t="s">
        <v>49</v>
      </c>
      <c r="C525" s="2" t="str">
        <f t="shared" si="8"/>
        <v>Neutral</v>
      </c>
      <c r="D525">
        <v>0.67992859997320898</v>
      </c>
      <c r="E525" t="s">
        <v>47</v>
      </c>
      <c r="F525" t="s">
        <v>61</v>
      </c>
      <c r="G525" t="s">
        <v>63</v>
      </c>
      <c r="H525">
        <v>120</v>
      </c>
      <c r="I525">
        <v>0</v>
      </c>
      <c r="J525">
        <v>6</v>
      </c>
      <c r="K525" t="s">
        <v>63</v>
      </c>
      <c r="L525">
        <v>1</v>
      </c>
      <c r="M525">
        <v>0.87399380002170801</v>
      </c>
      <c r="N525" t="s">
        <v>51</v>
      </c>
      <c r="O525">
        <v>6</v>
      </c>
      <c r="P525">
        <v>0</v>
      </c>
      <c r="Q525">
        <v>120</v>
      </c>
      <c r="R525">
        <v>12</v>
      </c>
      <c r="S525">
        <v>160.05096960003701</v>
      </c>
      <c r="X525">
        <v>160.040430300054</v>
      </c>
      <c r="Y525">
        <v>160.05096960003701</v>
      </c>
      <c r="Z525">
        <v>160.55141800001701</v>
      </c>
      <c r="AA525">
        <v>160.55141800001701</v>
      </c>
      <c r="AB525">
        <v>160.55141800001701</v>
      </c>
      <c r="AC525">
        <v>161.43788760004099</v>
      </c>
      <c r="AD525" t="s">
        <v>63</v>
      </c>
      <c r="AE525">
        <v>1</v>
      </c>
      <c r="AF525">
        <v>0.87399380002170801</v>
      </c>
      <c r="AG525" t="s">
        <v>51</v>
      </c>
      <c r="AK525" t="s">
        <v>92</v>
      </c>
      <c r="AL525">
        <v>1</v>
      </c>
      <c r="AM525" t="s">
        <v>82</v>
      </c>
      <c r="AN525" t="s">
        <v>43</v>
      </c>
      <c r="AP525" t="s">
        <v>44</v>
      </c>
      <c r="AQ525">
        <v>60.124517886762398</v>
      </c>
      <c r="AR525" t="s">
        <v>83</v>
      </c>
    </row>
    <row r="526" spans="1:44" x14ac:dyDescent="0.3">
      <c r="A526" t="s">
        <v>60</v>
      </c>
      <c r="B526" t="s">
        <v>62</v>
      </c>
      <c r="C526" s="2" t="str">
        <f t="shared" si="8"/>
        <v>Emotional-C</v>
      </c>
      <c r="D526">
        <v>0.47393770003691299</v>
      </c>
      <c r="E526" t="s">
        <v>59</v>
      </c>
      <c r="F526" t="s">
        <v>61</v>
      </c>
      <c r="G526" t="s">
        <v>63</v>
      </c>
      <c r="H526">
        <v>121</v>
      </c>
      <c r="I526">
        <v>1</v>
      </c>
      <c r="J526">
        <v>6</v>
      </c>
      <c r="K526" t="s">
        <v>63</v>
      </c>
      <c r="L526">
        <v>1</v>
      </c>
      <c r="M526">
        <v>0.45316889998503002</v>
      </c>
      <c r="N526" t="s">
        <v>51</v>
      </c>
      <c r="O526">
        <v>6</v>
      </c>
      <c r="P526">
        <v>1</v>
      </c>
      <c r="Q526">
        <v>121</v>
      </c>
      <c r="R526">
        <v>0</v>
      </c>
      <c r="S526">
        <v>161.45221720001399</v>
      </c>
      <c r="X526">
        <v>161.440570000035</v>
      </c>
      <c r="Y526">
        <v>161.45221720001399</v>
      </c>
      <c r="Z526">
        <v>161.951892900047</v>
      </c>
      <c r="AA526">
        <v>161.951892900047</v>
      </c>
      <c r="AB526">
        <v>161.951892900047</v>
      </c>
      <c r="AC526">
        <v>162.405878700024</v>
      </c>
      <c r="AD526" t="s">
        <v>63</v>
      </c>
      <c r="AE526">
        <v>1</v>
      </c>
      <c r="AF526">
        <v>0.45316889998503002</v>
      </c>
      <c r="AG526" t="s">
        <v>51</v>
      </c>
      <c r="AK526" t="s">
        <v>92</v>
      </c>
      <c r="AL526">
        <v>1</v>
      </c>
      <c r="AM526" t="s">
        <v>82</v>
      </c>
      <c r="AN526" t="s">
        <v>43</v>
      </c>
      <c r="AP526" t="s">
        <v>44</v>
      </c>
      <c r="AQ526">
        <v>60.124517886762398</v>
      </c>
      <c r="AR526" t="s">
        <v>83</v>
      </c>
    </row>
    <row r="527" spans="1:44" x14ac:dyDescent="0.3">
      <c r="A527" t="s">
        <v>64</v>
      </c>
      <c r="B527" t="s">
        <v>49</v>
      </c>
      <c r="C527" s="2" t="str">
        <f t="shared" si="8"/>
        <v>Neutral</v>
      </c>
      <c r="D527">
        <v>0.75118510000174799</v>
      </c>
      <c r="E527" t="s">
        <v>47</v>
      </c>
      <c r="F527" t="s">
        <v>53</v>
      </c>
      <c r="G527" t="s">
        <v>54</v>
      </c>
      <c r="H527">
        <v>122</v>
      </c>
      <c r="I527">
        <v>2</v>
      </c>
      <c r="J527">
        <v>6</v>
      </c>
      <c r="K527" t="s">
        <v>54</v>
      </c>
      <c r="L527">
        <v>1</v>
      </c>
      <c r="M527">
        <v>1.08514829998603</v>
      </c>
      <c r="N527" t="s">
        <v>51</v>
      </c>
      <c r="O527">
        <v>6</v>
      </c>
      <c r="P527">
        <v>2</v>
      </c>
      <c r="Q527">
        <v>122</v>
      </c>
      <c r="R527">
        <v>18</v>
      </c>
      <c r="S527">
        <v>162.418305700004</v>
      </c>
      <c r="X527">
        <v>162.40850930003199</v>
      </c>
      <c r="Y527">
        <v>162.418305700004</v>
      </c>
      <c r="Z527">
        <v>162.91735820000699</v>
      </c>
      <c r="AA527">
        <v>162.91735820000699</v>
      </c>
      <c r="AB527">
        <v>162.91735820000699</v>
      </c>
      <c r="AC527">
        <v>164.00646570004699</v>
      </c>
      <c r="AD527" t="s">
        <v>54</v>
      </c>
      <c r="AE527">
        <v>1</v>
      </c>
      <c r="AF527">
        <v>1.08514829998603</v>
      </c>
      <c r="AG527" t="s">
        <v>51</v>
      </c>
      <c r="AK527" t="s">
        <v>92</v>
      </c>
      <c r="AL527">
        <v>1</v>
      </c>
      <c r="AM527" t="s">
        <v>82</v>
      </c>
      <c r="AN527" t="s">
        <v>43</v>
      </c>
      <c r="AP527" t="s">
        <v>44</v>
      </c>
      <c r="AQ527">
        <v>60.124517886762398</v>
      </c>
      <c r="AR527" t="s">
        <v>83</v>
      </c>
    </row>
    <row r="528" spans="1:44" x14ac:dyDescent="0.3">
      <c r="A528" t="s">
        <v>73</v>
      </c>
      <c r="B528" t="s">
        <v>49</v>
      </c>
      <c r="C528" s="2" t="str">
        <f t="shared" si="8"/>
        <v>Emotional-I</v>
      </c>
      <c r="D528">
        <v>0.50998069997876805</v>
      </c>
      <c r="E528" t="s">
        <v>59</v>
      </c>
      <c r="F528" t="s">
        <v>56</v>
      </c>
      <c r="G528" t="s">
        <v>57</v>
      </c>
      <c r="H528">
        <v>123</v>
      </c>
      <c r="I528">
        <v>3</v>
      </c>
      <c r="J528">
        <v>6</v>
      </c>
      <c r="K528" t="s">
        <v>57</v>
      </c>
      <c r="L528">
        <v>1</v>
      </c>
      <c r="M528">
        <v>1.73161239997716</v>
      </c>
      <c r="N528" t="s">
        <v>51</v>
      </c>
      <c r="O528">
        <v>6</v>
      </c>
      <c r="P528">
        <v>3</v>
      </c>
      <c r="Q528">
        <v>123</v>
      </c>
      <c r="R528">
        <v>1</v>
      </c>
      <c r="S528">
        <v>164.01810180000001</v>
      </c>
      <c r="X528">
        <v>164.00891600002001</v>
      </c>
      <c r="Y528">
        <v>164.01810180000001</v>
      </c>
      <c r="Z528">
        <v>164.51799439999701</v>
      </c>
      <c r="AA528">
        <v>164.51799439999701</v>
      </c>
      <c r="AB528">
        <v>164.51799439999701</v>
      </c>
      <c r="AC528">
        <v>166.256115399999</v>
      </c>
      <c r="AD528" t="s">
        <v>57</v>
      </c>
      <c r="AE528">
        <v>1</v>
      </c>
      <c r="AF528">
        <v>1.73161239997716</v>
      </c>
      <c r="AG528" t="s">
        <v>51</v>
      </c>
      <c r="AK528" t="s">
        <v>92</v>
      </c>
      <c r="AL528">
        <v>1</v>
      </c>
      <c r="AM528" t="s">
        <v>82</v>
      </c>
      <c r="AN528" t="s">
        <v>43</v>
      </c>
      <c r="AP528" t="s">
        <v>44</v>
      </c>
      <c r="AQ528">
        <v>60.124517886762398</v>
      </c>
      <c r="AR528" t="s">
        <v>83</v>
      </c>
    </row>
    <row r="529" spans="1:44" x14ac:dyDescent="0.3">
      <c r="A529" t="s">
        <v>68</v>
      </c>
      <c r="B529" t="s">
        <v>49</v>
      </c>
      <c r="C529" s="2" t="str">
        <f t="shared" si="8"/>
        <v>Emotional-I</v>
      </c>
      <c r="D529">
        <v>0.810545199958141</v>
      </c>
      <c r="E529" t="s">
        <v>59</v>
      </c>
      <c r="F529" t="s">
        <v>53</v>
      </c>
      <c r="G529" t="s">
        <v>54</v>
      </c>
      <c r="H529">
        <v>124</v>
      </c>
      <c r="I529">
        <v>4</v>
      </c>
      <c r="J529">
        <v>6</v>
      </c>
      <c r="K529" t="s">
        <v>54</v>
      </c>
      <c r="L529">
        <v>1</v>
      </c>
      <c r="M529">
        <v>2.9246858000406002</v>
      </c>
      <c r="N529" t="s">
        <v>51</v>
      </c>
      <c r="O529">
        <v>6</v>
      </c>
      <c r="P529">
        <v>4</v>
      </c>
      <c r="Q529">
        <v>124</v>
      </c>
      <c r="R529">
        <v>6</v>
      </c>
      <c r="S529">
        <v>166.26736050000099</v>
      </c>
      <c r="X529">
        <v>166.25970460003001</v>
      </c>
      <c r="Y529">
        <v>166.26736050000099</v>
      </c>
      <c r="Z529">
        <v>166.767938100034</v>
      </c>
      <c r="AA529">
        <v>166.767938100034</v>
      </c>
      <c r="AB529">
        <v>166.767938100034</v>
      </c>
      <c r="AC529">
        <v>169.703065800014</v>
      </c>
      <c r="AD529" t="s">
        <v>54</v>
      </c>
      <c r="AE529">
        <v>1</v>
      </c>
      <c r="AF529">
        <v>2.9246858000406002</v>
      </c>
      <c r="AG529" t="s">
        <v>51</v>
      </c>
      <c r="AK529" t="s">
        <v>92</v>
      </c>
      <c r="AL529">
        <v>1</v>
      </c>
      <c r="AM529" t="s">
        <v>82</v>
      </c>
      <c r="AN529" t="s">
        <v>43</v>
      </c>
      <c r="AP529" t="s">
        <v>44</v>
      </c>
      <c r="AQ529">
        <v>60.124517886762398</v>
      </c>
      <c r="AR529" t="s">
        <v>83</v>
      </c>
    </row>
    <row r="530" spans="1:44" x14ac:dyDescent="0.3">
      <c r="A530" t="s">
        <v>77</v>
      </c>
      <c r="B530" t="s">
        <v>62</v>
      </c>
      <c r="C530" s="2" t="str">
        <f t="shared" si="8"/>
        <v>Emotional-C</v>
      </c>
      <c r="D530">
        <v>0.402098899998236</v>
      </c>
      <c r="E530" t="s">
        <v>59</v>
      </c>
      <c r="F530" t="s">
        <v>61</v>
      </c>
      <c r="G530" t="s">
        <v>63</v>
      </c>
      <c r="H530">
        <v>125</v>
      </c>
      <c r="I530">
        <v>5</v>
      </c>
      <c r="J530">
        <v>6</v>
      </c>
      <c r="K530" t="s">
        <v>63</v>
      </c>
      <c r="L530">
        <v>1</v>
      </c>
      <c r="M530">
        <v>0.87632409995421701</v>
      </c>
      <c r="N530" t="s">
        <v>51</v>
      </c>
      <c r="O530">
        <v>6</v>
      </c>
      <c r="P530">
        <v>5</v>
      </c>
      <c r="Q530">
        <v>125</v>
      </c>
      <c r="R530">
        <v>4</v>
      </c>
      <c r="S530">
        <v>169.716186200035</v>
      </c>
      <c r="X530">
        <v>169.70533190003999</v>
      </c>
      <c r="Y530">
        <v>169.716186200035</v>
      </c>
      <c r="Z530">
        <v>170.215964500035</v>
      </c>
      <c r="AA530">
        <v>170.215964500035</v>
      </c>
      <c r="AB530">
        <v>170.215964500035</v>
      </c>
      <c r="AC530">
        <v>171.102861200051</v>
      </c>
      <c r="AD530" t="s">
        <v>63</v>
      </c>
      <c r="AE530">
        <v>1</v>
      </c>
      <c r="AF530">
        <v>0.87632409995421701</v>
      </c>
      <c r="AG530" t="s">
        <v>51</v>
      </c>
      <c r="AK530" t="s">
        <v>92</v>
      </c>
      <c r="AL530">
        <v>1</v>
      </c>
      <c r="AM530" t="s">
        <v>82</v>
      </c>
      <c r="AN530" t="s">
        <v>43</v>
      </c>
      <c r="AP530" t="s">
        <v>44</v>
      </c>
      <c r="AQ530">
        <v>60.124517886762398</v>
      </c>
      <c r="AR530" t="s">
        <v>83</v>
      </c>
    </row>
    <row r="531" spans="1:44" x14ac:dyDescent="0.3">
      <c r="A531" t="s">
        <v>74</v>
      </c>
      <c r="B531" t="s">
        <v>49</v>
      </c>
      <c r="C531" s="2" t="str">
        <f t="shared" si="8"/>
        <v>Neutral</v>
      </c>
      <c r="D531">
        <v>0.96874199999729105</v>
      </c>
      <c r="E531" t="s">
        <v>47</v>
      </c>
      <c r="F531" t="s">
        <v>48</v>
      </c>
      <c r="G531" t="s">
        <v>50</v>
      </c>
      <c r="H531">
        <v>126</v>
      </c>
      <c r="I531">
        <v>6</v>
      </c>
      <c r="J531">
        <v>6</v>
      </c>
      <c r="K531" t="s">
        <v>50</v>
      </c>
      <c r="L531">
        <v>1</v>
      </c>
      <c r="M531">
        <v>1.42569419997744</v>
      </c>
      <c r="N531" t="s">
        <v>51</v>
      </c>
      <c r="O531">
        <v>6</v>
      </c>
      <c r="P531">
        <v>6</v>
      </c>
      <c r="Q531">
        <v>126</v>
      </c>
      <c r="R531">
        <v>11</v>
      </c>
      <c r="S531">
        <v>171.11613830004299</v>
      </c>
      <c r="X531">
        <v>171.10514729999699</v>
      </c>
      <c r="Y531">
        <v>171.11613830004299</v>
      </c>
      <c r="Z531">
        <v>171.61626540002101</v>
      </c>
      <c r="AA531">
        <v>171.61626540002101</v>
      </c>
      <c r="AB531">
        <v>171.61626540002101</v>
      </c>
      <c r="AC531">
        <v>173.05305909999799</v>
      </c>
      <c r="AD531" t="s">
        <v>50</v>
      </c>
      <c r="AE531">
        <v>1</v>
      </c>
      <c r="AF531">
        <v>1.42569419997744</v>
      </c>
      <c r="AG531" t="s">
        <v>51</v>
      </c>
      <c r="AK531" t="s">
        <v>92</v>
      </c>
      <c r="AL531">
        <v>1</v>
      </c>
      <c r="AM531" t="s">
        <v>82</v>
      </c>
      <c r="AN531" t="s">
        <v>43</v>
      </c>
      <c r="AP531" t="s">
        <v>44</v>
      </c>
      <c r="AQ531">
        <v>60.124517886762398</v>
      </c>
      <c r="AR531" t="s">
        <v>83</v>
      </c>
    </row>
    <row r="532" spans="1:44" x14ac:dyDescent="0.3">
      <c r="A532" t="s">
        <v>52</v>
      </c>
      <c r="B532" t="s">
        <v>49</v>
      </c>
      <c r="C532" s="2" t="str">
        <f t="shared" si="8"/>
        <v>Neutral</v>
      </c>
      <c r="D532">
        <v>0.71844319999217898</v>
      </c>
      <c r="E532" t="s">
        <v>47</v>
      </c>
      <c r="F532" t="s">
        <v>53</v>
      </c>
      <c r="G532" t="s">
        <v>54</v>
      </c>
      <c r="H532">
        <v>127</v>
      </c>
      <c r="I532">
        <v>7</v>
      </c>
      <c r="J532">
        <v>6</v>
      </c>
      <c r="K532" t="s">
        <v>54</v>
      </c>
      <c r="L532">
        <v>1</v>
      </c>
      <c r="M532">
        <v>0.85728140000719499</v>
      </c>
      <c r="N532" t="s">
        <v>51</v>
      </c>
      <c r="O532">
        <v>6</v>
      </c>
      <c r="P532">
        <v>7</v>
      </c>
      <c r="Q532">
        <v>127</v>
      </c>
      <c r="R532">
        <v>14</v>
      </c>
      <c r="S532">
        <v>173.06672709999799</v>
      </c>
      <c r="X532">
        <v>173.056204100023</v>
      </c>
      <c r="Y532">
        <v>173.06672709999799</v>
      </c>
      <c r="Z532">
        <v>173.567324500007</v>
      </c>
      <c r="AA532">
        <v>173.567324500007</v>
      </c>
      <c r="AB532">
        <v>173.567324500007</v>
      </c>
      <c r="AC532">
        <v>174.438759200042</v>
      </c>
      <c r="AD532" t="s">
        <v>54</v>
      </c>
      <c r="AE532">
        <v>1</v>
      </c>
      <c r="AF532">
        <v>0.85728140000719499</v>
      </c>
      <c r="AG532" t="s">
        <v>51</v>
      </c>
      <c r="AK532" t="s">
        <v>92</v>
      </c>
      <c r="AL532">
        <v>1</v>
      </c>
      <c r="AM532" t="s">
        <v>82</v>
      </c>
      <c r="AN532" t="s">
        <v>43</v>
      </c>
      <c r="AP532" t="s">
        <v>44</v>
      </c>
      <c r="AQ532">
        <v>60.124517886762398</v>
      </c>
      <c r="AR532" t="s">
        <v>83</v>
      </c>
    </row>
    <row r="533" spans="1:44" x14ac:dyDescent="0.3">
      <c r="A533" t="s">
        <v>67</v>
      </c>
      <c r="B533" t="s">
        <v>49</v>
      </c>
      <c r="C533" s="2" t="str">
        <f t="shared" si="8"/>
        <v>Neutral</v>
      </c>
      <c r="D533">
        <v>1.0700016000191599</v>
      </c>
      <c r="E533" t="s">
        <v>47</v>
      </c>
      <c r="F533" t="s">
        <v>53</v>
      </c>
      <c r="G533" t="s">
        <v>54</v>
      </c>
      <c r="H533">
        <v>128</v>
      </c>
      <c r="I533">
        <v>8</v>
      </c>
      <c r="J533">
        <v>6</v>
      </c>
      <c r="K533" t="s">
        <v>54</v>
      </c>
      <c r="L533">
        <v>1</v>
      </c>
      <c r="M533">
        <v>0.51825569994980403</v>
      </c>
      <c r="N533" t="s">
        <v>51</v>
      </c>
      <c r="O533">
        <v>6</v>
      </c>
      <c r="P533">
        <v>8</v>
      </c>
      <c r="Q533">
        <v>128</v>
      </c>
      <c r="R533">
        <v>10</v>
      </c>
      <c r="S533">
        <v>174.45194640004701</v>
      </c>
      <c r="X533">
        <v>174.44268580002199</v>
      </c>
      <c r="Y533">
        <v>174.45194640004701</v>
      </c>
      <c r="Z533">
        <v>174.95132810005401</v>
      </c>
      <c r="AA533">
        <v>174.95132810005401</v>
      </c>
      <c r="AB533">
        <v>174.95132810005401</v>
      </c>
      <c r="AC533">
        <v>175.47280490002501</v>
      </c>
      <c r="AD533" t="s">
        <v>54</v>
      </c>
      <c r="AE533">
        <v>1</v>
      </c>
      <c r="AF533">
        <v>0.51825569994980403</v>
      </c>
      <c r="AG533" t="s">
        <v>51</v>
      </c>
      <c r="AK533" t="s">
        <v>92</v>
      </c>
      <c r="AL533">
        <v>1</v>
      </c>
      <c r="AM533" t="s">
        <v>82</v>
      </c>
      <c r="AN533" t="s">
        <v>43</v>
      </c>
      <c r="AP533" t="s">
        <v>44</v>
      </c>
      <c r="AQ533">
        <v>60.124517886762398</v>
      </c>
      <c r="AR533" t="s">
        <v>83</v>
      </c>
    </row>
    <row r="534" spans="1:44" x14ac:dyDescent="0.3">
      <c r="A534" t="s">
        <v>71</v>
      </c>
      <c r="B534" t="s">
        <v>49</v>
      </c>
      <c r="C534" s="2" t="str">
        <f t="shared" si="8"/>
        <v>Neutral</v>
      </c>
      <c r="D534">
        <v>0.391185300017241</v>
      </c>
      <c r="E534" t="s">
        <v>47</v>
      </c>
      <c r="F534" t="s">
        <v>48</v>
      </c>
      <c r="G534" t="s">
        <v>50</v>
      </c>
      <c r="H534">
        <v>129</v>
      </c>
      <c r="I534">
        <v>9</v>
      </c>
      <c r="J534">
        <v>6</v>
      </c>
      <c r="K534" t="s">
        <v>50</v>
      </c>
      <c r="L534">
        <v>1</v>
      </c>
      <c r="M534">
        <v>1.9529492000001401</v>
      </c>
      <c r="N534" t="s">
        <v>51</v>
      </c>
      <c r="O534">
        <v>6</v>
      </c>
      <c r="P534">
        <v>9</v>
      </c>
      <c r="Q534">
        <v>129</v>
      </c>
      <c r="R534">
        <v>15</v>
      </c>
      <c r="S534">
        <v>175.484462900029</v>
      </c>
      <c r="X534">
        <v>175.47751250001599</v>
      </c>
      <c r="Y534">
        <v>175.484462900029</v>
      </c>
      <c r="Z534">
        <v>175.98534040001601</v>
      </c>
      <c r="AA534">
        <v>175.98534040001601</v>
      </c>
      <c r="AB534">
        <v>175.98534040001601</v>
      </c>
      <c r="AC534">
        <v>177.93873260001399</v>
      </c>
      <c r="AD534" t="s">
        <v>50</v>
      </c>
      <c r="AE534">
        <v>1</v>
      </c>
      <c r="AF534">
        <v>1.9529492000001401</v>
      </c>
      <c r="AG534" t="s">
        <v>51</v>
      </c>
      <c r="AK534" t="s">
        <v>92</v>
      </c>
      <c r="AL534">
        <v>1</v>
      </c>
      <c r="AM534" t="s">
        <v>82</v>
      </c>
      <c r="AN534" t="s">
        <v>43</v>
      </c>
      <c r="AP534" t="s">
        <v>44</v>
      </c>
      <c r="AQ534">
        <v>60.124517886762398</v>
      </c>
      <c r="AR534" t="s">
        <v>83</v>
      </c>
    </row>
    <row r="535" spans="1:44" x14ac:dyDescent="0.3">
      <c r="A535" t="s">
        <v>58</v>
      </c>
      <c r="B535" t="s">
        <v>49</v>
      </c>
      <c r="C535" s="2" t="str">
        <f t="shared" si="8"/>
        <v>Emotional-I</v>
      </c>
      <c r="D535">
        <v>0.52599509997526095</v>
      </c>
      <c r="E535" t="s">
        <v>59</v>
      </c>
      <c r="F535" t="s">
        <v>48</v>
      </c>
      <c r="G535" t="s">
        <v>50</v>
      </c>
      <c r="H535">
        <v>130</v>
      </c>
      <c r="I535">
        <v>10</v>
      </c>
      <c r="J535">
        <v>6</v>
      </c>
      <c r="K535" t="s">
        <v>50</v>
      </c>
      <c r="L535">
        <v>1</v>
      </c>
      <c r="M535">
        <v>0.44798490003449798</v>
      </c>
      <c r="N535" t="s">
        <v>51</v>
      </c>
      <c r="O535">
        <v>6</v>
      </c>
      <c r="P535">
        <v>10</v>
      </c>
      <c r="Q535">
        <v>130</v>
      </c>
      <c r="R535">
        <v>7</v>
      </c>
      <c r="S535">
        <v>177.950380499998</v>
      </c>
      <c r="X535">
        <v>177.942140300001</v>
      </c>
      <c r="Y535">
        <v>177.950380499998</v>
      </c>
      <c r="Z535">
        <v>178.45110440003899</v>
      </c>
      <c r="AA535">
        <v>178.45110440003899</v>
      </c>
      <c r="AB535">
        <v>178.45110440003899</v>
      </c>
      <c r="AC535">
        <v>178.90494590002299</v>
      </c>
      <c r="AD535" t="s">
        <v>50</v>
      </c>
      <c r="AE535">
        <v>1</v>
      </c>
      <c r="AF535">
        <v>0.44798490003449798</v>
      </c>
      <c r="AG535" t="s">
        <v>51</v>
      </c>
      <c r="AK535" t="s">
        <v>92</v>
      </c>
      <c r="AL535">
        <v>1</v>
      </c>
      <c r="AM535" t="s">
        <v>82</v>
      </c>
      <c r="AN535" t="s">
        <v>43</v>
      </c>
      <c r="AP535" t="s">
        <v>44</v>
      </c>
      <c r="AQ535">
        <v>60.124517886762398</v>
      </c>
      <c r="AR535" t="s">
        <v>83</v>
      </c>
    </row>
    <row r="536" spans="1:44" x14ac:dyDescent="0.3">
      <c r="A536" t="s">
        <v>75</v>
      </c>
      <c r="B536" t="s">
        <v>49</v>
      </c>
      <c r="C536" s="2" t="str">
        <f t="shared" si="8"/>
        <v>Neutral</v>
      </c>
      <c r="D536">
        <v>0.65590100002009399</v>
      </c>
      <c r="E536" t="s">
        <v>47</v>
      </c>
      <c r="F536" t="s">
        <v>61</v>
      </c>
      <c r="G536" t="s">
        <v>63</v>
      </c>
      <c r="H536">
        <v>131</v>
      </c>
      <c r="I536">
        <v>11</v>
      </c>
      <c r="J536">
        <v>6</v>
      </c>
      <c r="K536" t="s">
        <v>63</v>
      </c>
      <c r="L536">
        <v>1</v>
      </c>
      <c r="M536">
        <v>0.92818050005007502</v>
      </c>
      <c r="N536" t="s">
        <v>51</v>
      </c>
      <c r="O536">
        <v>6</v>
      </c>
      <c r="P536">
        <v>11</v>
      </c>
      <c r="Q536">
        <v>131</v>
      </c>
      <c r="R536">
        <v>16</v>
      </c>
      <c r="S536">
        <v>178.91708360001201</v>
      </c>
      <c r="X536">
        <v>178.90892010001599</v>
      </c>
      <c r="Y536">
        <v>178.91708360001201</v>
      </c>
      <c r="Z536">
        <v>179.41691950004301</v>
      </c>
      <c r="AA536">
        <v>179.41691950004301</v>
      </c>
      <c r="AB536">
        <v>179.41691950004301</v>
      </c>
      <c r="AC536">
        <v>180.35532510001201</v>
      </c>
      <c r="AD536" t="s">
        <v>63</v>
      </c>
      <c r="AE536">
        <v>1</v>
      </c>
      <c r="AF536">
        <v>0.92818050005007502</v>
      </c>
      <c r="AG536" t="s">
        <v>51</v>
      </c>
      <c r="AK536" t="s">
        <v>92</v>
      </c>
      <c r="AL536">
        <v>1</v>
      </c>
      <c r="AM536" t="s">
        <v>82</v>
      </c>
      <c r="AN536" t="s">
        <v>43</v>
      </c>
      <c r="AP536" t="s">
        <v>44</v>
      </c>
      <c r="AQ536">
        <v>60.124517886762398</v>
      </c>
      <c r="AR536" t="s">
        <v>83</v>
      </c>
    </row>
    <row r="537" spans="1:44" x14ac:dyDescent="0.3">
      <c r="A537" t="s">
        <v>72</v>
      </c>
      <c r="B537" t="s">
        <v>62</v>
      </c>
      <c r="C537" s="2" t="str">
        <f t="shared" si="8"/>
        <v>Emotional-C</v>
      </c>
      <c r="D537">
        <v>0.46749140002066197</v>
      </c>
      <c r="E537" t="s">
        <v>59</v>
      </c>
      <c r="F537" t="s">
        <v>61</v>
      </c>
      <c r="G537" t="s">
        <v>63</v>
      </c>
      <c r="H537">
        <v>132</v>
      </c>
      <c r="I537">
        <v>12</v>
      </c>
      <c r="J537">
        <v>6</v>
      </c>
      <c r="K537" t="s">
        <v>63</v>
      </c>
      <c r="L537">
        <v>1</v>
      </c>
      <c r="M537">
        <v>0.53699400002369602</v>
      </c>
      <c r="N537" t="s">
        <v>51</v>
      </c>
      <c r="O537">
        <v>6</v>
      </c>
      <c r="P537">
        <v>12</v>
      </c>
      <c r="Q537">
        <v>132</v>
      </c>
      <c r="R537">
        <v>8</v>
      </c>
      <c r="S537">
        <v>180.367003799998</v>
      </c>
      <c r="X537">
        <v>180.358078500023</v>
      </c>
      <c r="Y537">
        <v>180.367003799998</v>
      </c>
      <c r="Z537">
        <v>180.86783500004</v>
      </c>
      <c r="AA537">
        <v>180.86783500004</v>
      </c>
      <c r="AB537">
        <v>180.86783500004</v>
      </c>
      <c r="AC537">
        <v>181.41916470002599</v>
      </c>
      <c r="AD537" t="s">
        <v>63</v>
      </c>
      <c r="AE537">
        <v>1</v>
      </c>
      <c r="AF537">
        <v>0.53699400002369602</v>
      </c>
      <c r="AG537" t="s">
        <v>51</v>
      </c>
      <c r="AK537" t="s">
        <v>92</v>
      </c>
      <c r="AL537">
        <v>1</v>
      </c>
      <c r="AM537" t="s">
        <v>82</v>
      </c>
      <c r="AN537" t="s">
        <v>43</v>
      </c>
      <c r="AP537" t="s">
        <v>44</v>
      </c>
      <c r="AQ537">
        <v>60.124517886762398</v>
      </c>
      <c r="AR537" t="s">
        <v>83</v>
      </c>
    </row>
    <row r="538" spans="1:44" x14ac:dyDescent="0.3">
      <c r="A538" t="s">
        <v>76</v>
      </c>
      <c r="B538" t="s">
        <v>49</v>
      </c>
      <c r="C538" s="2" t="str">
        <f t="shared" si="8"/>
        <v>Emotional-I</v>
      </c>
      <c r="D538">
        <v>0.58484210004098702</v>
      </c>
      <c r="E538" t="s">
        <v>59</v>
      </c>
      <c r="F538" t="s">
        <v>48</v>
      </c>
      <c r="G538" t="s">
        <v>50</v>
      </c>
      <c r="H538">
        <v>133</v>
      </c>
      <c r="I538">
        <v>13</v>
      </c>
      <c r="J538">
        <v>6</v>
      </c>
      <c r="K538" t="s">
        <v>50</v>
      </c>
      <c r="L538">
        <v>1</v>
      </c>
      <c r="M538">
        <v>1.1023363000131201</v>
      </c>
      <c r="N538" t="s">
        <v>51</v>
      </c>
      <c r="O538">
        <v>6</v>
      </c>
      <c r="P538">
        <v>13</v>
      </c>
      <c r="Q538">
        <v>133</v>
      </c>
      <c r="R538">
        <v>3</v>
      </c>
      <c r="S538">
        <v>181.432248299999</v>
      </c>
      <c r="X538">
        <v>181.42163740005299</v>
      </c>
      <c r="Y538">
        <v>181.432248299999</v>
      </c>
      <c r="Z538">
        <v>181.93243730004099</v>
      </c>
      <c r="AA538">
        <v>181.93243730004099</v>
      </c>
      <c r="AB538">
        <v>181.93243730004099</v>
      </c>
      <c r="AC538">
        <v>183.03641660004999</v>
      </c>
      <c r="AD538" t="s">
        <v>50</v>
      </c>
      <c r="AE538">
        <v>1</v>
      </c>
      <c r="AF538">
        <v>1.1023363000131201</v>
      </c>
      <c r="AG538" t="s">
        <v>51</v>
      </c>
      <c r="AK538" t="s">
        <v>92</v>
      </c>
      <c r="AL538">
        <v>1</v>
      </c>
      <c r="AM538" t="s">
        <v>82</v>
      </c>
      <c r="AN538" t="s">
        <v>43</v>
      </c>
      <c r="AP538" t="s">
        <v>44</v>
      </c>
      <c r="AQ538">
        <v>60.124517886762398</v>
      </c>
      <c r="AR538" t="s">
        <v>83</v>
      </c>
    </row>
    <row r="539" spans="1:44" x14ac:dyDescent="0.3">
      <c r="A539" t="s">
        <v>65</v>
      </c>
      <c r="B539" t="s">
        <v>49</v>
      </c>
      <c r="C539" s="2" t="str">
        <f t="shared" si="8"/>
        <v>Emotional-I</v>
      </c>
      <c r="D539">
        <v>0.67770830000517801</v>
      </c>
      <c r="E539" t="s">
        <v>59</v>
      </c>
      <c r="F539" t="s">
        <v>56</v>
      </c>
      <c r="G539" t="s">
        <v>57</v>
      </c>
      <c r="H539">
        <v>134</v>
      </c>
      <c r="I539">
        <v>14</v>
      </c>
      <c r="J539">
        <v>6</v>
      </c>
      <c r="K539" t="s">
        <v>57</v>
      </c>
      <c r="L539">
        <v>1</v>
      </c>
      <c r="M539">
        <v>0.83752870000898805</v>
      </c>
      <c r="N539" t="s">
        <v>51</v>
      </c>
      <c r="O539">
        <v>6</v>
      </c>
      <c r="P539">
        <v>14</v>
      </c>
      <c r="Q539">
        <v>134</v>
      </c>
      <c r="R539">
        <v>9</v>
      </c>
      <c r="S539">
        <v>183.04923040000699</v>
      </c>
      <c r="X539">
        <v>183.03907340002399</v>
      </c>
      <c r="Y539">
        <v>183.04923040000699</v>
      </c>
      <c r="Z539">
        <v>183.54957060003599</v>
      </c>
      <c r="AA539">
        <v>183.54957060003599</v>
      </c>
      <c r="AB539">
        <v>183.54957060003599</v>
      </c>
      <c r="AC539">
        <v>184.40309640002599</v>
      </c>
      <c r="AD539" t="s">
        <v>57</v>
      </c>
      <c r="AE539">
        <v>1</v>
      </c>
      <c r="AF539">
        <v>0.83752870000898805</v>
      </c>
      <c r="AG539" t="s">
        <v>51</v>
      </c>
      <c r="AK539" t="s">
        <v>92</v>
      </c>
      <c r="AL539">
        <v>1</v>
      </c>
      <c r="AM539" t="s">
        <v>82</v>
      </c>
      <c r="AN539" t="s">
        <v>43</v>
      </c>
      <c r="AP539" t="s">
        <v>44</v>
      </c>
      <c r="AQ539">
        <v>60.124517886762398</v>
      </c>
      <c r="AR539" t="s">
        <v>83</v>
      </c>
    </row>
    <row r="540" spans="1:44" x14ac:dyDescent="0.3">
      <c r="A540" t="s">
        <v>78</v>
      </c>
      <c r="B540" t="s">
        <v>49</v>
      </c>
      <c r="C540" s="2" t="str">
        <f t="shared" si="8"/>
        <v>Neutral</v>
      </c>
      <c r="D540">
        <v>0.62356169999111399</v>
      </c>
      <c r="E540" t="s">
        <v>47</v>
      </c>
      <c r="F540" t="s">
        <v>56</v>
      </c>
      <c r="G540" t="s">
        <v>57</v>
      </c>
      <c r="H540">
        <v>135</v>
      </c>
      <c r="I540">
        <v>15</v>
      </c>
      <c r="J540">
        <v>6</v>
      </c>
      <c r="K540" t="s">
        <v>57</v>
      </c>
      <c r="L540">
        <v>1</v>
      </c>
      <c r="M540">
        <v>0.56267229997320101</v>
      </c>
      <c r="N540" t="s">
        <v>51</v>
      </c>
      <c r="O540">
        <v>6</v>
      </c>
      <c r="P540">
        <v>15</v>
      </c>
      <c r="Q540">
        <v>135</v>
      </c>
      <c r="R540">
        <v>17</v>
      </c>
      <c r="S540">
        <v>184.41569829999901</v>
      </c>
      <c r="X540">
        <v>184.40597550000501</v>
      </c>
      <c r="Y540">
        <v>184.41569829999901</v>
      </c>
      <c r="Z540">
        <v>184.915738700015</v>
      </c>
      <c r="AA540">
        <v>184.915738700015</v>
      </c>
      <c r="AB540">
        <v>184.915738700015</v>
      </c>
      <c r="AC540">
        <v>185.48539830005001</v>
      </c>
      <c r="AD540" t="s">
        <v>57</v>
      </c>
      <c r="AE540">
        <v>1</v>
      </c>
      <c r="AF540">
        <v>0.56267229997320101</v>
      </c>
      <c r="AG540" t="s">
        <v>51</v>
      </c>
      <c r="AK540" t="s">
        <v>92</v>
      </c>
      <c r="AL540">
        <v>1</v>
      </c>
      <c r="AM540" t="s">
        <v>82</v>
      </c>
      <c r="AN540" t="s">
        <v>43</v>
      </c>
      <c r="AP540" t="s">
        <v>44</v>
      </c>
      <c r="AQ540">
        <v>60.124517886762398</v>
      </c>
      <c r="AR540" t="s">
        <v>83</v>
      </c>
    </row>
    <row r="541" spans="1:44" x14ac:dyDescent="0.3">
      <c r="A541" t="s">
        <v>46</v>
      </c>
      <c r="B541" t="s">
        <v>49</v>
      </c>
      <c r="C541" s="2" t="str">
        <f t="shared" si="8"/>
        <v>Neutral</v>
      </c>
      <c r="D541">
        <v>0.37163529999088402</v>
      </c>
      <c r="E541" t="s">
        <v>47</v>
      </c>
      <c r="F541" t="s">
        <v>48</v>
      </c>
      <c r="G541" t="s">
        <v>50</v>
      </c>
      <c r="H541">
        <v>136</v>
      </c>
      <c r="I541">
        <v>16</v>
      </c>
      <c r="J541">
        <v>6</v>
      </c>
      <c r="K541" t="s">
        <v>50</v>
      </c>
      <c r="L541">
        <v>1</v>
      </c>
      <c r="M541">
        <v>0.80883680004626501</v>
      </c>
      <c r="N541" t="s">
        <v>51</v>
      </c>
      <c r="O541">
        <v>6</v>
      </c>
      <c r="P541">
        <v>16</v>
      </c>
      <c r="Q541">
        <v>136</v>
      </c>
      <c r="R541">
        <v>19</v>
      </c>
      <c r="S541">
        <v>185.49937000003399</v>
      </c>
      <c r="X541">
        <v>185.48788170004201</v>
      </c>
      <c r="Y541">
        <v>185.49937000003399</v>
      </c>
      <c r="Z541">
        <v>185.99913730000799</v>
      </c>
      <c r="AA541">
        <v>185.99913730000799</v>
      </c>
      <c r="AB541">
        <v>185.99913730000799</v>
      </c>
      <c r="AC541">
        <v>186.81983839999799</v>
      </c>
      <c r="AD541" t="s">
        <v>50</v>
      </c>
      <c r="AE541">
        <v>1</v>
      </c>
      <c r="AF541">
        <v>0.80883680004626501</v>
      </c>
      <c r="AG541" t="s">
        <v>51</v>
      </c>
      <c r="AK541" t="s">
        <v>92</v>
      </c>
      <c r="AL541">
        <v>1</v>
      </c>
      <c r="AM541" t="s">
        <v>82</v>
      </c>
      <c r="AN541" t="s">
        <v>43</v>
      </c>
      <c r="AP541" t="s">
        <v>44</v>
      </c>
      <c r="AQ541">
        <v>60.124517886762398</v>
      </c>
      <c r="AR541" t="s">
        <v>83</v>
      </c>
    </row>
    <row r="542" spans="1:44" x14ac:dyDescent="0.3">
      <c r="A542" t="s">
        <v>55</v>
      </c>
      <c r="B542" t="s">
        <v>49</v>
      </c>
      <c r="C542" s="2" t="str">
        <f t="shared" si="8"/>
        <v>Neutral</v>
      </c>
      <c r="D542">
        <v>0.74852789996657498</v>
      </c>
      <c r="E542" t="s">
        <v>47</v>
      </c>
      <c r="F542" t="s">
        <v>56</v>
      </c>
      <c r="G542" t="s">
        <v>57</v>
      </c>
      <c r="H542">
        <v>137</v>
      </c>
      <c r="I542">
        <v>17</v>
      </c>
      <c r="J542">
        <v>6</v>
      </c>
      <c r="K542" t="s">
        <v>57</v>
      </c>
      <c r="L542">
        <v>1</v>
      </c>
      <c r="M542">
        <v>0.92818739998620003</v>
      </c>
      <c r="N542" t="s">
        <v>51</v>
      </c>
      <c r="O542">
        <v>6</v>
      </c>
      <c r="P542">
        <v>17</v>
      </c>
      <c r="Q542">
        <v>137</v>
      </c>
      <c r="R542">
        <v>13</v>
      </c>
      <c r="S542">
        <v>186.83335560001399</v>
      </c>
      <c r="X542">
        <v>186.82196410000299</v>
      </c>
      <c r="Y542">
        <v>186.83335560001399</v>
      </c>
      <c r="Z542">
        <v>187.33238530001799</v>
      </c>
      <c r="AA542">
        <v>187.33238530001799</v>
      </c>
      <c r="AB542">
        <v>187.33238530001799</v>
      </c>
      <c r="AC542">
        <v>188.27056360000199</v>
      </c>
      <c r="AD542" t="s">
        <v>57</v>
      </c>
      <c r="AE542">
        <v>1</v>
      </c>
      <c r="AF542">
        <v>0.92818739998620003</v>
      </c>
      <c r="AG542" t="s">
        <v>51</v>
      </c>
      <c r="AK542" t="s">
        <v>92</v>
      </c>
      <c r="AL542">
        <v>1</v>
      </c>
      <c r="AM542" t="s">
        <v>82</v>
      </c>
      <c r="AN542" t="s">
        <v>43</v>
      </c>
      <c r="AP542" t="s">
        <v>44</v>
      </c>
      <c r="AQ542">
        <v>60.124517886762398</v>
      </c>
      <c r="AR542" t="s">
        <v>83</v>
      </c>
    </row>
    <row r="543" spans="1:44" x14ac:dyDescent="0.3">
      <c r="A543" t="s">
        <v>69</v>
      </c>
      <c r="B543" t="s">
        <v>49</v>
      </c>
      <c r="C543" s="2" t="str">
        <f t="shared" si="8"/>
        <v>Emotional-I</v>
      </c>
      <c r="D543">
        <v>0.783032500010449</v>
      </c>
      <c r="E543" t="s">
        <v>59</v>
      </c>
      <c r="F543" t="s">
        <v>56</v>
      </c>
      <c r="G543" t="s">
        <v>57</v>
      </c>
      <c r="H543">
        <v>138</v>
      </c>
      <c r="I543">
        <v>18</v>
      </c>
      <c r="J543">
        <v>6</v>
      </c>
      <c r="K543" t="s">
        <v>57</v>
      </c>
      <c r="L543">
        <v>1</v>
      </c>
      <c r="M543">
        <v>0.51718590001109899</v>
      </c>
      <c r="N543" t="s">
        <v>51</v>
      </c>
      <c r="O543">
        <v>6</v>
      </c>
      <c r="P543">
        <v>18</v>
      </c>
      <c r="Q543">
        <v>138</v>
      </c>
      <c r="R543">
        <v>5</v>
      </c>
      <c r="S543">
        <v>188.282992000051</v>
      </c>
      <c r="X543">
        <v>188.272833499999</v>
      </c>
      <c r="Y543">
        <v>188.282992000051</v>
      </c>
      <c r="Z543">
        <v>188.78344440000299</v>
      </c>
      <c r="AA543">
        <v>188.78344440000299</v>
      </c>
      <c r="AB543">
        <v>188.78344440000299</v>
      </c>
      <c r="AC543">
        <v>189.30352539999799</v>
      </c>
      <c r="AD543" t="s">
        <v>57</v>
      </c>
      <c r="AE543">
        <v>1</v>
      </c>
      <c r="AF543">
        <v>0.51718590001109899</v>
      </c>
      <c r="AG543" t="s">
        <v>51</v>
      </c>
      <c r="AK543" t="s">
        <v>92</v>
      </c>
      <c r="AL543">
        <v>1</v>
      </c>
      <c r="AM543" t="s">
        <v>82</v>
      </c>
      <c r="AN543" t="s">
        <v>43</v>
      </c>
      <c r="AP543" t="s">
        <v>44</v>
      </c>
      <c r="AQ543">
        <v>60.124517886762398</v>
      </c>
      <c r="AR543" t="s">
        <v>83</v>
      </c>
    </row>
    <row r="544" spans="1:44" x14ac:dyDescent="0.3">
      <c r="A544" t="s">
        <v>70</v>
      </c>
      <c r="B544" t="s">
        <v>49</v>
      </c>
      <c r="C544" s="2" t="str">
        <f t="shared" si="8"/>
        <v>Emotional-I</v>
      </c>
      <c r="D544">
        <v>0.58379299996886402</v>
      </c>
      <c r="E544" t="s">
        <v>59</v>
      </c>
      <c r="F544" t="s">
        <v>53</v>
      </c>
      <c r="G544" t="s">
        <v>54</v>
      </c>
      <c r="H544">
        <v>139</v>
      </c>
      <c r="I544">
        <v>19</v>
      </c>
      <c r="J544">
        <v>6</v>
      </c>
      <c r="K544" t="s">
        <v>54</v>
      </c>
      <c r="L544">
        <v>1</v>
      </c>
      <c r="M544">
        <v>0.66656209999928195</v>
      </c>
      <c r="N544" t="s">
        <v>51</v>
      </c>
      <c r="O544">
        <v>6</v>
      </c>
      <c r="P544">
        <v>19</v>
      </c>
      <c r="Q544">
        <v>139</v>
      </c>
      <c r="R544">
        <v>2</v>
      </c>
      <c r="S544">
        <v>189.31659900001199</v>
      </c>
      <c r="X544">
        <v>189.30734230001599</v>
      </c>
      <c r="Y544">
        <v>189.31659900001199</v>
      </c>
      <c r="Z544">
        <v>189.816753400024</v>
      </c>
      <c r="AA544">
        <v>189.816753400024</v>
      </c>
      <c r="AB544">
        <v>189.816753400024</v>
      </c>
      <c r="AC544">
        <v>190.487337500031</v>
      </c>
      <c r="AD544" t="s">
        <v>54</v>
      </c>
      <c r="AE544">
        <v>1</v>
      </c>
      <c r="AF544">
        <v>0.66656209999928195</v>
      </c>
      <c r="AG544" t="s">
        <v>51</v>
      </c>
      <c r="AK544" t="s">
        <v>92</v>
      </c>
      <c r="AL544">
        <v>1</v>
      </c>
      <c r="AM544" t="s">
        <v>82</v>
      </c>
      <c r="AN544" t="s">
        <v>43</v>
      </c>
      <c r="AP544" t="s">
        <v>44</v>
      </c>
      <c r="AQ544">
        <v>60.124517886762398</v>
      </c>
      <c r="AR544" t="s">
        <v>83</v>
      </c>
    </row>
    <row r="545" spans="1:44" x14ac:dyDescent="0.3">
      <c r="A545" t="s">
        <v>58</v>
      </c>
      <c r="B545" t="s">
        <v>49</v>
      </c>
      <c r="C545" s="2" t="str">
        <f t="shared" si="8"/>
        <v>Emotional-I</v>
      </c>
      <c r="D545">
        <v>0.947752600011881</v>
      </c>
      <c r="E545" t="s">
        <v>59</v>
      </c>
      <c r="F545" t="s">
        <v>48</v>
      </c>
      <c r="G545" t="s">
        <v>50</v>
      </c>
      <c r="H545">
        <v>140</v>
      </c>
      <c r="I545">
        <v>0</v>
      </c>
      <c r="J545">
        <v>7</v>
      </c>
      <c r="K545" t="s">
        <v>50</v>
      </c>
      <c r="L545">
        <v>1</v>
      </c>
      <c r="M545">
        <v>0.76736759999766901</v>
      </c>
      <c r="N545" t="s">
        <v>51</v>
      </c>
      <c r="O545">
        <v>7</v>
      </c>
      <c r="P545">
        <v>0</v>
      </c>
      <c r="Q545">
        <v>140</v>
      </c>
      <c r="R545">
        <v>7</v>
      </c>
      <c r="S545">
        <v>190.50017660000501</v>
      </c>
      <c r="X545">
        <v>190.49021420004999</v>
      </c>
      <c r="Y545">
        <v>190.50017660000501</v>
      </c>
      <c r="Z545">
        <v>191.00004270003399</v>
      </c>
      <c r="AA545">
        <v>191.00004270003399</v>
      </c>
      <c r="AB545">
        <v>191.00004270003399</v>
      </c>
      <c r="AC545">
        <v>191.77046930004099</v>
      </c>
      <c r="AD545" t="s">
        <v>50</v>
      </c>
      <c r="AE545">
        <v>1</v>
      </c>
      <c r="AF545">
        <v>0.76736759999766901</v>
      </c>
      <c r="AG545" t="s">
        <v>51</v>
      </c>
      <c r="AK545" t="s">
        <v>92</v>
      </c>
      <c r="AL545">
        <v>1</v>
      </c>
      <c r="AM545" t="s">
        <v>82</v>
      </c>
      <c r="AN545" t="s">
        <v>43</v>
      </c>
      <c r="AP545" t="s">
        <v>44</v>
      </c>
      <c r="AQ545">
        <v>60.124517886762398</v>
      </c>
      <c r="AR545" t="s">
        <v>83</v>
      </c>
    </row>
    <row r="546" spans="1:44" x14ac:dyDescent="0.3">
      <c r="A546" t="s">
        <v>71</v>
      </c>
      <c r="B546" t="s">
        <v>49</v>
      </c>
      <c r="C546" s="2" t="str">
        <f t="shared" si="8"/>
        <v>Neutral</v>
      </c>
      <c r="D546">
        <v>0.47217879997333501</v>
      </c>
      <c r="E546" t="s">
        <v>47</v>
      </c>
      <c r="F546" t="s">
        <v>48</v>
      </c>
      <c r="G546" t="s">
        <v>50</v>
      </c>
      <c r="H546">
        <v>141</v>
      </c>
      <c r="I546">
        <v>1</v>
      </c>
      <c r="J546">
        <v>7</v>
      </c>
      <c r="K546" t="s">
        <v>50</v>
      </c>
      <c r="L546">
        <v>1</v>
      </c>
      <c r="M546">
        <v>0.47273949999362203</v>
      </c>
      <c r="N546" t="s">
        <v>51</v>
      </c>
      <c r="O546">
        <v>7</v>
      </c>
      <c r="P546">
        <v>1</v>
      </c>
      <c r="Q546">
        <v>141</v>
      </c>
      <c r="R546">
        <v>15</v>
      </c>
      <c r="S546">
        <v>191.783543500001</v>
      </c>
      <c r="X546">
        <v>191.77328740002099</v>
      </c>
      <c r="Y546">
        <v>191.783543500001</v>
      </c>
      <c r="Z546">
        <v>192.283478600031</v>
      </c>
      <c r="AA546">
        <v>192.283478600031</v>
      </c>
      <c r="AB546">
        <v>192.283478600031</v>
      </c>
      <c r="AC546">
        <v>192.769896000041</v>
      </c>
      <c r="AD546" t="s">
        <v>50</v>
      </c>
      <c r="AE546">
        <v>1</v>
      </c>
      <c r="AF546">
        <v>0.47273949999362203</v>
      </c>
      <c r="AG546" t="s">
        <v>51</v>
      </c>
      <c r="AK546" t="s">
        <v>92</v>
      </c>
      <c r="AL546">
        <v>1</v>
      </c>
      <c r="AM546" t="s">
        <v>82</v>
      </c>
      <c r="AN546" t="s">
        <v>43</v>
      </c>
      <c r="AP546" t="s">
        <v>44</v>
      </c>
      <c r="AQ546">
        <v>60.124517886762398</v>
      </c>
      <c r="AR546" t="s">
        <v>83</v>
      </c>
    </row>
    <row r="547" spans="1:44" x14ac:dyDescent="0.3">
      <c r="A547" t="s">
        <v>72</v>
      </c>
      <c r="B547" t="s">
        <v>62</v>
      </c>
      <c r="C547" s="2" t="str">
        <f t="shared" si="8"/>
        <v>Emotional-C</v>
      </c>
      <c r="D547">
        <v>0.40373640001052902</v>
      </c>
      <c r="E547" t="s">
        <v>59</v>
      </c>
      <c r="F547" t="s">
        <v>61</v>
      </c>
      <c r="G547" t="s">
        <v>63</v>
      </c>
      <c r="H547">
        <v>142</v>
      </c>
      <c r="I547">
        <v>2</v>
      </c>
      <c r="J547">
        <v>7</v>
      </c>
      <c r="K547" t="s">
        <v>63</v>
      </c>
      <c r="L547">
        <v>1</v>
      </c>
      <c r="M547">
        <v>0.68490630004089303</v>
      </c>
      <c r="N547" t="s">
        <v>51</v>
      </c>
      <c r="O547">
        <v>7</v>
      </c>
      <c r="P547">
        <v>2</v>
      </c>
      <c r="Q547">
        <v>142</v>
      </c>
      <c r="R547">
        <v>8</v>
      </c>
      <c r="S547">
        <v>192.783318500034</v>
      </c>
      <c r="X547">
        <v>192.77331030002</v>
      </c>
      <c r="Y547">
        <v>192.783318500034</v>
      </c>
      <c r="Z547">
        <v>193.283382300054</v>
      </c>
      <c r="AA547">
        <v>193.283382300054</v>
      </c>
      <c r="AB547">
        <v>193.283382300054</v>
      </c>
      <c r="AC547">
        <v>193.97168080002299</v>
      </c>
      <c r="AD547" t="s">
        <v>63</v>
      </c>
      <c r="AE547">
        <v>1</v>
      </c>
      <c r="AF547">
        <v>0.68490630004089303</v>
      </c>
      <c r="AG547" t="s">
        <v>51</v>
      </c>
      <c r="AK547" t="s">
        <v>92</v>
      </c>
      <c r="AL547">
        <v>1</v>
      </c>
      <c r="AM547" t="s">
        <v>82</v>
      </c>
      <c r="AN547" t="s">
        <v>43</v>
      </c>
      <c r="AP547" t="s">
        <v>44</v>
      </c>
      <c r="AQ547">
        <v>60.124517886762398</v>
      </c>
      <c r="AR547" t="s">
        <v>83</v>
      </c>
    </row>
    <row r="548" spans="1:44" x14ac:dyDescent="0.3">
      <c r="A548" t="s">
        <v>74</v>
      </c>
      <c r="B548" t="s">
        <v>49</v>
      </c>
      <c r="C548" s="2" t="str">
        <f t="shared" si="8"/>
        <v>Neutral</v>
      </c>
      <c r="D548">
        <v>1.0134750999859501</v>
      </c>
      <c r="E548" t="s">
        <v>47</v>
      </c>
      <c r="F548" t="s">
        <v>48</v>
      </c>
      <c r="G548" t="s">
        <v>50</v>
      </c>
      <c r="H548">
        <v>143</v>
      </c>
      <c r="I548">
        <v>3</v>
      </c>
      <c r="J548">
        <v>7</v>
      </c>
      <c r="K548" t="s">
        <v>50</v>
      </c>
      <c r="L548">
        <v>1</v>
      </c>
      <c r="M548">
        <v>0.82329950004350305</v>
      </c>
      <c r="N548" t="s">
        <v>51</v>
      </c>
      <c r="O548">
        <v>7</v>
      </c>
      <c r="P548">
        <v>3</v>
      </c>
      <c r="Q548">
        <v>143</v>
      </c>
      <c r="R548">
        <v>11</v>
      </c>
      <c r="S548">
        <v>193.99884050001799</v>
      </c>
      <c r="X548">
        <v>193.976286500052</v>
      </c>
      <c r="Y548">
        <v>193.99884050001799</v>
      </c>
      <c r="Z548">
        <v>194.483307800022</v>
      </c>
      <c r="AA548">
        <v>194.483307800022</v>
      </c>
      <c r="AB548">
        <v>194.483307800022</v>
      </c>
      <c r="AC548">
        <v>195.32108660001501</v>
      </c>
      <c r="AD548" t="s">
        <v>50</v>
      </c>
      <c r="AE548">
        <v>1</v>
      </c>
      <c r="AF548">
        <v>0.82329950004350305</v>
      </c>
      <c r="AG548" t="s">
        <v>51</v>
      </c>
      <c r="AK548" t="s">
        <v>92</v>
      </c>
      <c r="AL548">
        <v>1</v>
      </c>
      <c r="AM548" t="s">
        <v>82</v>
      </c>
      <c r="AN548" t="s">
        <v>43</v>
      </c>
      <c r="AP548" t="s">
        <v>44</v>
      </c>
      <c r="AQ548">
        <v>60.124517886762398</v>
      </c>
      <c r="AR548" t="s">
        <v>83</v>
      </c>
    </row>
    <row r="549" spans="1:44" x14ac:dyDescent="0.3">
      <c r="A549" t="s">
        <v>78</v>
      </c>
      <c r="B549" t="s">
        <v>49</v>
      </c>
      <c r="C549" s="2" t="str">
        <f t="shared" si="8"/>
        <v>Neutral</v>
      </c>
      <c r="D549">
        <v>0.76268889999482703</v>
      </c>
      <c r="E549" t="s">
        <v>47</v>
      </c>
      <c r="F549" t="s">
        <v>56</v>
      </c>
      <c r="G549" t="s">
        <v>57</v>
      </c>
      <c r="H549">
        <v>144</v>
      </c>
      <c r="I549">
        <v>4</v>
      </c>
      <c r="J549">
        <v>7</v>
      </c>
      <c r="K549" t="s">
        <v>57</v>
      </c>
      <c r="L549">
        <v>1</v>
      </c>
      <c r="M549">
        <v>0.730286500009242</v>
      </c>
      <c r="N549" t="s">
        <v>51</v>
      </c>
      <c r="O549">
        <v>7</v>
      </c>
      <c r="P549">
        <v>4</v>
      </c>
      <c r="Q549">
        <v>144</v>
      </c>
      <c r="R549">
        <v>17</v>
      </c>
      <c r="S549">
        <v>195.333017600001</v>
      </c>
      <c r="X549">
        <v>195.32471850002099</v>
      </c>
      <c r="Y549">
        <v>195.333017600001</v>
      </c>
      <c r="Z549">
        <v>195.83289170003201</v>
      </c>
      <c r="AA549">
        <v>195.83289170003201</v>
      </c>
      <c r="AB549">
        <v>195.83289170003201</v>
      </c>
      <c r="AC549">
        <v>196.571837000024</v>
      </c>
      <c r="AD549" t="s">
        <v>57</v>
      </c>
      <c r="AE549">
        <v>1</v>
      </c>
      <c r="AF549">
        <v>0.730286500009242</v>
      </c>
      <c r="AG549" t="s">
        <v>51</v>
      </c>
      <c r="AK549" t="s">
        <v>92</v>
      </c>
      <c r="AL549">
        <v>1</v>
      </c>
      <c r="AM549" t="s">
        <v>82</v>
      </c>
      <c r="AN549" t="s">
        <v>43</v>
      </c>
      <c r="AP549" t="s">
        <v>44</v>
      </c>
      <c r="AQ549">
        <v>60.124517886762398</v>
      </c>
      <c r="AR549" t="s">
        <v>83</v>
      </c>
    </row>
    <row r="550" spans="1:44" x14ac:dyDescent="0.3">
      <c r="A550" t="s">
        <v>65</v>
      </c>
      <c r="B550" t="s">
        <v>49</v>
      </c>
      <c r="C550" s="2" t="str">
        <f t="shared" si="8"/>
        <v>Emotional-I</v>
      </c>
      <c r="D550">
        <v>0.46344449999742199</v>
      </c>
      <c r="E550" t="s">
        <v>59</v>
      </c>
      <c r="F550" t="s">
        <v>56</v>
      </c>
      <c r="G550" t="s">
        <v>57</v>
      </c>
      <c r="H550">
        <v>145</v>
      </c>
      <c r="I550">
        <v>5</v>
      </c>
      <c r="J550">
        <v>7</v>
      </c>
      <c r="K550" t="s">
        <v>57</v>
      </c>
      <c r="L550">
        <v>1</v>
      </c>
      <c r="M550">
        <v>0.44067300000460802</v>
      </c>
      <c r="N550" t="s">
        <v>51</v>
      </c>
      <c r="O550">
        <v>7</v>
      </c>
      <c r="P550">
        <v>5</v>
      </c>
      <c r="Q550">
        <v>145</v>
      </c>
      <c r="R550">
        <v>9</v>
      </c>
      <c r="S550">
        <v>196.59947510005401</v>
      </c>
      <c r="X550">
        <v>196.57677169999801</v>
      </c>
      <c r="Y550">
        <v>196.59947510005401</v>
      </c>
      <c r="Z550">
        <v>197.08194140001399</v>
      </c>
      <c r="AA550">
        <v>197.08194140001399</v>
      </c>
      <c r="AB550">
        <v>197.08194140001399</v>
      </c>
      <c r="AC550">
        <v>197.535842500044</v>
      </c>
      <c r="AD550" t="s">
        <v>57</v>
      </c>
      <c r="AE550">
        <v>1</v>
      </c>
      <c r="AF550">
        <v>0.44067300000460802</v>
      </c>
      <c r="AG550" t="s">
        <v>51</v>
      </c>
      <c r="AK550" t="s">
        <v>92</v>
      </c>
      <c r="AL550">
        <v>1</v>
      </c>
      <c r="AM550" t="s">
        <v>82</v>
      </c>
      <c r="AN550" t="s">
        <v>43</v>
      </c>
      <c r="AP550" t="s">
        <v>44</v>
      </c>
      <c r="AQ550">
        <v>60.124517886762398</v>
      </c>
      <c r="AR550" t="s">
        <v>83</v>
      </c>
    </row>
    <row r="551" spans="1:44" x14ac:dyDescent="0.3">
      <c r="A551" t="s">
        <v>64</v>
      </c>
      <c r="B551" t="s">
        <v>49</v>
      </c>
      <c r="C551" s="2" t="str">
        <f t="shared" si="8"/>
        <v>Neutral</v>
      </c>
      <c r="D551">
        <v>0.49329589999979301</v>
      </c>
      <c r="E551" t="s">
        <v>47</v>
      </c>
      <c r="F551" t="s">
        <v>53</v>
      </c>
      <c r="G551" t="s">
        <v>54</v>
      </c>
      <c r="H551">
        <v>146</v>
      </c>
      <c r="I551">
        <v>6</v>
      </c>
      <c r="J551">
        <v>7</v>
      </c>
      <c r="K551" t="s">
        <v>54</v>
      </c>
      <c r="L551">
        <v>1</v>
      </c>
      <c r="M551">
        <v>0.89186480001080704</v>
      </c>
      <c r="N551" t="s">
        <v>51</v>
      </c>
      <c r="O551">
        <v>7</v>
      </c>
      <c r="P551">
        <v>6</v>
      </c>
      <c r="Q551">
        <v>146</v>
      </c>
      <c r="R551">
        <v>18</v>
      </c>
      <c r="S551">
        <v>197.54902710003</v>
      </c>
      <c r="X551">
        <v>197.538217300025</v>
      </c>
      <c r="Y551">
        <v>197.54902710003</v>
      </c>
      <c r="Z551">
        <v>198.04857290000601</v>
      </c>
      <c r="AA551">
        <v>198.04857290000601</v>
      </c>
      <c r="AB551">
        <v>198.04857290000601</v>
      </c>
      <c r="AC551">
        <v>198.95416750002099</v>
      </c>
      <c r="AD551" t="s">
        <v>54</v>
      </c>
      <c r="AE551">
        <v>1</v>
      </c>
      <c r="AF551">
        <v>0.89186480001080704</v>
      </c>
      <c r="AG551" t="s">
        <v>51</v>
      </c>
      <c r="AK551" t="s">
        <v>92</v>
      </c>
      <c r="AL551">
        <v>1</v>
      </c>
      <c r="AM551" t="s">
        <v>82</v>
      </c>
      <c r="AN551" t="s">
        <v>43</v>
      </c>
      <c r="AP551" t="s">
        <v>44</v>
      </c>
      <c r="AQ551">
        <v>60.124517886762398</v>
      </c>
      <c r="AR551" t="s">
        <v>83</v>
      </c>
    </row>
    <row r="552" spans="1:44" x14ac:dyDescent="0.3">
      <c r="A552" t="s">
        <v>66</v>
      </c>
      <c r="B552" t="s">
        <v>49</v>
      </c>
      <c r="C552" s="2" t="str">
        <f t="shared" si="8"/>
        <v>Neutral</v>
      </c>
      <c r="D552">
        <v>0.61311320000095204</v>
      </c>
      <c r="E552" t="s">
        <v>47</v>
      </c>
      <c r="F552" t="s">
        <v>61</v>
      </c>
      <c r="G552" t="s">
        <v>63</v>
      </c>
      <c r="H552">
        <v>147</v>
      </c>
      <c r="I552">
        <v>7</v>
      </c>
      <c r="J552">
        <v>7</v>
      </c>
      <c r="K552" t="s">
        <v>63</v>
      </c>
      <c r="L552">
        <v>1</v>
      </c>
      <c r="M552">
        <v>0.73186890000943094</v>
      </c>
      <c r="N552" t="s">
        <v>51</v>
      </c>
      <c r="O552">
        <v>7</v>
      </c>
      <c r="P552">
        <v>7</v>
      </c>
      <c r="Q552">
        <v>147</v>
      </c>
      <c r="R552">
        <v>12</v>
      </c>
      <c r="S552">
        <v>198.96650890004801</v>
      </c>
      <c r="X552">
        <v>198.95707750000199</v>
      </c>
      <c r="Y552">
        <v>198.96650890004801</v>
      </c>
      <c r="Z552">
        <v>199.465429900039</v>
      </c>
      <c r="AA552">
        <v>199.465429900039</v>
      </c>
      <c r="AB552">
        <v>199.465429900039</v>
      </c>
      <c r="AC552">
        <v>200.20274880004499</v>
      </c>
      <c r="AD552" t="s">
        <v>63</v>
      </c>
      <c r="AE552">
        <v>1</v>
      </c>
      <c r="AF552">
        <v>0.73186890000943094</v>
      </c>
      <c r="AG552" t="s">
        <v>51</v>
      </c>
      <c r="AK552" t="s">
        <v>92</v>
      </c>
      <c r="AL552">
        <v>1</v>
      </c>
      <c r="AM552" t="s">
        <v>82</v>
      </c>
      <c r="AN552" t="s">
        <v>43</v>
      </c>
      <c r="AP552" t="s">
        <v>44</v>
      </c>
      <c r="AQ552">
        <v>60.124517886762398</v>
      </c>
      <c r="AR552" t="s">
        <v>83</v>
      </c>
    </row>
    <row r="553" spans="1:44" x14ac:dyDescent="0.3">
      <c r="A553" t="s">
        <v>76</v>
      </c>
      <c r="B553" t="s">
        <v>49</v>
      </c>
      <c r="C553" s="2" t="str">
        <f t="shared" si="8"/>
        <v>Emotional-I</v>
      </c>
      <c r="D553">
        <v>0.40284660004544998</v>
      </c>
      <c r="E553" t="s">
        <v>59</v>
      </c>
      <c r="F553" t="s">
        <v>48</v>
      </c>
      <c r="G553" t="s">
        <v>50</v>
      </c>
      <c r="H553">
        <v>148</v>
      </c>
      <c r="I553">
        <v>8</v>
      </c>
      <c r="J553">
        <v>7</v>
      </c>
      <c r="K553" t="s">
        <v>50</v>
      </c>
      <c r="L553">
        <v>1</v>
      </c>
      <c r="M553">
        <v>0.76266629999736302</v>
      </c>
      <c r="N553" t="s">
        <v>51</v>
      </c>
      <c r="O553">
        <v>7</v>
      </c>
      <c r="P553">
        <v>8</v>
      </c>
      <c r="Q553">
        <v>148</v>
      </c>
      <c r="R553">
        <v>3</v>
      </c>
      <c r="S553">
        <v>200.216683000035</v>
      </c>
      <c r="X553">
        <v>200.20523620001001</v>
      </c>
      <c r="Y553">
        <v>200.216683000035</v>
      </c>
      <c r="Z553">
        <v>200.71632800000901</v>
      </c>
      <c r="AA553">
        <v>200.71632800000901</v>
      </c>
      <c r="AB553">
        <v>200.71632800000901</v>
      </c>
      <c r="AC553">
        <v>201.487485999998</v>
      </c>
      <c r="AD553" t="s">
        <v>50</v>
      </c>
      <c r="AE553">
        <v>1</v>
      </c>
      <c r="AF553">
        <v>0.76266629999736302</v>
      </c>
      <c r="AG553" t="s">
        <v>51</v>
      </c>
      <c r="AK553" t="s">
        <v>92</v>
      </c>
      <c r="AL553">
        <v>1</v>
      </c>
      <c r="AM553" t="s">
        <v>82</v>
      </c>
      <c r="AN553" t="s">
        <v>43</v>
      </c>
      <c r="AP553" t="s">
        <v>44</v>
      </c>
      <c r="AQ553">
        <v>60.124517886762398</v>
      </c>
      <c r="AR553" t="s">
        <v>83</v>
      </c>
    </row>
    <row r="554" spans="1:44" x14ac:dyDescent="0.3">
      <c r="A554" t="s">
        <v>75</v>
      </c>
      <c r="B554" t="s">
        <v>49</v>
      </c>
      <c r="C554" s="2" t="str">
        <f t="shared" si="8"/>
        <v>Neutral</v>
      </c>
      <c r="D554">
        <v>0.97621880000224304</v>
      </c>
      <c r="E554" t="s">
        <v>47</v>
      </c>
      <c r="F554" t="s">
        <v>61</v>
      </c>
      <c r="G554" t="s">
        <v>63</v>
      </c>
      <c r="H554">
        <v>149</v>
      </c>
      <c r="I554">
        <v>9</v>
      </c>
      <c r="J554">
        <v>7</v>
      </c>
      <c r="K554" t="s">
        <v>63</v>
      </c>
      <c r="L554">
        <v>1</v>
      </c>
      <c r="M554">
        <v>1.00724290002835</v>
      </c>
      <c r="N554" t="s">
        <v>51</v>
      </c>
      <c r="O554">
        <v>7</v>
      </c>
      <c r="P554">
        <v>9</v>
      </c>
      <c r="Q554">
        <v>149</v>
      </c>
      <c r="R554">
        <v>16</v>
      </c>
      <c r="S554">
        <v>201.49997290002599</v>
      </c>
      <c r="X554">
        <v>201.490161599998</v>
      </c>
      <c r="Y554">
        <v>201.49997290002599</v>
      </c>
      <c r="Z554">
        <v>202.00017820001801</v>
      </c>
      <c r="AA554">
        <v>202.00017820001801</v>
      </c>
      <c r="AB554">
        <v>202.00017820001801</v>
      </c>
      <c r="AC554">
        <v>203.02129540004501</v>
      </c>
      <c r="AD554" t="s">
        <v>63</v>
      </c>
      <c r="AE554">
        <v>1</v>
      </c>
      <c r="AF554">
        <v>1.00724290002835</v>
      </c>
      <c r="AG554" t="s">
        <v>51</v>
      </c>
      <c r="AK554" t="s">
        <v>92</v>
      </c>
      <c r="AL554">
        <v>1</v>
      </c>
      <c r="AM554" t="s">
        <v>82</v>
      </c>
      <c r="AN554" t="s">
        <v>43</v>
      </c>
      <c r="AP554" t="s">
        <v>44</v>
      </c>
      <c r="AQ554">
        <v>60.124517886762398</v>
      </c>
      <c r="AR554" t="s">
        <v>83</v>
      </c>
    </row>
    <row r="555" spans="1:44" x14ac:dyDescent="0.3">
      <c r="A555" t="s">
        <v>73</v>
      </c>
      <c r="B555" t="s">
        <v>49</v>
      </c>
      <c r="C555" s="2" t="str">
        <f t="shared" si="8"/>
        <v>Emotional-I</v>
      </c>
      <c r="D555">
        <v>0.71755890001077205</v>
      </c>
      <c r="E555" t="s">
        <v>59</v>
      </c>
      <c r="F555" t="s">
        <v>56</v>
      </c>
      <c r="G555" t="s">
        <v>57</v>
      </c>
      <c r="H555">
        <v>150</v>
      </c>
      <c r="I555">
        <v>10</v>
      </c>
      <c r="J555">
        <v>7</v>
      </c>
      <c r="K555" t="s">
        <v>57</v>
      </c>
      <c r="L555">
        <v>1</v>
      </c>
      <c r="M555">
        <v>0.67992859997320898</v>
      </c>
      <c r="N555" t="s">
        <v>51</v>
      </c>
      <c r="O555">
        <v>7</v>
      </c>
      <c r="P555">
        <v>10</v>
      </c>
      <c r="Q555">
        <v>150</v>
      </c>
      <c r="R555">
        <v>1</v>
      </c>
      <c r="S555">
        <v>203.03275790001399</v>
      </c>
      <c r="X555">
        <v>203.024336400034</v>
      </c>
      <c r="Y555">
        <v>203.03275790001399</v>
      </c>
      <c r="Z555">
        <v>203.532705900026</v>
      </c>
      <c r="AA555">
        <v>203.532705900026</v>
      </c>
      <c r="AB555">
        <v>203.532705900026</v>
      </c>
      <c r="AC555">
        <v>204.220770000014</v>
      </c>
      <c r="AD555" t="s">
        <v>57</v>
      </c>
      <c r="AE555">
        <v>1</v>
      </c>
      <c r="AF555">
        <v>0.67992859997320898</v>
      </c>
      <c r="AG555" t="s">
        <v>51</v>
      </c>
      <c r="AK555" t="s">
        <v>92</v>
      </c>
      <c r="AL555">
        <v>1</v>
      </c>
      <c r="AM555" t="s">
        <v>82</v>
      </c>
      <c r="AN555" t="s">
        <v>43</v>
      </c>
      <c r="AP555" t="s">
        <v>44</v>
      </c>
      <c r="AQ555">
        <v>60.124517886762398</v>
      </c>
      <c r="AR555" t="s">
        <v>83</v>
      </c>
    </row>
    <row r="556" spans="1:44" x14ac:dyDescent="0.3">
      <c r="A556" t="s">
        <v>55</v>
      </c>
      <c r="B556" t="s">
        <v>49</v>
      </c>
      <c r="C556" s="2" t="str">
        <f t="shared" si="8"/>
        <v>Neutral</v>
      </c>
      <c r="D556">
        <v>0.80306930001825005</v>
      </c>
      <c r="E556" t="s">
        <v>47</v>
      </c>
      <c r="F556" t="s">
        <v>56</v>
      </c>
      <c r="G556" t="s">
        <v>57</v>
      </c>
      <c r="H556">
        <v>151</v>
      </c>
      <c r="I556">
        <v>11</v>
      </c>
      <c r="J556">
        <v>7</v>
      </c>
      <c r="K556" t="s">
        <v>57</v>
      </c>
      <c r="L556">
        <v>1</v>
      </c>
      <c r="M556">
        <v>0.47393770003691299</v>
      </c>
      <c r="N556" t="s">
        <v>51</v>
      </c>
      <c r="O556">
        <v>7</v>
      </c>
      <c r="P556">
        <v>11</v>
      </c>
      <c r="Q556">
        <v>151</v>
      </c>
      <c r="R556">
        <v>13</v>
      </c>
      <c r="S556">
        <v>204.233007900009</v>
      </c>
      <c r="X556">
        <v>204.22421000001401</v>
      </c>
      <c r="Y556">
        <v>204.233007900009</v>
      </c>
      <c r="Z556">
        <v>204.734944500029</v>
      </c>
      <c r="AA556">
        <v>204.734944500029</v>
      </c>
      <c r="AB556">
        <v>204.734944500029</v>
      </c>
      <c r="AC556">
        <v>205.218970000045</v>
      </c>
      <c r="AD556" t="s">
        <v>57</v>
      </c>
      <c r="AE556">
        <v>1</v>
      </c>
      <c r="AF556">
        <v>0.47393770003691299</v>
      </c>
      <c r="AG556" t="s">
        <v>51</v>
      </c>
      <c r="AK556" t="s">
        <v>92</v>
      </c>
      <c r="AL556">
        <v>1</v>
      </c>
      <c r="AM556" t="s">
        <v>82</v>
      </c>
      <c r="AN556" t="s">
        <v>43</v>
      </c>
      <c r="AP556" t="s">
        <v>44</v>
      </c>
      <c r="AQ556">
        <v>60.124517886762398</v>
      </c>
      <c r="AR556" t="s">
        <v>83</v>
      </c>
    </row>
    <row r="557" spans="1:44" hidden="1" x14ac:dyDescent="0.3">
      <c r="A557" t="s">
        <v>67</v>
      </c>
      <c r="B557" t="s">
        <v>49</v>
      </c>
      <c r="C557" s="2" t="str">
        <f t="shared" si="8"/>
        <v>Neutral</v>
      </c>
      <c r="D557">
        <v>0.47958649997599401</v>
      </c>
      <c r="E557" t="s">
        <v>47</v>
      </c>
      <c r="F557" t="s">
        <v>53</v>
      </c>
      <c r="G557" t="s">
        <v>54</v>
      </c>
      <c r="H557">
        <v>152</v>
      </c>
      <c r="I557">
        <v>12</v>
      </c>
      <c r="J557">
        <v>7</v>
      </c>
      <c r="K557" t="s">
        <v>50</v>
      </c>
      <c r="L557">
        <v>0</v>
      </c>
      <c r="M557">
        <v>0.54135270003462199</v>
      </c>
      <c r="N557" t="s">
        <v>51</v>
      </c>
      <c r="O557">
        <v>7</v>
      </c>
      <c r="P557">
        <v>12</v>
      </c>
      <c r="Q557">
        <v>152</v>
      </c>
      <c r="R557">
        <v>10</v>
      </c>
      <c r="S557">
        <v>205.23250660003299</v>
      </c>
      <c r="X557">
        <v>205.22170380002299</v>
      </c>
      <c r="Y557">
        <v>205.23250660003299</v>
      </c>
      <c r="Z557">
        <v>205.73154480004399</v>
      </c>
      <c r="AA557">
        <v>205.73154480004399</v>
      </c>
      <c r="AB557">
        <v>205.73154480004399</v>
      </c>
      <c r="AC557">
        <v>206.284734400047</v>
      </c>
      <c r="AD557" t="s">
        <v>50</v>
      </c>
      <c r="AE557">
        <v>0</v>
      </c>
      <c r="AF557">
        <v>0.54135270003462199</v>
      </c>
      <c r="AG557" t="s">
        <v>51</v>
      </c>
      <c r="AK557" t="s">
        <v>92</v>
      </c>
      <c r="AL557">
        <v>1</v>
      </c>
      <c r="AM557" t="s">
        <v>82</v>
      </c>
      <c r="AN557" t="s">
        <v>43</v>
      </c>
      <c r="AP557" t="s">
        <v>44</v>
      </c>
      <c r="AQ557">
        <v>60.124517886762398</v>
      </c>
      <c r="AR557" t="s">
        <v>83</v>
      </c>
    </row>
    <row r="558" spans="1:44" x14ac:dyDescent="0.3">
      <c r="A558" t="s">
        <v>52</v>
      </c>
      <c r="B558" t="s">
        <v>49</v>
      </c>
      <c r="C558" s="2" t="str">
        <f t="shared" si="8"/>
        <v>Neutral</v>
      </c>
      <c r="D558">
        <v>1.1754523999988999</v>
      </c>
      <c r="E558" t="s">
        <v>47</v>
      </c>
      <c r="F558" t="s">
        <v>53</v>
      </c>
      <c r="G558" t="s">
        <v>54</v>
      </c>
      <c r="H558">
        <v>153</v>
      </c>
      <c r="I558">
        <v>13</v>
      </c>
      <c r="J558">
        <v>7</v>
      </c>
      <c r="K558" t="s">
        <v>54</v>
      </c>
      <c r="L558">
        <v>1</v>
      </c>
      <c r="M558">
        <v>0.75118510000174799</v>
      </c>
      <c r="N558" t="s">
        <v>51</v>
      </c>
      <c r="O558">
        <v>7</v>
      </c>
      <c r="P558">
        <v>13</v>
      </c>
      <c r="Q558">
        <v>153</v>
      </c>
      <c r="R558">
        <v>14</v>
      </c>
      <c r="S558">
        <v>206.298641300003</v>
      </c>
      <c r="X558">
        <v>206.28721520002</v>
      </c>
      <c r="Y558">
        <v>206.298641300003</v>
      </c>
      <c r="Z558">
        <v>206.798440900049</v>
      </c>
      <c r="AA558">
        <v>206.798440900049</v>
      </c>
      <c r="AB558">
        <v>206.798440900049</v>
      </c>
      <c r="AC558">
        <v>207.55276889999999</v>
      </c>
      <c r="AD558" t="s">
        <v>54</v>
      </c>
      <c r="AE558">
        <v>1</v>
      </c>
      <c r="AF558">
        <v>0.75118510000174799</v>
      </c>
      <c r="AG558" t="s">
        <v>51</v>
      </c>
      <c r="AK558" t="s">
        <v>92</v>
      </c>
      <c r="AL558">
        <v>1</v>
      </c>
      <c r="AM558" t="s">
        <v>82</v>
      </c>
      <c r="AN558" t="s">
        <v>43</v>
      </c>
      <c r="AP558" t="s">
        <v>44</v>
      </c>
      <c r="AQ558">
        <v>60.124517886762398</v>
      </c>
      <c r="AR558" t="s">
        <v>83</v>
      </c>
    </row>
    <row r="559" spans="1:44" x14ac:dyDescent="0.3">
      <c r="A559" t="s">
        <v>68</v>
      </c>
      <c r="B559" t="s">
        <v>49</v>
      </c>
      <c r="C559" s="2" t="str">
        <f t="shared" si="8"/>
        <v>Emotional-I</v>
      </c>
      <c r="D559">
        <v>0.49117350002052201</v>
      </c>
      <c r="E559" t="s">
        <v>59</v>
      </c>
      <c r="F559" t="s">
        <v>53</v>
      </c>
      <c r="G559" t="s">
        <v>54</v>
      </c>
      <c r="H559">
        <v>154</v>
      </c>
      <c r="I559">
        <v>14</v>
      </c>
      <c r="J559">
        <v>7</v>
      </c>
      <c r="K559" t="s">
        <v>54</v>
      </c>
      <c r="L559">
        <v>1</v>
      </c>
      <c r="M559">
        <v>0.50998069997876805</v>
      </c>
      <c r="N559" t="s">
        <v>51</v>
      </c>
      <c r="O559">
        <v>7</v>
      </c>
      <c r="P559">
        <v>14</v>
      </c>
      <c r="Q559">
        <v>154</v>
      </c>
      <c r="R559">
        <v>6</v>
      </c>
      <c r="S559">
        <v>207.56542920000999</v>
      </c>
      <c r="X559">
        <v>207.555354800017</v>
      </c>
      <c r="Y559">
        <v>207.56542920000999</v>
      </c>
      <c r="Z559">
        <v>208.06484590005101</v>
      </c>
      <c r="AA559">
        <v>208.06484590005101</v>
      </c>
      <c r="AB559">
        <v>208.06484590005101</v>
      </c>
      <c r="AC559">
        <v>208.584750700043</v>
      </c>
      <c r="AD559" t="s">
        <v>54</v>
      </c>
      <c r="AE559">
        <v>1</v>
      </c>
      <c r="AF559">
        <v>0.50998069997876805</v>
      </c>
      <c r="AG559" t="s">
        <v>51</v>
      </c>
      <c r="AK559" t="s">
        <v>92</v>
      </c>
      <c r="AL559">
        <v>1</v>
      </c>
      <c r="AM559" t="s">
        <v>82</v>
      </c>
      <c r="AN559" t="s">
        <v>43</v>
      </c>
      <c r="AP559" t="s">
        <v>44</v>
      </c>
      <c r="AQ559">
        <v>60.124517886762398</v>
      </c>
      <c r="AR559" t="s">
        <v>83</v>
      </c>
    </row>
    <row r="560" spans="1:44" x14ac:dyDescent="0.3">
      <c r="A560" t="s">
        <v>60</v>
      </c>
      <c r="B560" t="s">
        <v>62</v>
      </c>
      <c r="C560" s="2" t="str">
        <f t="shared" si="8"/>
        <v>Emotional-C</v>
      </c>
      <c r="D560">
        <v>2.1326577000436302</v>
      </c>
      <c r="E560" t="s">
        <v>59</v>
      </c>
      <c r="F560" t="s">
        <v>61</v>
      </c>
      <c r="G560" t="s">
        <v>63</v>
      </c>
      <c r="H560">
        <v>155</v>
      </c>
      <c r="I560">
        <v>15</v>
      </c>
      <c r="J560">
        <v>7</v>
      </c>
      <c r="K560" t="s">
        <v>63</v>
      </c>
      <c r="L560">
        <v>1</v>
      </c>
      <c r="M560">
        <v>0.810545199958141</v>
      </c>
      <c r="N560" t="s">
        <v>51</v>
      </c>
      <c r="O560">
        <v>7</v>
      </c>
      <c r="P560">
        <v>15</v>
      </c>
      <c r="Q560">
        <v>155</v>
      </c>
      <c r="R560">
        <v>0</v>
      </c>
      <c r="S560">
        <v>208.598186500021</v>
      </c>
      <c r="X560">
        <v>208.58680370001801</v>
      </c>
      <c r="Y560">
        <v>208.598186500021</v>
      </c>
      <c r="Z560">
        <v>209.09832450002401</v>
      </c>
      <c r="AA560">
        <v>209.09832450002401</v>
      </c>
      <c r="AB560">
        <v>209.09832450002401</v>
      </c>
      <c r="AC560">
        <v>209.91778710001299</v>
      </c>
      <c r="AD560" t="s">
        <v>63</v>
      </c>
      <c r="AE560">
        <v>1</v>
      </c>
      <c r="AF560">
        <v>0.810545199958141</v>
      </c>
      <c r="AG560" t="s">
        <v>51</v>
      </c>
      <c r="AK560" t="s">
        <v>92</v>
      </c>
      <c r="AL560">
        <v>1</v>
      </c>
      <c r="AM560" t="s">
        <v>82</v>
      </c>
      <c r="AN560" t="s">
        <v>43</v>
      </c>
      <c r="AP560" t="s">
        <v>44</v>
      </c>
      <c r="AQ560">
        <v>60.124517886762398</v>
      </c>
      <c r="AR560" t="s">
        <v>83</v>
      </c>
    </row>
    <row r="561" spans="1:44" x14ac:dyDescent="0.3">
      <c r="A561" t="s">
        <v>77</v>
      </c>
      <c r="B561" t="s">
        <v>62</v>
      </c>
      <c r="C561" s="2" t="str">
        <f t="shared" si="8"/>
        <v>Emotional-C</v>
      </c>
      <c r="D561">
        <v>1.09508110000751</v>
      </c>
      <c r="E561" t="s">
        <v>59</v>
      </c>
      <c r="F561" t="s">
        <v>61</v>
      </c>
      <c r="G561" t="s">
        <v>63</v>
      </c>
      <c r="H561">
        <v>156</v>
      </c>
      <c r="I561">
        <v>16</v>
      </c>
      <c r="J561">
        <v>7</v>
      </c>
      <c r="K561" t="s">
        <v>63</v>
      </c>
      <c r="L561">
        <v>1</v>
      </c>
      <c r="M561">
        <v>0.402098899998236</v>
      </c>
      <c r="N561" t="s">
        <v>51</v>
      </c>
      <c r="O561">
        <v>7</v>
      </c>
      <c r="P561">
        <v>16</v>
      </c>
      <c r="Q561">
        <v>156</v>
      </c>
      <c r="R561">
        <v>4</v>
      </c>
      <c r="S561">
        <v>209.931424900016</v>
      </c>
      <c r="X561">
        <v>209.92025080003</v>
      </c>
      <c r="Y561">
        <v>209.931424900016</v>
      </c>
      <c r="Z561">
        <v>210.43095639999899</v>
      </c>
      <c r="AA561">
        <v>210.43095639999899</v>
      </c>
      <c r="AB561">
        <v>210.43095639999899</v>
      </c>
      <c r="AC561">
        <v>210.83559329999801</v>
      </c>
      <c r="AD561" t="s">
        <v>63</v>
      </c>
      <c r="AE561">
        <v>1</v>
      </c>
      <c r="AF561">
        <v>0.402098899998236</v>
      </c>
      <c r="AG561" t="s">
        <v>51</v>
      </c>
      <c r="AK561" t="s">
        <v>92</v>
      </c>
      <c r="AL561">
        <v>1</v>
      </c>
      <c r="AM561" t="s">
        <v>82</v>
      </c>
      <c r="AN561" t="s">
        <v>43</v>
      </c>
      <c r="AP561" t="s">
        <v>44</v>
      </c>
      <c r="AQ561">
        <v>60.124517886762398</v>
      </c>
      <c r="AR561" t="s">
        <v>83</v>
      </c>
    </row>
    <row r="562" spans="1:44" x14ac:dyDescent="0.3">
      <c r="A562" t="s">
        <v>46</v>
      </c>
      <c r="B562" t="s">
        <v>49</v>
      </c>
      <c r="C562" s="2" t="str">
        <f t="shared" si="8"/>
        <v>Neutral</v>
      </c>
      <c r="D562">
        <v>0.58006840001325999</v>
      </c>
      <c r="E562" t="s">
        <v>47</v>
      </c>
      <c r="F562" t="s">
        <v>48</v>
      </c>
      <c r="G562" t="s">
        <v>50</v>
      </c>
      <c r="H562">
        <v>157</v>
      </c>
      <c r="I562">
        <v>17</v>
      </c>
      <c r="J562">
        <v>7</v>
      </c>
      <c r="K562" t="s">
        <v>50</v>
      </c>
      <c r="L562">
        <v>1</v>
      </c>
      <c r="M562">
        <v>0.96874199999729105</v>
      </c>
      <c r="N562" t="s">
        <v>51</v>
      </c>
      <c r="O562">
        <v>7</v>
      </c>
      <c r="P562">
        <v>17</v>
      </c>
      <c r="Q562">
        <v>157</v>
      </c>
      <c r="R562">
        <v>19</v>
      </c>
      <c r="S562">
        <v>210.84842410002599</v>
      </c>
      <c r="X562">
        <v>210.83843980001899</v>
      </c>
      <c r="Y562">
        <v>210.84842410002599</v>
      </c>
      <c r="Z562">
        <v>211.34861610003199</v>
      </c>
      <c r="AA562">
        <v>211.34861610003199</v>
      </c>
      <c r="AB562">
        <v>211.34861610003199</v>
      </c>
      <c r="AC562">
        <v>212.32038480002601</v>
      </c>
      <c r="AD562" t="s">
        <v>50</v>
      </c>
      <c r="AE562">
        <v>1</v>
      </c>
      <c r="AF562">
        <v>0.96874199999729105</v>
      </c>
      <c r="AG562" t="s">
        <v>51</v>
      </c>
      <c r="AK562" t="s">
        <v>92</v>
      </c>
      <c r="AL562">
        <v>1</v>
      </c>
      <c r="AM562" t="s">
        <v>82</v>
      </c>
      <c r="AN562" t="s">
        <v>43</v>
      </c>
      <c r="AP562" t="s">
        <v>44</v>
      </c>
      <c r="AQ562">
        <v>60.124517886762398</v>
      </c>
      <c r="AR562" t="s">
        <v>83</v>
      </c>
    </row>
    <row r="563" spans="1:44" x14ac:dyDescent="0.3">
      <c r="A563" t="s">
        <v>70</v>
      </c>
      <c r="B563" t="s">
        <v>49</v>
      </c>
      <c r="C563" s="2" t="str">
        <f t="shared" si="8"/>
        <v>Emotional-I</v>
      </c>
      <c r="D563">
        <v>0.95323340001050305</v>
      </c>
      <c r="E563" t="s">
        <v>59</v>
      </c>
      <c r="F563" t="s">
        <v>53</v>
      </c>
      <c r="G563" t="s">
        <v>54</v>
      </c>
      <c r="H563">
        <v>158</v>
      </c>
      <c r="I563">
        <v>18</v>
      </c>
      <c r="J563">
        <v>7</v>
      </c>
      <c r="K563" t="s">
        <v>54</v>
      </c>
      <c r="L563">
        <v>1</v>
      </c>
      <c r="M563">
        <v>0.71844319999217898</v>
      </c>
      <c r="N563" t="s">
        <v>51</v>
      </c>
      <c r="O563">
        <v>7</v>
      </c>
      <c r="P563">
        <v>18</v>
      </c>
      <c r="Q563">
        <v>158</v>
      </c>
      <c r="R563">
        <v>2</v>
      </c>
      <c r="S563">
        <v>212.332257400034</v>
      </c>
      <c r="X563">
        <v>212.32334470003801</v>
      </c>
      <c r="Y563">
        <v>212.332257400034</v>
      </c>
      <c r="Z563">
        <v>212.83251180005001</v>
      </c>
      <c r="AA563">
        <v>212.83251180005001</v>
      </c>
      <c r="AB563">
        <v>212.83251180005001</v>
      </c>
      <c r="AC563">
        <v>213.552184900036</v>
      </c>
      <c r="AD563" t="s">
        <v>54</v>
      </c>
      <c r="AE563">
        <v>1</v>
      </c>
      <c r="AF563">
        <v>0.71844319999217898</v>
      </c>
      <c r="AG563" t="s">
        <v>51</v>
      </c>
      <c r="AK563" t="s">
        <v>92</v>
      </c>
      <c r="AL563">
        <v>1</v>
      </c>
      <c r="AM563" t="s">
        <v>82</v>
      </c>
      <c r="AN563" t="s">
        <v>43</v>
      </c>
      <c r="AP563" t="s">
        <v>44</v>
      </c>
      <c r="AQ563">
        <v>60.124517886762398</v>
      </c>
      <c r="AR563" t="s">
        <v>83</v>
      </c>
    </row>
    <row r="564" spans="1:44" x14ac:dyDescent="0.3">
      <c r="A564" t="s">
        <v>69</v>
      </c>
      <c r="B564" t="s">
        <v>49</v>
      </c>
      <c r="C564" s="2" t="str">
        <f t="shared" si="8"/>
        <v>Emotional-I</v>
      </c>
      <c r="D564">
        <v>0.508270899998024</v>
      </c>
      <c r="E564" t="s">
        <v>59</v>
      </c>
      <c r="F564" t="s">
        <v>56</v>
      </c>
      <c r="G564" t="s">
        <v>57</v>
      </c>
      <c r="H564">
        <v>159</v>
      </c>
      <c r="I564">
        <v>19</v>
      </c>
      <c r="J564">
        <v>7</v>
      </c>
      <c r="K564" t="s">
        <v>57</v>
      </c>
      <c r="L564">
        <v>1</v>
      </c>
      <c r="M564">
        <v>1.0700016000191599</v>
      </c>
      <c r="N564" t="s">
        <v>51</v>
      </c>
      <c r="O564">
        <v>7</v>
      </c>
      <c r="P564">
        <v>19</v>
      </c>
      <c r="Q564">
        <v>159</v>
      </c>
      <c r="R564">
        <v>5</v>
      </c>
      <c r="S564">
        <v>213.565986000001</v>
      </c>
      <c r="X564">
        <v>213.55526430002601</v>
      </c>
      <c r="Y564">
        <v>213.565986000001</v>
      </c>
      <c r="Z564">
        <v>214.06576480000501</v>
      </c>
      <c r="AA564">
        <v>214.06576480000501</v>
      </c>
      <c r="AB564">
        <v>214.06576480000501</v>
      </c>
      <c r="AC564">
        <v>215.13682450004799</v>
      </c>
      <c r="AD564" t="s">
        <v>57</v>
      </c>
      <c r="AE564">
        <v>1</v>
      </c>
      <c r="AF564">
        <v>1.0700016000191599</v>
      </c>
      <c r="AG564" t="s">
        <v>51</v>
      </c>
      <c r="AK564" t="s">
        <v>92</v>
      </c>
      <c r="AL564">
        <v>1</v>
      </c>
      <c r="AM564" t="s">
        <v>82</v>
      </c>
      <c r="AN564" t="s">
        <v>43</v>
      </c>
      <c r="AP564" t="s">
        <v>44</v>
      </c>
      <c r="AQ564">
        <v>60.124517886762398</v>
      </c>
      <c r="AR564" t="s">
        <v>83</v>
      </c>
    </row>
    <row r="565" spans="1:44" x14ac:dyDescent="0.3">
      <c r="A565" t="s">
        <v>78</v>
      </c>
      <c r="B565" t="s">
        <v>49</v>
      </c>
      <c r="C565" s="2" t="str">
        <f t="shared" si="8"/>
        <v>Neutral</v>
      </c>
      <c r="D565">
        <v>1.0858431999804401</v>
      </c>
      <c r="E565" t="s">
        <v>47</v>
      </c>
      <c r="F565" t="s">
        <v>56</v>
      </c>
      <c r="G565" t="s">
        <v>57</v>
      </c>
      <c r="H565">
        <v>160</v>
      </c>
      <c r="I565">
        <v>0</v>
      </c>
      <c r="J565">
        <v>8</v>
      </c>
      <c r="K565" t="s">
        <v>57</v>
      </c>
      <c r="L565">
        <v>1</v>
      </c>
      <c r="M565">
        <v>0.391185300017241</v>
      </c>
      <c r="N565" t="s">
        <v>51</v>
      </c>
      <c r="O565">
        <v>8</v>
      </c>
      <c r="P565">
        <v>0</v>
      </c>
      <c r="Q565">
        <v>160</v>
      </c>
      <c r="R565">
        <v>17</v>
      </c>
      <c r="S565">
        <v>215.14890359999799</v>
      </c>
      <c r="X565">
        <v>215.13991830003201</v>
      </c>
      <c r="Y565">
        <v>215.14890359999799</v>
      </c>
      <c r="Z565">
        <v>215.64893920003601</v>
      </c>
      <c r="AA565">
        <v>215.64893920003601</v>
      </c>
      <c r="AB565">
        <v>215.64893920003601</v>
      </c>
      <c r="AC565">
        <v>216.053267900017</v>
      </c>
      <c r="AD565" t="s">
        <v>57</v>
      </c>
      <c r="AE565">
        <v>1</v>
      </c>
      <c r="AF565">
        <v>0.391185300017241</v>
      </c>
      <c r="AG565" t="s">
        <v>51</v>
      </c>
      <c r="AK565" t="s">
        <v>92</v>
      </c>
      <c r="AL565">
        <v>1</v>
      </c>
      <c r="AM565" t="s">
        <v>82</v>
      </c>
      <c r="AN565" t="s">
        <v>43</v>
      </c>
      <c r="AP565" t="s">
        <v>44</v>
      </c>
      <c r="AQ565">
        <v>60.124517886762398</v>
      </c>
      <c r="AR565" t="s">
        <v>83</v>
      </c>
    </row>
    <row r="566" spans="1:44" x14ac:dyDescent="0.3">
      <c r="A566" t="s">
        <v>75</v>
      </c>
      <c r="B566" t="s">
        <v>49</v>
      </c>
      <c r="C566" s="2" t="str">
        <f t="shared" si="8"/>
        <v>Neutral</v>
      </c>
      <c r="D566">
        <v>0.77401940000709102</v>
      </c>
      <c r="E566" t="s">
        <v>47</v>
      </c>
      <c r="F566" t="s">
        <v>61</v>
      </c>
      <c r="G566" t="s">
        <v>63</v>
      </c>
      <c r="H566">
        <v>161</v>
      </c>
      <c r="I566">
        <v>1</v>
      </c>
      <c r="J566">
        <v>8</v>
      </c>
      <c r="K566" t="s">
        <v>63</v>
      </c>
      <c r="L566">
        <v>1</v>
      </c>
      <c r="M566">
        <v>0.52599509997526095</v>
      </c>
      <c r="N566" t="s">
        <v>51</v>
      </c>
      <c r="O566">
        <v>8</v>
      </c>
      <c r="P566">
        <v>1</v>
      </c>
      <c r="Q566">
        <v>161</v>
      </c>
      <c r="R566">
        <v>16</v>
      </c>
      <c r="S566">
        <v>216.06542160001101</v>
      </c>
      <c r="X566">
        <v>216.05686160002301</v>
      </c>
      <c r="Y566">
        <v>216.06542160001101</v>
      </c>
      <c r="Z566">
        <v>216.56565490004101</v>
      </c>
      <c r="AA566">
        <v>216.56565490004101</v>
      </c>
      <c r="AB566">
        <v>216.56565490004101</v>
      </c>
      <c r="AC566">
        <v>217.10371080000101</v>
      </c>
      <c r="AD566" t="s">
        <v>63</v>
      </c>
      <c r="AE566">
        <v>1</v>
      </c>
      <c r="AF566">
        <v>0.52599509997526095</v>
      </c>
      <c r="AG566" t="s">
        <v>51</v>
      </c>
      <c r="AK566" t="s">
        <v>92</v>
      </c>
      <c r="AL566">
        <v>1</v>
      </c>
      <c r="AM566" t="s">
        <v>82</v>
      </c>
      <c r="AN566" t="s">
        <v>43</v>
      </c>
      <c r="AP566" t="s">
        <v>44</v>
      </c>
      <c r="AQ566">
        <v>60.124517886762398</v>
      </c>
      <c r="AR566" t="s">
        <v>83</v>
      </c>
    </row>
    <row r="567" spans="1:44" hidden="1" x14ac:dyDescent="0.3">
      <c r="A567" t="s">
        <v>64</v>
      </c>
      <c r="B567" t="s">
        <v>49</v>
      </c>
      <c r="C567" s="2" t="str">
        <f t="shared" si="8"/>
        <v>Neutral</v>
      </c>
      <c r="D567">
        <v>0.585521399974823</v>
      </c>
      <c r="E567" t="s">
        <v>47</v>
      </c>
      <c r="F567" t="s">
        <v>53</v>
      </c>
      <c r="G567" t="s">
        <v>54</v>
      </c>
      <c r="H567">
        <v>162</v>
      </c>
      <c r="I567">
        <v>2</v>
      </c>
      <c r="J567">
        <v>8</v>
      </c>
      <c r="K567" t="s">
        <v>50</v>
      </c>
      <c r="L567">
        <v>0</v>
      </c>
      <c r="M567">
        <v>0.76261779997730605</v>
      </c>
      <c r="N567" t="s">
        <v>51</v>
      </c>
      <c r="O567">
        <v>8</v>
      </c>
      <c r="P567">
        <v>2</v>
      </c>
      <c r="Q567">
        <v>162</v>
      </c>
      <c r="R567">
        <v>18</v>
      </c>
      <c r="S567">
        <v>217.115425000025</v>
      </c>
      <c r="X567">
        <v>217.106446100049</v>
      </c>
      <c r="Y567">
        <v>217.115425000025</v>
      </c>
      <c r="Z567">
        <v>217.616027600015</v>
      </c>
      <c r="AA567">
        <v>217.616027600015</v>
      </c>
      <c r="AB567">
        <v>217.616027600015</v>
      </c>
      <c r="AC567">
        <v>218.385607000032</v>
      </c>
      <c r="AD567" t="s">
        <v>50</v>
      </c>
      <c r="AE567">
        <v>0</v>
      </c>
      <c r="AF567">
        <v>0.76261779997730605</v>
      </c>
      <c r="AG567" t="s">
        <v>51</v>
      </c>
      <c r="AK567" t="s">
        <v>92</v>
      </c>
      <c r="AL567">
        <v>1</v>
      </c>
      <c r="AM567" t="s">
        <v>82</v>
      </c>
      <c r="AN567" t="s">
        <v>43</v>
      </c>
      <c r="AP567" t="s">
        <v>44</v>
      </c>
      <c r="AQ567">
        <v>60.124517886762398</v>
      </c>
      <c r="AR567" t="s">
        <v>83</v>
      </c>
    </row>
    <row r="568" spans="1:44" x14ac:dyDescent="0.3">
      <c r="A568" t="s">
        <v>52</v>
      </c>
      <c r="B568" t="s">
        <v>49</v>
      </c>
      <c r="C568" s="2" t="str">
        <f t="shared" si="8"/>
        <v>Neutral</v>
      </c>
      <c r="D568">
        <v>0.75339630001690205</v>
      </c>
      <c r="E568" t="s">
        <v>47</v>
      </c>
      <c r="F568" t="s">
        <v>53</v>
      </c>
      <c r="G568" t="s">
        <v>54</v>
      </c>
      <c r="H568">
        <v>163</v>
      </c>
      <c r="I568">
        <v>3</v>
      </c>
      <c r="J568">
        <v>8</v>
      </c>
      <c r="K568" t="s">
        <v>54</v>
      </c>
      <c r="L568">
        <v>1</v>
      </c>
      <c r="M568">
        <v>0.65590100002009399</v>
      </c>
      <c r="N568" t="s">
        <v>51</v>
      </c>
      <c r="O568">
        <v>8</v>
      </c>
      <c r="P568">
        <v>3</v>
      </c>
      <c r="Q568">
        <v>163</v>
      </c>
      <c r="R568">
        <v>14</v>
      </c>
      <c r="S568">
        <v>218.39878690004099</v>
      </c>
      <c r="X568">
        <v>218.388266100024</v>
      </c>
      <c r="Y568">
        <v>218.39878690004099</v>
      </c>
      <c r="Z568">
        <v>218.89947580004801</v>
      </c>
      <c r="AA568">
        <v>218.89947580004801</v>
      </c>
      <c r="AB568">
        <v>218.89947580004801</v>
      </c>
      <c r="AC568">
        <v>219.57019550004</v>
      </c>
      <c r="AD568" t="s">
        <v>54</v>
      </c>
      <c r="AE568">
        <v>1</v>
      </c>
      <c r="AF568">
        <v>0.65590100002009399</v>
      </c>
      <c r="AG568" t="s">
        <v>51</v>
      </c>
      <c r="AK568" t="s">
        <v>92</v>
      </c>
      <c r="AL568">
        <v>1</v>
      </c>
      <c r="AM568" t="s">
        <v>82</v>
      </c>
      <c r="AN568" t="s">
        <v>43</v>
      </c>
      <c r="AP568" t="s">
        <v>44</v>
      </c>
      <c r="AQ568">
        <v>60.124517886762398</v>
      </c>
      <c r="AR568" t="s">
        <v>83</v>
      </c>
    </row>
    <row r="569" spans="1:44" x14ac:dyDescent="0.3">
      <c r="A569" t="s">
        <v>68</v>
      </c>
      <c r="B569" t="s">
        <v>49</v>
      </c>
      <c r="C569" s="2" t="str">
        <f t="shared" si="8"/>
        <v>Emotional-I</v>
      </c>
      <c r="D569">
        <v>0.52074990002438404</v>
      </c>
      <c r="E569" t="s">
        <v>59</v>
      </c>
      <c r="F569" t="s">
        <v>53</v>
      </c>
      <c r="G569" t="s">
        <v>54</v>
      </c>
      <c r="H569">
        <v>164</v>
      </c>
      <c r="I569">
        <v>4</v>
      </c>
      <c r="J569">
        <v>8</v>
      </c>
      <c r="K569" t="s">
        <v>54</v>
      </c>
      <c r="L569">
        <v>1</v>
      </c>
      <c r="M569">
        <v>0.46749140002066197</v>
      </c>
      <c r="N569" t="s">
        <v>51</v>
      </c>
      <c r="O569">
        <v>8</v>
      </c>
      <c r="P569">
        <v>4</v>
      </c>
      <c r="Q569">
        <v>164</v>
      </c>
      <c r="R569">
        <v>6</v>
      </c>
      <c r="S569">
        <v>219.581831900053</v>
      </c>
      <c r="X569">
        <v>219.573887600039</v>
      </c>
      <c r="Y569">
        <v>219.581831900053</v>
      </c>
      <c r="Z569">
        <v>220.08286180003699</v>
      </c>
      <c r="AA569">
        <v>220.08286180003699</v>
      </c>
      <c r="AB569">
        <v>220.08286180003699</v>
      </c>
      <c r="AC569">
        <v>220.552709500014</v>
      </c>
      <c r="AD569" t="s">
        <v>54</v>
      </c>
      <c r="AE569">
        <v>1</v>
      </c>
      <c r="AF569">
        <v>0.46749140002066197</v>
      </c>
      <c r="AG569" t="s">
        <v>51</v>
      </c>
      <c r="AK569" t="s">
        <v>92</v>
      </c>
      <c r="AL569">
        <v>1</v>
      </c>
      <c r="AM569" t="s">
        <v>82</v>
      </c>
      <c r="AN569" t="s">
        <v>43</v>
      </c>
      <c r="AP569" t="s">
        <v>44</v>
      </c>
      <c r="AQ569">
        <v>60.124517886762398</v>
      </c>
      <c r="AR569" t="s">
        <v>83</v>
      </c>
    </row>
    <row r="570" spans="1:44" x14ac:dyDescent="0.3">
      <c r="A570" t="s">
        <v>76</v>
      </c>
      <c r="B570" t="s">
        <v>49</v>
      </c>
      <c r="C570" s="2" t="str">
        <f t="shared" si="8"/>
        <v>Emotional-I</v>
      </c>
      <c r="D570">
        <v>1.3293216000310999</v>
      </c>
      <c r="E570" t="s">
        <v>59</v>
      </c>
      <c r="F570" t="s">
        <v>48</v>
      </c>
      <c r="G570" t="s">
        <v>50</v>
      </c>
      <c r="H570">
        <v>165</v>
      </c>
      <c r="I570">
        <v>5</v>
      </c>
      <c r="J570">
        <v>8</v>
      </c>
      <c r="K570" t="s">
        <v>50</v>
      </c>
      <c r="L570">
        <v>1</v>
      </c>
      <c r="M570">
        <v>0.58484210004098702</v>
      </c>
      <c r="N570" t="s">
        <v>51</v>
      </c>
      <c r="O570">
        <v>8</v>
      </c>
      <c r="P570">
        <v>5</v>
      </c>
      <c r="Q570">
        <v>165</v>
      </c>
      <c r="R570">
        <v>3</v>
      </c>
      <c r="S570">
        <v>220.56543680000999</v>
      </c>
      <c r="X570">
        <v>220.555432200024</v>
      </c>
      <c r="Y570">
        <v>220.56543680000999</v>
      </c>
      <c r="Z570">
        <v>221.06525590003</v>
      </c>
      <c r="AA570">
        <v>221.06525590003</v>
      </c>
      <c r="AB570">
        <v>221.06525590003</v>
      </c>
      <c r="AC570">
        <v>221.652749600005</v>
      </c>
      <c r="AD570" t="s">
        <v>50</v>
      </c>
      <c r="AE570">
        <v>1</v>
      </c>
      <c r="AF570">
        <v>0.58484210004098702</v>
      </c>
      <c r="AG570" t="s">
        <v>51</v>
      </c>
      <c r="AK570" t="s">
        <v>92</v>
      </c>
      <c r="AL570">
        <v>1</v>
      </c>
      <c r="AM570" t="s">
        <v>82</v>
      </c>
      <c r="AN570" t="s">
        <v>43</v>
      </c>
      <c r="AP570" t="s">
        <v>44</v>
      </c>
      <c r="AQ570">
        <v>60.124517886762398</v>
      </c>
      <c r="AR570" t="s">
        <v>83</v>
      </c>
    </row>
    <row r="571" spans="1:44" hidden="1" x14ac:dyDescent="0.3">
      <c r="A571" t="s">
        <v>46</v>
      </c>
      <c r="B571" t="s">
        <v>49</v>
      </c>
      <c r="C571" s="2" t="str">
        <f t="shared" si="8"/>
        <v>Neutral</v>
      </c>
      <c r="D571">
        <v>0.804908999998588</v>
      </c>
      <c r="E571" t="s">
        <v>47</v>
      </c>
      <c r="F571" t="s">
        <v>48</v>
      </c>
      <c r="G571" t="s">
        <v>50</v>
      </c>
      <c r="H571">
        <v>166</v>
      </c>
      <c r="I571">
        <v>6</v>
      </c>
      <c r="J571">
        <v>8</v>
      </c>
      <c r="K571" t="s">
        <v>54</v>
      </c>
      <c r="L571">
        <v>0</v>
      </c>
      <c r="M571">
        <v>0.83917669998481803</v>
      </c>
      <c r="N571" t="s">
        <v>51</v>
      </c>
      <c r="O571">
        <v>8</v>
      </c>
      <c r="P571">
        <v>6</v>
      </c>
      <c r="Q571">
        <v>166</v>
      </c>
      <c r="R571">
        <v>19</v>
      </c>
      <c r="S571">
        <v>221.66548920003601</v>
      </c>
      <c r="X571">
        <v>221.65536150004399</v>
      </c>
      <c r="Y571">
        <v>221.66548920003601</v>
      </c>
      <c r="Z571">
        <v>222.16515430004799</v>
      </c>
      <c r="AA571">
        <v>222.16515430004799</v>
      </c>
      <c r="AB571">
        <v>222.16515430004799</v>
      </c>
      <c r="AC571">
        <v>223.01989070000101</v>
      </c>
      <c r="AD571" t="s">
        <v>54</v>
      </c>
      <c r="AE571">
        <v>0</v>
      </c>
      <c r="AF571">
        <v>0.83917669998481803</v>
      </c>
      <c r="AG571" t="s">
        <v>51</v>
      </c>
      <c r="AK571" t="s">
        <v>92</v>
      </c>
      <c r="AL571">
        <v>1</v>
      </c>
      <c r="AM571" t="s">
        <v>82</v>
      </c>
      <c r="AN571" t="s">
        <v>43</v>
      </c>
      <c r="AP571" t="s">
        <v>44</v>
      </c>
      <c r="AQ571">
        <v>60.124517886762398</v>
      </c>
      <c r="AR571" t="s">
        <v>83</v>
      </c>
    </row>
    <row r="572" spans="1:44" x14ac:dyDescent="0.3">
      <c r="A572" t="s">
        <v>72</v>
      </c>
      <c r="B572" t="s">
        <v>62</v>
      </c>
      <c r="C572" s="2" t="str">
        <f t="shared" si="8"/>
        <v>Emotional-C</v>
      </c>
      <c r="D572">
        <v>0.474719499994535</v>
      </c>
      <c r="E572" t="s">
        <v>59</v>
      </c>
      <c r="F572" t="s">
        <v>61</v>
      </c>
      <c r="G572" t="s">
        <v>63</v>
      </c>
      <c r="H572">
        <v>167</v>
      </c>
      <c r="I572">
        <v>7</v>
      </c>
      <c r="J572">
        <v>8</v>
      </c>
      <c r="K572" t="s">
        <v>63</v>
      </c>
      <c r="L572">
        <v>1</v>
      </c>
      <c r="M572">
        <v>0.67770830000517801</v>
      </c>
      <c r="N572" t="s">
        <v>51</v>
      </c>
      <c r="O572">
        <v>8</v>
      </c>
      <c r="P572">
        <v>7</v>
      </c>
      <c r="Q572">
        <v>167</v>
      </c>
      <c r="R572">
        <v>8</v>
      </c>
      <c r="S572">
        <v>223.03259840002201</v>
      </c>
      <c r="X572">
        <v>223.02266330004201</v>
      </c>
      <c r="Y572">
        <v>223.03259840002201</v>
      </c>
      <c r="Z572">
        <v>223.53213720000301</v>
      </c>
      <c r="AA572">
        <v>223.53213720000301</v>
      </c>
      <c r="AB572">
        <v>223.53213720000301</v>
      </c>
      <c r="AC572">
        <v>224.218777900037</v>
      </c>
      <c r="AD572" t="s">
        <v>63</v>
      </c>
      <c r="AE572">
        <v>1</v>
      </c>
      <c r="AF572">
        <v>0.67770830000517801</v>
      </c>
      <c r="AG572" t="s">
        <v>51</v>
      </c>
      <c r="AK572" t="s">
        <v>92</v>
      </c>
      <c r="AL572">
        <v>1</v>
      </c>
      <c r="AM572" t="s">
        <v>82</v>
      </c>
      <c r="AN572" t="s">
        <v>43</v>
      </c>
      <c r="AP572" t="s">
        <v>44</v>
      </c>
      <c r="AQ572">
        <v>60.124517886762398</v>
      </c>
      <c r="AR572" t="s">
        <v>83</v>
      </c>
    </row>
    <row r="573" spans="1:44" x14ac:dyDescent="0.3">
      <c r="A573" t="s">
        <v>60</v>
      </c>
      <c r="B573" t="s">
        <v>62</v>
      </c>
      <c r="C573" s="2" t="str">
        <f t="shared" si="8"/>
        <v>Emotional-C</v>
      </c>
      <c r="D573">
        <v>0.73664860002463595</v>
      </c>
      <c r="E573" t="s">
        <v>59</v>
      </c>
      <c r="F573" t="s">
        <v>61</v>
      </c>
      <c r="G573" t="s">
        <v>63</v>
      </c>
      <c r="H573">
        <v>168</v>
      </c>
      <c r="I573">
        <v>8</v>
      </c>
      <c r="J573">
        <v>8</v>
      </c>
      <c r="K573" t="s">
        <v>63</v>
      </c>
      <c r="L573">
        <v>1</v>
      </c>
      <c r="M573">
        <v>0.62356169999111399</v>
      </c>
      <c r="N573" t="s">
        <v>51</v>
      </c>
      <c r="O573">
        <v>8</v>
      </c>
      <c r="P573">
        <v>8</v>
      </c>
      <c r="Q573">
        <v>168</v>
      </c>
      <c r="R573">
        <v>0</v>
      </c>
      <c r="S573">
        <v>224.23292360000701</v>
      </c>
      <c r="X573">
        <v>224.22143800003599</v>
      </c>
      <c r="Y573">
        <v>224.23292360000701</v>
      </c>
      <c r="Z573">
        <v>224.731251900026</v>
      </c>
      <c r="AA573">
        <v>224.731251900026</v>
      </c>
      <c r="AB573">
        <v>224.731251900026</v>
      </c>
      <c r="AC573">
        <v>225.36841390002499</v>
      </c>
      <c r="AD573" t="s">
        <v>63</v>
      </c>
      <c r="AE573">
        <v>1</v>
      </c>
      <c r="AF573">
        <v>0.62356169999111399</v>
      </c>
      <c r="AG573" t="s">
        <v>51</v>
      </c>
      <c r="AK573" t="s">
        <v>92</v>
      </c>
      <c r="AL573">
        <v>1</v>
      </c>
      <c r="AM573" t="s">
        <v>82</v>
      </c>
      <c r="AN573" t="s">
        <v>43</v>
      </c>
      <c r="AP573" t="s">
        <v>44</v>
      </c>
      <c r="AQ573">
        <v>60.124517886762398</v>
      </c>
      <c r="AR573" t="s">
        <v>83</v>
      </c>
    </row>
    <row r="574" spans="1:44" x14ac:dyDescent="0.3">
      <c r="A574" t="s">
        <v>77</v>
      </c>
      <c r="B574" t="s">
        <v>62</v>
      </c>
      <c r="C574" s="2" t="str">
        <f t="shared" si="8"/>
        <v>Emotional-C</v>
      </c>
      <c r="D574">
        <v>0.76859029999468398</v>
      </c>
      <c r="E574" t="s">
        <v>59</v>
      </c>
      <c r="F574" t="s">
        <v>61</v>
      </c>
      <c r="G574" t="s">
        <v>63</v>
      </c>
      <c r="H574">
        <v>169</v>
      </c>
      <c r="I574">
        <v>9</v>
      </c>
      <c r="J574">
        <v>8</v>
      </c>
      <c r="K574" t="s">
        <v>63</v>
      </c>
      <c r="L574">
        <v>1</v>
      </c>
      <c r="M574">
        <v>0.37163529999088402</v>
      </c>
      <c r="N574" t="s">
        <v>51</v>
      </c>
      <c r="O574">
        <v>8</v>
      </c>
      <c r="P574">
        <v>9</v>
      </c>
      <c r="Q574">
        <v>169</v>
      </c>
      <c r="R574">
        <v>4</v>
      </c>
      <c r="S574">
        <v>225.38221370003799</v>
      </c>
      <c r="X574">
        <v>225.37120380002301</v>
      </c>
      <c r="Y574">
        <v>225.38221370003799</v>
      </c>
      <c r="Z574">
        <v>225.88244830002</v>
      </c>
      <c r="AA574">
        <v>225.88244830002</v>
      </c>
      <c r="AB574">
        <v>225.88244830002</v>
      </c>
      <c r="AC574">
        <v>226.26882350002401</v>
      </c>
      <c r="AD574" t="s">
        <v>63</v>
      </c>
      <c r="AE574">
        <v>1</v>
      </c>
      <c r="AF574">
        <v>0.37163529999088402</v>
      </c>
      <c r="AG574" t="s">
        <v>51</v>
      </c>
      <c r="AK574" t="s">
        <v>92</v>
      </c>
      <c r="AL574">
        <v>1</v>
      </c>
      <c r="AM574" t="s">
        <v>82</v>
      </c>
      <c r="AN574" t="s">
        <v>43</v>
      </c>
      <c r="AP574" t="s">
        <v>44</v>
      </c>
      <c r="AQ574">
        <v>60.124517886762398</v>
      </c>
      <c r="AR574" t="s">
        <v>83</v>
      </c>
    </row>
    <row r="575" spans="1:44" x14ac:dyDescent="0.3">
      <c r="A575" t="s">
        <v>74</v>
      </c>
      <c r="B575" t="s">
        <v>49</v>
      </c>
      <c r="C575" s="2" t="str">
        <f t="shared" si="8"/>
        <v>Neutral</v>
      </c>
      <c r="D575">
        <v>0.55863420001696795</v>
      </c>
      <c r="E575" t="s">
        <v>47</v>
      </c>
      <c r="F575" t="s">
        <v>48</v>
      </c>
      <c r="G575" t="s">
        <v>50</v>
      </c>
      <c r="H575">
        <v>170</v>
      </c>
      <c r="I575">
        <v>10</v>
      </c>
      <c r="J575">
        <v>8</v>
      </c>
      <c r="K575" t="s">
        <v>50</v>
      </c>
      <c r="L575">
        <v>1</v>
      </c>
      <c r="M575">
        <v>0.74852789996657498</v>
      </c>
      <c r="N575" t="s">
        <v>51</v>
      </c>
      <c r="O575">
        <v>8</v>
      </c>
      <c r="P575">
        <v>10</v>
      </c>
      <c r="Q575">
        <v>170</v>
      </c>
      <c r="R575">
        <v>11</v>
      </c>
      <c r="S575">
        <v>226.28217440005301</v>
      </c>
      <c r="X575">
        <v>226.27132590004399</v>
      </c>
      <c r="Y575">
        <v>226.28217440005301</v>
      </c>
      <c r="Z575">
        <v>226.78656230005399</v>
      </c>
      <c r="AA575">
        <v>226.78656230005399</v>
      </c>
      <c r="AB575">
        <v>226.78656230005399</v>
      </c>
      <c r="AC575">
        <v>227.55223600001699</v>
      </c>
      <c r="AD575" t="s">
        <v>50</v>
      </c>
      <c r="AE575">
        <v>1</v>
      </c>
      <c r="AF575">
        <v>0.74852789996657498</v>
      </c>
      <c r="AG575" t="s">
        <v>51</v>
      </c>
      <c r="AK575" t="s">
        <v>92</v>
      </c>
      <c r="AL575">
        <v>1</v>
      </c>
      <c r="AM575" t="s">
        <v>82</v>
      </c>
      <c r="AN575" t="s">
        <v>43</v>
      </c>
      <c r="AP575" t="s">
        <v>44</v>
      </c>
      <c r="AQ575">
        <v>60.124517886762398</v>
      </c>
      <c r="AR575" t="s">
        <v>83</v>
      </c>
    </row>
    <row r="576" spans="1:44" x14ac:dyDescent="0.3">
      <c r="A576" t="s">
        <v>69</v>
      </c>
      <c r="B576" t="s">
        <v>49</v>
      </c>
      <c r="C576" s="2" t="str">
        <f t="shared" si="8"/>
        <v>Emotional-I</v>
      </c>
      <c r="D576">
        <v>0.45438259997172198</v>
      </c>
      <c r="E576" t="s">
        <v>59</v>
      </c>
      <c r="F576" t="s">
        <v>56</v>
      </c>
      <c r="G576" t="s">
        <v>57</v>
      </c>
      <c r="H576">
        <v>171</v>
      </c>
      <c r="I576">
        <v>11</v>
      </c>
      <c r="J576">
        <v>8</v>
      </c>
      <c r="K576" t="s">
        <v>57</v>
      </c>
      <c r="L576">
        <v>1</v>
      </c>
      <c r="M576">
        <v>0.783032500010449</v>
      </c>
      <c r="N576" t="s">
        <v>51</v>
      </c>
      <c r="O576">
        <v>8</v>
      </c>
      <c r="P576">
        <v>11</v>
      </c>
      <c r="Q576">
        <v>171</v>
      </c>
      <c r="R576">
        <v>5</v>
      </c>
      <c r="S576">
        <v>227.565116700017</v>
      </c>
      <c r="X576">
        <v>227.55493540002499</v>
      </c>
      <c r="Y576">
        <v>227.565116700017</v>
      </c>
      <c r="Z576">
        <v>228.06573670002399</v>
      </c>
      <c r="AA576">
        <v>228.06573670002399</v>
      </c>
      <c r="AB576">
        <v>228.06573670002399</v>
      </c>
      <c r="AC576">
        <v>228.85257980000401</v>
      </c>
      <c r="AD576" t="s">
        <v>57</v>
      </c>
      <c r="AE576">
        <v>1</v>
      </c>
      <c r="AF576">
        <v>0.783032500010449</v>
      </c>
      <c r="AG576" t="s">
        <v>51</v>
      </c>
      <c r="AK576" t="s">
        <v>92</v>
      </c>
      <c r="AL576">
        <v>1</v>
      </c>
      <c r="AM576" t="s">
        <v>82</v>
      </c>
      <c r="AN576" t="s">
        <v>43</v>
      </c>
      <c r="AP576" t="s">
        <v>44</v>
      </c>
      <c r="AQ576">
        <v>60.124517886762398</v>
      </c>
      <c r="AR576" t="s">
        <v>83</v>
      </c>
    </row>
    <row r="577" spans="1:44" x14ac:dyDescent="0.3">
      <c r="A577" t="s">
        <v>67</v>
      </c>
      <c r="B577" t="s">
        <v>49</v>
      </c>
      <c r="C577" s="2" t="str">
        <f t="shared" si="8"/>
        <v>Neutral</v>
      </c>
      <c r="D577">
        <v>0.45179670001380101</v>
      </c>
      <c r="E577" t="s">
        <v>47</v>
      </c>
      <c r="F577" t="s">
        <v>53</v>
      </c>
      <c r="G577" t="s">
        <v>54</v>
      </c>
      <c r="H577">
        <v>172</v>
      </c>
      <c r="I577">
        <v>12</v>
      </c>
      <c r="J577">
        <v>8</v>
      </c>
      <c r="K577" t="s">
        <v>54</v>
      </c>
      <c r="L577">
        <v>1</v>
      </c>
      <c r="M577">
        <v>0.58379299996886402</v>
      </c>
      <c r="N577" t="s">
        <v>51</v>
      </c>
      <c r="O577">
        <v>8</v>
      </c>
      <c r="P577">
        <v>12</v>
      </c>
      <c r="Q577">
        <v>172</v>
      </c>
      <c r="R577">
        <v>10</v>
      </c>
      <c r="S577">
        <v>228.86580870003601</v>
      </c>
      <c r="X577">
        <v>228.855207100044</v>
      </c>
      <c r="Y577">
        <v>228.86580870003601</v>
      </c>
      <c r="Z577">
        <v>229.363649100007</v>
      </c>
      <c r="AA577">
        <v>229.363649100007</v>
      </c>
      <c r="AB577">
        <v>229.363649100007</v>
      </c>
      <c r="AC577">
        <v>229.95254040002999</v>
      </c>
      <c r="AD577" t="s">
        <v>54</v>
      </c>
      <c r="AE577">
        <v>1</v>
      </c>
      <c r="AF577">
        <v>0.58379299996886402</v>
      </c>
      <c r="AG577" t="s">
        <v>51</v>
      </c>
      <c r="AK577" t="s">
        <v>92</v>
      </c>
      <c r="AL577">
        <v>1</v>
      </c>
      <c r="AM577" t="s">
        <v>82</v>
      </c>
      <c r="AN577" t="s">
        <v>43</v>
      </c>
      <c r="AP577" t="s">
        <v>44</v>
      </c>
      <c r="AQ577">
        <v>60.124517886762398</v>
      </c>
      <c r="AR577" t="s">
        <v>83</v>
      </c>
    </row>
    <row r="578" spans="1:44" x14ac:dyDescent="0.3">
      <c r="A578" t="s">
        <v>73</v>
      </c>
      <c r="B578" t="s">
        <v>49</v>
      </c>
      <c r="C578" s="2" t="str">
        <f t="shared" ref="C578:C641" si="9">IF(E578="neutral","Neutral",
IF(AND(E578="emotional",B578="C"),"Emotional-C",
IF(AND(E578="emotional",B578="I"),"Emotional-I","")))</f>
        <v>Emotional-I</v>
      </c>
      <c r="D578">
        <v>0.49364589998731301</v>
      </c>
      <c r="E578" t="s">
        <v>59</v>
      </c>
      <c r="F578" t="s">
        <v>56</v>
      </c>
      <c r="G578" t="s">
        <v>57</v>
      </c>
      <c r="H578">
        <v>173</v>
      </c>
      <c r="I578">
        <v>13</v>
      </c>
      <c r="J578">
        <v>8</v>
      </c>
      <c r="K578" t="s">
        <v>57</v>
      </c>
      <c r="L578">
        <v>1</v>
      </c>
      <c r="M578">
        <v>0.947752600011881</v>
      </c>
      <c r="N578" t="s">
        <v>51</v>
      </c>
      <c r="O578">
        <v>8</v>
      </c>
      <c r="P578">
        <v>13</v>
      </c>
      <c r="Q578">
        <v>173</v>
      </c>
      <c r="R578">
        <v>1</v>
      </c>
      <c r="S578">
        <v>229.96407950000099</v>
      </c>
      <c r="X578">
        <v>229.95560690003899</v>
      </c>
      <c r="Y578">
        <v>229.96407950000099</v>
      </c>
      <c r="Z578">
        <v>230.46428820001799</v>
      </c>
      <c r="AA578">
        <v>230.46428820001799</v>
      </c>
      <c r="AB578">
        <v>230.46428820001799</v>
      </c>
      <c r="AC578">
        <v>231.416976000007</v>
      </c>
      <c r="AD578" t="s">
        <v>57</v>
      </c>
      <c r="AE578">
        <v>1</v>
      </c>
      <c r="AF578">
        <v>0.947752600011881</v>
      </c>
      <c r="AG578" t="s">
        <v>51</v>
      </c>
      <c r="AK578" t="s">
        <v>92</v>
      </c>
      <c r="AL578">
        <v>1</v>
      </c>
      <c r="AM578" t="s">
        <v>82</v>
      </c>
      <c r="AN578" t="s">
        <v>43</v>
      </c>
      <c r="AP578" t="s">
        <v>44</v>
      </c>
      <c r="AQ578">
        <v>60.124517886762398</v>
      </c>
      <c r="AR578" t="s">
        <v>83</v>
      </c>
    </row>
    <row r="579" spans="1:44" x14ac:dyDescent="0.3">
      <c r="A579" t="s">
        <v>55</v>
      </c>
      <c r="B579" t="s">
        <v>49</v>
      </c>
      <c r="C579" s="2" t="str">
        <f t="shared" si="9"/>
        <v>Neutral</v>
      </c>
      <c r="D579">
        <v>0.84643269999651205</v>
      </c>
      <c r="E579" t="s">
        <v>47</v>
      </c>
      <c r="F579" t="s">
        <v>56</v>
      </c>
      <c r="G579" t="s">
        <v>57</v>
      </c>
      <c r="H579">
        <v>174</v>
      </c>
      <c r="I579">
        <v>14</v>
      </c>
      <c r="J579">
        <v>8</v>
      </c>
      <c r="K579" t="s">
        <v>57</v>
      </c>
      <c r="L579">
        <v>1</v>
      </c>
      <c r="M579">
        <v>0.47217879997333501</v>
      </c>
      <c r="N579" t="s">
        <v>51</v>
      </c>
      <c r="O579">
        <v>8</v>
      </c>
      <c r="P579">
        <v>14</v>
      </c>
      <c r="Q579">
        <v>174</v>
      </c>
      <c r="R579">
        <v>13</v>
      </c>
      <c r="S579">
        <v>231.430504500051</v>
      </c>
      <c r="X579">
        <v>231.419281400041</v>
      </c>
      <c r="Y579">
        <v>231.430504500051</v>
      </c>
      <c r="Z579">
        <v>231.93071590003001</v>
      </c>
      <c r="AA579">
        <v>231.93071590003001</v>
      </c>
      <c r="AB579">
        <v>231.93071590003001</v>
      </c>
      <c r="AC579">
        <v>232.41870050004201</v>
      </c>
      <c r="AD579" t="s">
        <v>57</v>
      </c>
      <c r="AE579">
        <v>1</v>
      </c>
      <c r="AF579">
        <v>0.47217879997333501</v>
      </c>
      <c r="AG579" t="s">
        <v>51</v>
      </c>
      <c r="AK579" t="s">
        <v>92</v>
      </c>
      <c r="AL579">
        <v>1</v>
      </c>
      <c r="AM579" t="s">
        <v>82</v>
      </c>
      <c r="AN579" t="s">
        <v>43</v>
      </c>
      <c r="AP579" t="s">
        <v>44</v>
      </c>
      <c r="AQ579">
        <v>60.124517886762398</v>
      </c>
      <c r="AR579" t="s">
        <v>83</v>
      </c>
    </row>
    <row r="580" spans="1:44" x14ac:dyDescent="0.3">
      <c r="A580" t="s">
        <v>65</v>
      </c>
      <c r="B580" t="s">
        <v>49</v>
      </c>
      <c r="C580" s="2" t="str">
        <f t="shared" si="9"/>
        <v>Emotional-I</v>
      </c>
      <c r="D580">
        <v>0.75849959999322802</v>
      </c>
      <c r="E580" t="s">
        <v>59</v>
      </c>
      <c r="F580" t="s">
        <v>56</v>
      </c>
      <c r="G580" t="s">
        <v>57</v>
      </c>
      <c r="H580">
        <v>175</v>
      </c>
      <c r="I580">
        <v>15</v>
      </c>
      <c r="J580">
        <v>8</v>
      </c>
      <c r="K580" t="s">
        <v>57</v>
      </c>
      <c r="L580">
        <v>1</v>
      </c>
      <c r="M580">
        <v>0.40373640001052902</v>
      </c>
      <c r="N580" t="s">
        <v>51</v>
      </c>
      <c r="O580">
        <v>8</v>
      </c>
      <c r="P580">
        <v>15</v>
      </c>
      <c r="Q580">
        <v>175</v>
      </c>
      <c r="R580">
        <v>9</v>
      </c>
      <c r="S580">
        <v>232.43053480004801</v>
      </c>
      <c r="X580">
        <v>232.422286700049</v>
      </c>
      <c r="Y580">
        <v>232.43053480004801</v>
      </c>
      <c r="Z580">
        <v>232.93022590002499</v>
      </c>
      <c r="AA580">
        <v>232.93022590002499</v>
      </c>
      <c r="AB580">
        <v>232.93022590002499</v>
      </c>
      <c r="AC580">
        <v>233.33534640003899</v>
      </c>
      <c r="AD580" t="s">
        <v>57</v>
      </c>
      <c r="AE580">
        <v>1</v>
      </c>
      <c r="AF580">
        <v>0.40373640001052902</v>
      </c>
      <c r="AG580" t="s">
        <v>51</v>
      </c>
      <c r="AK580" t="s">
        <v>92</v>
      </c>
      <c r="AL580">
        <v>1</v>
      </c>
      <c r="AM580" t="s">
        <v>82</v>
      </c>
      <c r="AN580" t="s">
        <v>43</v>
      </c>
      <c r="AP580" t="s">
        <v>44</v>
      </c>
      <c r="AQ580">
        <v>60.124517886762398</v>
      </c>
      <c r="AR580" t="s">
        <v>83</v>
      </c>
    </row>
    <row r="581" spans="1:44" x14ac:dyDescent="0.3">
      <c r="A581" t="s">
        <v>70</v>
      </c>
      <c r="B581" t="s">
        <v>49</v>
      </c>
      <c r="C581" s="2" t="str">
        <f t="shared" si="9"/>
        <v>Emotional-I</v>
      </c>
      <c r="D581">
        <v>0.88036830001510602</v>
      </c>
      <c r="E581" t="s">
        <v>59</v>
      </c>
      <c r="F581" t="s">
        <v>53</v>
      </c>
      <c r="G581" t="s">
        <v>54</v>
      </c>
      <c r="H581">
        <v>176</v>
      </c>
      <c r="I581">
        <v>16</v>
      </c>
      <c r="J581">
        <v>8</v>
      </c>
      <c r="K581" t="s">
        <v>54</v>
      </c>
      <c r="L581">
        <v>1</v>
      </c>
      <c r="M581">
        <v>1.0134750999859501</v>
      </c>
      <c r="N581" t="s">
        <v>51</v>
      </c>
      <c r="O581">
        <v>8</v>
      </c>
      <c r="P581">
        <v>16</v>
      </c>
      <c r="Q581">
        <v>176</v>
      </c>
      <c r="R581">
        <v>2</v>
      </c>
      <c r="S581">
        <v>233.34691960003599</v>
      </c>
      <c r="X581">
        <v>233.33757070003699</v>
      </c>
      <c r="Y581">
        <v>233.34691960003599</v>
      </c>
      <c r="Z581">
        <v>233.8487877</v>
      </c>
      <c r="AA581">
        <v>233.8487877</v>
      </c>
      <c r="AB581">
        <v>233.8487877</v>
      </c>
      <c r="AC581">
        <v>234.86943380004899</v>
      </c>
      <c r="AD581" t="s">
        <v>54</v>
      </c>
      <c r="AE581">
        <v>1</v>
      </c>
      <c r="AF581">
        <v>1.0134750999859501</v>
      </c>
      <c r="AG581" t="s">
        <v>51</v>
      </c>
      <c r="AK581" t="s">
        <v>92</v>
      </c>
      <c r="AL581">
        <v>1</v>
      </c>
      <c r="AM581" t="s">
        <v>82</v>
      </c>
      <c r="AN581" t="s">
        <v>43</v>
      </c>
      <c r="AP581" t="s">
        <v>44</v>
      </c>
      <c r="AQ581">
        <v>60.124517886762398</v>
      </c>
      <c r="AR581" t="s">
        <v>83</v>
      </c>
    </row>
    <row r="582" spans="1:44" x14ac:dyDescent="0.3">
      <c r="A582" t="s">
        <v>58</v>
      </c>
      <c r="B582" t="s">
        <v>49</v>
      </c>
      <c r="C582" s="2" t="str">
        <f t="shared" si="9"/>
        <v>Emotional-I</v>
      </c>
      <c r="D582">
        <v>0.58007490000454698</v>
      </c>
      <c r="E582" t="s">
        <v>59</v>
      </c>
      <c r="F582" t="s">
        <v>48</v>
      </c>
      <c r="G582" t="s">
        <v>50</v>
      </c>
      <c r="H582">
        <v>177</v>
      </c>
      <c r="I582">
        <v>17</v>
      </c>
      <c r="J582">
        <v>8</v>
      </c>
      <c r="K582" t="s">
        <v>50</v>
      </c>
      <c r="L582">
        <v>1</v>
      </c>
      <c r="M582">
        <v>0.76268889999482703</v>
      </c>
      <c r="N582" t="s">
        <v>51</v>
      </c>
      <c r="O582">
        <v>8</v>
      </c>
      <c r="P582">
        <v>17</v>
      </c>
      <c r="Q582">
        <v>177</v>
      </c>
      <c r="R582">
        <v>7</v>
      </c>
      <c r="S582">
        <v>234.88208060001401</v>
      </c>
      <c r="X582">
        <v>234.87240550003401</v>
      </c>
      <c r="Y582">
        <v>234.88208060001401</v>
      </c>
      <c r="Z582">
        <v>235.38173180003599</v>
      </c>
      <c r="AA582">
        <v>235.38173180003599</v>
      </c>
      <c r="AB582">
        <v>235.38173180003599</v>
      </c>
      <c r="AC582">
        <v>236.15422290004699</v>
      </c>
      <c r="AD582" t="s">
        <v>50</v>
      </c>
      <c r="AE582">
        <v>1</v>
      </c>
      <c r="AF582">
        <v>0.76268889999482703</v>
      </c>
      <c r="AG582" t="s">
        <v>51</v>
      </c>
      <c r="AK582" t="s">
        <v>92</v>
      </c>
      <c r="AL582">
        <v>1</v>
      </c>
      <c r="AM582" t="s">
        <v>82</v>
      </c>
      <c r="AN582" t="s">
        <v>43</v>
      </c>
      <c r="AP582" t="s">
        <v>44</v>
      </c>
      <c r="AQ582">
        <v>60.124517886762398</v>
      </c>
      <c r="AR582" t="s">
        <v>83</v>
      </c>
    </row>
    <row r="583" spans="1:44" x14ac:dyDescent="0.3">
      <c r="A583" t="s">
        <v>71</v>
      </c>
      <c r="B583" t="s">
        <v>49</v>
      </c>
      <c r="C583" s="2" t="str">
        <f t="shared" si="9"/>
        <v>Neutral</v>
      </c>
      <c r="D583">
        <v>6.2667314999853199</v>
      </c>
      <c r="E583" t="s">
        <v>47</v>
      </c>
      <c r="F583" t="s">
        <v>48</v>
      </c>
      <c r="G583" t="s">
        <v>50</v>
      </c>
      <c r="H583">
        <v>178</v>
      </c>
      <c r="I583">
        <v>18</v>
      </c>
      <c r="J583">
        <v>8</v>
      </c>
      <c r="K583" t="s">
        <v>50</v>
      </c>
      <c r="L583">
        <v>1</v>
      </c>
      <c r="M583">
        <v>0.46344449999742199</v>
      </c>
      <c r="N583" t="s">
        <v>51</v>
      </c>
      <c r="O583">
        <v>8</v>
      </c>
      <c r="P583">
        <v>18</v>
      </c>
      <c r="Q583">
        <v>178</v>
      </c>
      <c r="R583">
        <v>15</v>
      </c>
      <c r="S583">
        <v>236.18121480004601</v>
      </c>
      <c r="X583">
        <v>236.15843880001901</v>
      </c>
      <c r="Y583">
        <v>236.18121480004601</v>
      </c>
      <c r="Z583">
        <v>236.66579150000999</v>
      </c>
      <c r="AA583">
        <v>236.66579150000999</v>
      </c>
      <c r="AB583">
        <v>236.66579150000999</v>
      </c>
      <c r="AC583">
        <v>237.13424280000601</v>
      </c>
      <c r="AD583" t="s">
        <v>50</v>
      </c>
      <c r="AE583">
        <v>1</v>
      </c>
      <c r="AF583">
        <v>0.46344449999742199</v>
      </c>
      <c r="AG583" t="s">
        <v>51</v>
      </c>
      <c r="AK583" t="s">
        <v>92</v>
      </c>
      <c r="AL583">
        <v>1</v>
      </c>
      <c r="AM583" t="s">
        <v>82</v>
      </c>
      <c r="AN583" t="s">
        <v>43</v>
      </c>
      <c r="AP583" t="s">
        <v>44</v>
      </c>
      <c r="AQ583">
        <v>60.124517886762398</v>
      </c>
      <c r="AR583" t="s">
        <v>83</v>
      </c>
    </row>
    <row r="584" spans="1:44" x14ac:dyDescent="0.3">
      <c r="A584" t="s">
        <v>66</v>
      </c>
      <c r="B584" t="s">
        <v>49</v>
      </c>
      <c r="C584" s="2" t="str">
        <f t="shared" si="9"/>
        <v>Neutral</v>
      </c>
      <c r="D584">
        <v>1.11940820002928</v>
      </c>
      <c r="E584" t="s">
        <v>47</v>
      </c>
      <c r="F584" t="s">
        <v>61</v>
      </c>
      <c r="G584" t="s">
        <v>63</v>
      </c>
      <c r="H584">
        <v>179</v>
      </c>
      <c r="I584">
        <v>19</v>
      </c>
      <c r="J584">
        <v>8</v>
      </c>
      <c r="K584" t="s">
        <v>63</v>
      </c>
      <c r="L584">
        <v>1</v>
      </c>
      <c r="M584">
        <v>0.49329589999979301</v>
      </c>
      <c r="N584" t="s">
        <v>51</v>
      </c>
      <c r="O584">
        <v>8</v>
      </c>
      <c r="P584">
        <v>19</v>
      </c>
      <c r="Q584">
        <v>179</v>
      </c>
      <c r="R584">
        <v>12</v>
      </c>
      <c r="S584">
        <v>237.14821569999901</v>
      </c>
      <c r="X584">
        <v>237.13657250004999</v>
      </c>
      <c r="Y584">
        <v>237.14821569999901</v>
      </c>
      <c r="Z584">
        <v>237.64674490003301</v>
      </c>
      <c r="AA584">
        <v>237.64674490003301</v>
      </c>
      <c r="AB584">
        <v>237.64674490003301</v>
      </c>
      <c r="AC584">
        <v>238.152515400026</v>
      </c>
      <c r="AD584" t="s">
        <v>63</v>
      </c>
      <c r="AE584">
        <v>1</v>
      </c>
      <c r="AF584">
        <v>0.49329589999979301</v>
      </c>
      <c r="AG584" t="s">
        <v>51</v>
      </c>
      <c r="AK584" t="s">
        <v>92</v>
      </c>
      <c r="AL584">
        <v>1</v>
      </c>
      <c r="AM584" t="s">
        <v>82</v>
      </c>
      <c r="AN584" t="s">
        <v>43</v>
      </c>
      <c r="AP584" t="s">
        <v>44</v>
      </c>
      <c r="AQ584">
        <v>60.124517886762398</v>
      </c>
      <c r="AR584" t="s">
        <v>83</v>
      </c>
    </row>
    <row r="585" spans="1:44" x14ac:dyDescent="0.3">
      <c r="A585" t="s">
        <v>71</v>
      </c>
      <c r="B585" t="s">
        <v>49</v>
      </c>
      <c r="C585" s="2" t="str">
        <f t="shared" si="9"/>
        <v>Neutral</v>
      </c>
      <c r="D585">
        <v>0.67668199999025003</v>
      </c>
      <c r="E585" t="s">
        <v>47</v>
      </c>
      <c r="F585" t="s">
        <v>48</v>
      </c>
      <c r="G585" t="s">
        <v>50</v>
      </c>
      <c r="H585">
        <v>180</v>
      </c>
      <c r="I585">
        <v>0</v>
      </c>
      <c r="J585">
        <v>9</v>
      </c>
      <c r="K585" t="s">
        <v>50</v>
      </c>
      <c r="L585">
        <v>1</v>
      </c>
      <c r="M585">
        <v>0.61311320000095204</v>
      </c>
      <c r="N585" t="s">
        <v>51</v>
      </c>
      <c r="O585">
        <v>9</v>
      </c>
      <c r="P585">
        <v>0</v>
      </c>
      <c r="Q585">
        <v>180</v>
      </c>
      <c r="R585">
        <v>15</v>
      </c>
      <c r="S585">
        <v>238.164413500053</v>
      </c>
      <c r="X585">
        <v>238.15625930001201</v>
      </c>
      <c r="Y585">
        <v>238.164413500053</v>
      </c>
      <c r="Z585">
        <v>238.66364490002101</v>
      </c>
      <c r="AA585">
        <v>238.66364490002101</v>
      </c>
      <c r="AB585">
        <v>238.66364490002101</v>
      </c>
      <c r="AC585">
        <v>239.285736700054</v>
      </c>
      <c r="AD585" t="s">
        <v>50</v>
      </c>
      <c r="AE585">
        <v>1</v>
      </c>
      <c r="AF585">
        <v>0.61311320000095204</v>
      </c>
      <c r="AG585" t="s">
        <v>51</v>
      </c>
      <c r="AK585" t="s">
        <v>92</v>
      </c>
      <c r="AL585">
        <v>1</v>
      </c>
      <c r="AM585" t="s">
        <v>82</v>
      </c>
      <c r="AN585" t="s">
        <v>43</v>
      </c>
      <c r="AP585" t="s">
        <v>44</v>
      </c>
      <c r="AQ585">
        <v>60.124517886762398</v>
      </c>
      <c r="AR585" t="s">
        <v>83</v>
      </c>
    </row>
    <row r="586" spans="1:44" x14ac:dyDescent="0.3">
      <c r="A586" t="s">
        <v>72</v>
      </c>
      <c r="B586" t="s">
        <v>62</v>
      </c>
      <c r="C586" s="2" t="str">
        <f t="shared" si="9"/>
        <v>Emotional-C</v>
      </c>
      <c r="D586">
        <v>1.6939309000153999</v>
      </c>
      <c r="E586" t="s">
        <v>59</v>
      </c>
      <c r="F586" t="s">
        <v>61</v>
      </c>
      <c r="G586" t="s">
        <v>63</v>
      </c>
      <c r="H586">
        <v>181</v>
      </c>
      <c r="I586">
        <v>1</v>
      </c>
      <c r="J586">
        <v>9</v>
      </c>
      <c r="K586" t="s">
        <v>63</v>
      </c>
      <c r="L586">
        <v>1</v>
      </c>
      <c r="M586">
        <v>0.40284660004544998</v>
      </c>
      <c r="N586" t="s">
        <v>51</v>
      </c>
      <c r="O586">
        <v>9</v>
      </c>
      <c r="P586">
        <v>1</v>
      </c>
      <c r="Q586">
        <v>181</v>
      </c>
      <c r="R586">
        <v>8</v>
      </c>
      <c r="S586">
        <v>239.29831370001099</v>
      </c>
      <c r="X586">
        <v>239.288282499997</v>
      </c>
      <c r="Y586">
        <v>239.29831370001099</v>
      </c>
      <c r="Z586">
        <v>239.79808330000299</v>
      </c>
      <c r="AA586">
        <v>239.79808330000299</v>
      </c>
      <c r="AB586">
        <v>239.79808330000299</v>
      </c>
      <c r="AC586">
        <v>240.20377750002001</v>
      </c>
      <c r="AD586" t="s">
        <v>63</v>
      </c>
      <c r="AE586">
        <v>1</v>
      </c>
      <c r="AF586">
        <v>0.40284660004544998</v>
      </c>
      <c r="AG586" t="s">
        <v>51</v>
      </c>
      <c r="AK586" t="s">
        <v>92</v>
      </c>
      <c r="AL586">
        <v>1</v>
      </c>
      <c r="AM586" t="s">
        <v>82</v>
      </c>
      <c r="AN586" t="s">
        <v>43</v>
      </c>
      <c r="AP586" t="s">
        <v>44</v>
      </c>
      <c r="AQ586">
        <v>60.124517886762398</v>
      </c>
      <c r="AR586" t="s">
        <v>83</v>
      </c>
    </row>
    <row r="587" spans="1:44" hidden="1" x14ac:dyDescent="0.3">
      <c r="A587" t="s">
        <v>75</v>
      </c>
      <c r="B587" t="s">
        <v>49</v>
      </c>
      <c r="C587" s="2" t="str">
        <f t="shared" si="9"/>
        <v>Neutral</v>
      </c>
      <c r="D587">
        <v>0.76237050001509399</v>
      </c>
      <c r="E587" t="s">
        <v>47</v>
      </c>
      <c r="F587" t="s">
        <v>61</v>
      </c>
      <c r="G587" t="s">
        <v>63</v>
      </c>
      <c r="H587">
        <v>182</v>
      </c>
      <c r="I587">
        <v>2</v>
      </c>
      <c r="J587">
        <v>9</v>
      </c>
      <c r="K587" t="s">
        <v>50</v>
      </c>
      <c r="L587">
        <v>0</v>
      </c>
      <c r="M587">
        <v>0.43370059999870098</v>
      </c>
      <c r="N587" t="s">
        <v>51</v>
      </c>
      <c r="O587">
        <v>9</v>
      </c>
      <c r="P587">
        <v>2</v>
      </c>
      <c r="Q587">
        <v>182</v>
      </c>
      <c r="R587">
        <v>16</v>
      </c>
      <c r="S587">
        <v>240.21488300000701</v>
      </c>
      <c r="X587">
        <v>240.20677790004899</v>
      </c>
      <c r="Y587">
        <v>240.21488300000701</v>
      </c>
      <c r="Z587">
        <v>240.71322500001401</v>
      </c>
      <c r="AA587">
        <v>240.71322500001401</v>
      </c>
      <c r="AB587">
        <v>240.71322500001401</v>
      </c>
      <c r="AC587">
        <v>241.15139650000401</v>
      </c>
      <c r="AD587" t="s">
        <v>50</v>
      </c>
      <c r="AE587">
        <v>0</v>
      </c>
      <c r="AF587">
        <v>0.43370059999870098</v>
      </c>
      <c r="AG587" t="s">
        <v>51</v>
      </c>
      <c r="AK587" t="s">
        <v>92</v>
      </c>
      <c r="AL587">
        <v>1</v>
      </c>
      <c r="AM587" t="s">
        <v>82</v>
      </c>
      <c r="AN587" t="s">
        <v>43</v>
      </c>
      <c r="AP587" t="s">
        <v>44</v>
      </c>
      <c r="AQ587">
        <v>60.124517886762398</v>
      </c>
      <c r="AR587" t="s">
        <v>83</v>
      </c>
    </row>
    <row r="588" spans="1:44" x14ac:dyDescent="0.3">
      <c r="A588" t="s">
        <v>52</v>
      </c>
      <c r="B588" t="s">
        <v>49</v>
      </c>
      <c r="C588" s="2" t="str">
        <f t="shared" si="9"/>
        <v>Neutral</v>
      </c>
      <c r="D588">
        <v>0.60483680001925599</v>
      </c>
      <c r="E588" t="s">
        <v>47</v>
      </c>
      <c r="F588" t="s">
        <v>53</v>
      </c>
      <c r="G588" t="s">
        <v>54</v>
      </c>
      <c r="H588">
        <v>183</v>
      </c>
      <c r="I588">
        <v>3</v>
      </c>
      <c r="J588">
        <v>9</v>
      </c>
      <c r="K588" t="s">
        <v>54</v>
      </c>
      <c r="L588">
        <v>1</v>
      </c>
      <c r="M588">
        <v>0.97621880000224304</v>
      </c>
      <c r="N588" t="s">
        <v>51</v>
      </c>
      <c r="O588">
        <v>9</v>
      </c>
      <c r="P588">
        <v>3</v>
      </c>
      <c r="Q588">
        <v>183</v>
      </c>
      <c r="R588">
        <v>14</v>
      </c>
      <c r="S588">
        <v>241.16486630000799</v>
      </c>
      <c r="X588">
        <v>241.154077100043</v>
      </c>
      <c r="Y588">
        <v>241.16486630000799</v>
      </c>
      <c r="Z588">
        <v>241.66465660004101</v>
      </c>
      <c r="AA588">
        <v>241.66465660004101</v>
      </c>
      <c r="AB588">
        <v>241.66465660004101</v>
      </c>
      <c r="AC588">
        <v>242.652661700034</v>
      </c>
      <c r="AD588" t="s">
        <v>54</v>
      </c>
      <c r="AE588">
        <v>1</v>
      </c>
      <c r="AF588">
        <v>0.97621880000224304</v>
      </c>
      <c r="AG588" t="s">
        <v>51</v>
      </c>
      <c r="AK588" t="s">
        <v>92</v>
      </c>
      <c r="AL588">
        <v>1</v>
      </c>
      <c r="AM588" t="s">
        <v>82</v>
      </c>
      <c r="AN588" t="s">
        <v>43</v>
      </c>
      <c r="AP588" t="s">
        <v>44</v>
      </c>
      <c r="AQ588">
        <v>60.124517886762398</v>
      </c>
      <c r="AR588" t="s">
        <v>83</v>
      </c>
    </row>
    <row r="589" spans="1:44" x14ac:dyDescent="0.3">
      <c r="A589" t="s">
        <v>78</v>
      </c>
      <c r="B589" t="s">
        <v>49</v>
      </c>
      <c r="C589" s="2" t="str">
        <f t="shared" si="9"/>
        <v>Neutral</v>
      </c>
      <c r="D589">
        <v>0.72160699998494204</v>
      </c>
      <c r="E589" t="s">
        <v>47</v>
      </c>
      <c r="F589" t="s">
        <v>56</v>
      </c>
      <c r="G589" t="s">
        <v>57</v>
      </c>
      <c r="H589">
        <v>184</v>
      </c>
      <c r="I589">
        <v>4</v>
      </c>
      <c r="J589">
        <v>9</v>
      </c>
      <c r="K589" t="s">
        <v>57</v>
      </c>
      <c r="L589">
        <v>1</v>
      </c>
      <c r="M589">
        <v>0.71755890001077205</v>
      </c>
      <c r="N589" t="s">
        <v>51</v>
      </c>
      <c r="O589">
        <v>9</v>
      </c>
      <c r="P589">
        <v>4</v>
      </c>
      <c r="Q589">
        <v>184</v>
      </c>
      <c r="R589">
        <v>17</v>
      </c>
      <c r="S589">
        <v>242.66429800004599</v>
      </c>
      <c r="X589">
        <v>242.655504600028</v>
      </c>
      <c r="Y589">
        <v>242.66429800004599</v>
      </c>
      <c r="Z589">
        <v>243.16479550005101</v>
      </c>
      <c r="AA589">
        <v>243.16479550005101</v>
      </c>
      <c r="AB589">
        <v>243.16479550005101</v>
      </c>
      <c r="AC589">
        <v>243.885315500025</v>
      </c>
      <c r="AD589" t="s">
        <v>57</v>
      </c>
      <c r="AE589">
        <v>1</v>
      </c>
      <c r="AF589">
        <v>0.71755890001077205</v>
      </c>
      <c r="AG589" t="s">
        <v>51</v>
      </c>
      <c r="AK589" t="s">
        <v>92</v>
      </c>
      <c r="AL589">
        <v>1</v>
      </c>
      <c r="AM589" t="s">
        <v>82</v>
      </c>
      <c r="AN589" t="s">
        <v>43</v>
      </c>
      <c r="AP589" t="s">
        <v>44</v>
      </c>
      <c r="AQ589">
        <v>60.124517886762398</v>
      </c>
      <c r="AR589" t="s">
        <v>83</v>
      </c>
    </row>
    <row r="590" spans="1:44" x14ac:dyDescent="0.3">
      <c r="A590" t="s">
        <v>67</v>
      </c>
      <c r="B590" t="s">
        <v>49</v>
      </c>
      <c r="C590" s="2" t="str">
        <f t="shared" si="9"/>
        <v>Neutral</v>
      </c>
      <c r="D590">
        <v>0.76921579998452205</v>
      </c>
      <c r="E590" t="s">
        <v>47</v>
      </c>
      <c r="F590" t="s">
        <v>53</v>
      </c>
      <c r="G590" t="s">
        <v>54</v>
      </c>
      <c r="H590">
        <v>185</v>
      </c>
      <c r="I590">
        <v>5</v>
      </c>
      <c r="J590">
        <v>9</v>
      </c>
      <c r="K590" t="s">
        <v>54</v>
      </c>
      <c r="L590">
        <v>1</v>
      </c>
      <c r="M590">
        <v>0.80306930001825005</v>
      </c>
      <c r="N590" t="s">
        <v>51</v>
      </c>
      <c r="O590">
        <v>9</v>
      </c>
      <c r="P590">
        <v>5</v>
      </c>
      <c r="Q590">
        <v>185</v>
      </c>
      <c r="R590">
        <v>10</v>
      </c>
      <c r="S590">
        <v>243.89752690005099</v>
      </c>
      <c r="X590">
        <v>243.888416600006</v>
      </c>
      <c r="Y590">
        <v>243.89752690005099</v>
      </c>
      <c r="Z590">
        <v>244.39794870000301</v>
      </c>
      <c r="AA590">
        <v>244.39794870000301</v>
      </c>
      <c r="AB590">
        <v>244.39794870000301</v>
      </c>
      <c r="AC590">
        <v>245.20191620004999</v>
      </c>
      <c r="AD590" t="s">
        <v>54</v>
      </c>
      <c r="AE590">
        <v>1</v>
      </c>
      <c r="AF590">
        <v>0.80306930001825005</v>
      </c>
      <c r="AG590" t="s">
        <v>51</v>
      </c>
      <c r="AK590" t="s">
        <v>92</v>
      </c>
      <c r="AL590">
        <v>1</v>
      </c>
      <c r="AM590" t="s">
        <v>82</v>
      </c>
      <c r="AN590" t="s">
        <v>43</v>
      </c>
      <c r="AP590" t="s">
        <v>44</v>
      </c>
      <c r="AQ590">
        <v>60.124517886762398</v>
      </c>
      <c r="AR590" t="s">
        <v>83</v>
      </c>
    </row>
    <row r="591" spans="1:44" x14ac:dyDescent="0.3">
      <c r="A591" t="s">
        <v>64</v>
      </c>
      <c r="B591" t="s">
        <v>49</v>
      </c>
      <c r="C591" s="2" t="str">
        <f t="shared" si="9"/>
        <v>Neutral</v>
      </c>
      <c r="D591">
        <v>0.60974960000021305</v>
      </c>
      <c r="E591" t="s">
        <v>47</v>
      </c>
      <c r="F591" t="s">
        <v>53</v>
      </c>
      <c r="G591" t="s">
        <v>54</v>
      </c>
      <c r="H591">
        <v>186</v>
      </c>
      <c r="I591">
        <v>6</v>
      </c>
      <c r="J591">
        <v>9</v>
      </c>
      <c r="K591" t="s">
        <v>54</v>
      </c>
      <c r="L591">
        <v>1</v>
      </c>
      <c r="M591">
        <v>0.47958649997599401</v>
      </c>
      <c r="N591" t="s">
        <v>51</v>
      </c>
      <c r="O591">
        <v>9</v>
      </c>
      <c r="P591">
        <v>6</v>
      </c>
      <c r="Q591">
        <v>186</v>
      </c>
      <c r="R591">
        <v>18</v>
      </c>
      <c r="S591">
        <v>245.21449040004501</v>
      </c>
      <c r="X591">
        <v>245.20527299999901</v>
      </c>
      <c r="Y591">
        <v>245.21449040004501</v>
      </c>
      <c r="Z591">
        <v>245.71450000000101</v>
      </c>
      <c r="AA591">
        <v>245.71450000000101</v>
      </c>
      <c r="AB591">
        <v>245.71450000000101</v>
      </c>
      <c r="AC591">
        <v>246.20189980004201</v>
      </c>
      <c r="AD591" t="s">
        <v>54</v>
      </c>
      <c r="AE591">
        <v>1</v>
      </c>
      <c r="AF591">
        <v>0.47958649997599401</v>
      </c>
      <c r="AG591" t="s">
        <v>51</v>
      </c>
      <c r="AK591" t="s">
        <v>92</v>
      </c>
      <c r="AL591">
        <v>1</v>
      </c>
      <c r="AM591" t="s">
        <v>82</v>
      </c>
      <c r="AN591" t="s">
        <v>43</v>
      </c>
      <c r="AP591" t="s">
        <v>44</v>
      </c>
      <c r="AQ591">
        <v>60.124517886762398</v>
      </c>
      <c r="AR591" t="s">
        <v>83</v>
      </c>
    </row>
    <row r="592" spans="1:44" x14ac:dyDescent="0.3">
      <c r="A592" t="s">
        <v>74</v>
      </c>
      <c r="B592" t="s">
        <v>49</v>
      </c>
      <c r="C592" s="2" t="str">
        <f t="shared" si="9"/>
        <v>Neutral</v>
      </c>
      <c r="D592">
        <v>0.64120610000099898</v>
      </c>
      <c r="E592" t="s">
        <v>47</v>
      </c>
      <c r="F592" t="s">
        <v>48</v>
      </c>
      <c r="G592" t="s">
        <v>50</v>
      </c>
      <c r="H592">
        <v>187</v>
      </c>
      <c r="I592">
        <v>7</v>
      </c>
      <c r="J592">
        <v>9</v>
      </c>
      <c r="K592" t="s">
        <v>50</v>
      </c>
      <c r="L592">
        <v>1</v>
      </c>
      <c r="M592">
        <v>1.1754523999988999</v>
      </c>
      <c r="N592" t="s">
        <v>51</v>
      </c>
      <c r="O592">
        <v>9</v>
      </c>
      <c r="P592">
        <v>7</v>
      </c>
      <c r="Q592">
        <v>187</v>
      </c>
      <c r="R592">
        <v>11</v>
      </c>
      <c r="S592">
        <v>246.215058500005</v>
      </c>
      <c r="X592">
        <v>246.205020100052</v>
      </c>
      <c r="Y592">
        <v>246.215058500005</v>
      </c>
      <c r="Z592">
        <v>246.71554790000599</v>
      </c>
      <c r="AA592">
        <v>246.71554790000599</v>
      </c>
      <c r="AB592">
        <v>246.71554790000599</v>
      </c>
      <c r="AC592">
        <v>247.90073740004999</v>
      </c>
      <c r="AD592" t="s">
        <v>50</v>
      </c>
      <c r="AE592">
        <v>1</v>
      </c>
      <c r="AF592">
        <v>1.1754523999988999</v>
      </c>
      <c r="AG592" t="s">
        <v>51</v>
      </c>
      <c r="AK592" t="s">
        <v>92</v>
      </c>
      <c r="AL592">
        <v>1</v>
      </c>
      <c r="AM592" t="s">
        <v>82</v>
      </c>
      <c r="AN592" t="s">
        <v>43</v>
      </c>
      <c r="AP592" t="s">
        <v>44</v>
      </c>
      <c r="AQ592">
        <v>60.124517886762398</v>
      </c>
      <c r="AR592" t="s">
        <v>83</v>
      </c>
    </row>
    <row r="593" spans="1:45" x14ac:dyDescent="0.3">
      <c r="A593" t="s">
        <v>58</v>
      </c>
      <c r="B593" t="s">
        <v>49</v>
      </c>
      <c r="C593" s="2" t="str">
        <f t="shared" si="9"/>
        <v>Emotional-I</v>
      </c>
      <c r="D593">
        <v>1.3204508000053401</v>
      </c>
      <c r="E593" t="s">
        <v>59</v>
      </c>
      <c r="F593" t="s">
        <v>48</v>
      </c>
      <c r="G593" t="s">
        <v>50</v>
      </c>
      <c r="H593">
        <v>188</v>
      </c>
      <c r="I593">
        <v>8</v>
      </c>
      <c r="J593">
        <v>9</v>
      </c>
      <c r="K593" t="s">
        <v>50</v>
      </c>
      <c r="L593">
        <v>1</v>
      </c>
      <c r="M593">
        <v>0.49117350002052201</v>
      </c>
      <c r="N593" t="s">
        <v>51</v>
      </c>
      <c r="O593">
        <v>9</v>
      </c>
      <c r="P593">
        <v>8</v>
      </c>
      <c r="Q593">
        <v>188</v>
      </c>
      <c r="R593">
        <v>7</v>
      </c>
      <c r="S593">
        <v>247.914571900037</v>
      </c>
      <c r="X593">
        <v>247.90389010001601</v>
      </c>
      <c r="Y593">
        <v>247.914571900037</v>
      </c>
      <c r="Z593">
        <v>248.414103900024</v>
      </c>
      <c r="AA593">
        <v>248.414103900024</v>
      </c>
      <c r="AB593">
        <v>248.414103900024</v>
      </c>
      <c r="AC593">
        <v>248.91832260001601</v>
      </c>
      <c r="AD593" t="s">
        <v>50</v>
      </c>
      <c r="AE593">
        <v>1</v>
      </c>
      <c r="AF593">
        <v>0.49117350002052201</v>
      </c>
      <c r="AG593" t="s">
        <v>51</v>
      </c>
      <c r="AK593" t="s">
        <v>92</v>
      </c>
      <c r="AL593">
        <v>1</v>
      </c>
      <c r="AM593" t="s">
        <v>82</v>
      </c>
      <c r="AN593" t="s">
        <v>43</v>
      </c>
      <c r="AP593" t="s">
        <v>44</v>
      </c>
      <c r="AQ593">
        <v>60.124517886762398</v>
      </c>
      <c r="AR593" t="s">
        <v>83</v>
      </c>
    </row>
    <row r="594" spans="1:45" x14ac:dyDescent="0.3">
      <c r="A594" t="s">
        <v>55</v>
      </c>
      <c r="B594" t="s">
        <v>49</v>
      </c>
      <c r="C594" s="2" t="str">
        <f t="shared" si="9"/>
        <v>Neutral</v>
      </c>
      <c r="D594">
        <v>0.99954400002025001</v>
      </c>
      <c r="E594" t="s">
        <v>47</v>
      </c>
      <c r="F594" t="s">
        <v>56</v>
      </c>
      <c r="G594" t="s">
        <v>57</v>
      </c>
      <c r="H594">
        <v>189</v>
      </c>
      <c r="I594">
        <v>9</v>
      </c>
      <c r="J594">
        <v>9</v>
      </c>
      <c r="K594" t="s">
        <v>57</v>
      </c>
      <c r="L594">
        <v>1</v>
      </c>
      <c r="M594">
        <v>2.1326577000436302</v>
      </c>
      <c r="N594" t="s">
        <v>51</v>
      </c>
      <c r="O594">
        <v>9</v>
      </c>
      <c r="P594">
        <v>9</v>
      </c>
      <c r="Q594">
        <v>189</v>
      </c>
      <c r="R594">
        <v>13</v>
      </c>
      <c r="S594">
        <v>248.93088820000401</v>
      </c>
      <c r="X594">
        <v>248.92174260003901</v>
      </c>
      <c r="Y594">
        <v>248.93088820000401</v>
      </c>
      <c r="Z594">
        <v>249.430870500043</v>
      </c>
      <c r="AA594">
        <v>249.430870500043</v>
      </c>
      <c r="AB594">
        <v>249.430870500043</v>
      </c>
      <c r="AC594">
        <v>251.56768730003299</v>
      </c>
      <c r="AD594" t="s">
        <v>57</v>
      </c>
      <c r="AE594">
        <v>1</v>
      </c>
      <c r="AF594">
        <v>2.1326577000436302</v>
      </c>
      <c r="AG594" t="s">
        <v>51</v>
      </c>
      <c r="AK594" t="s">
        <v>92</v>
      </c>
      <c r="AL594">
        <v>1</v>
      </c>
      <c r="AM594" t="s">
        <v>82</v>
      </c>
      <c r="AN594" t="s">
        <v>43</v>
      </c>
      <c r="AP594" t="s">
        <v>44</v>
      </c>
      <c r="AQ594">
        <v>60.124517886762398</v>
      </c>
      <c r="AR594" t="s">
        <v>83</v>
      </c>
    </row>
    <row r="595" spans="1:45" x14ac:dyDescent="0.3">
      <c r="A595" t="s">
        <v>76</v>
      </c>
      <c r="B595" t="s">
        <v>49</v>
      </c>
      <c r="C595" s="2" t="str">
        <f t="shared" si="9"/>
        <v>Emotional-I</v>
      </c>
      <c r="D595">
        <v>0.50198280002223306</v>
      </c>
      <c r="E595" t="s">
        <v>59</v>
      </c>
      <c r="F595" t="s">
        <v>48</v>
      </c>
      <c r="G595" t="s">
        <v>50</v>
      </c>
      <c r="H595">
        <v>190</v>
      </c>
      <c r="I595">
        <v>10</v>
      </c>
      <c r="J595">
        <v>9</v>
      </c>
      <c r="K595" t="s">
        <v>50</v>
      </c>
      <c r="L595">
        <v>1</v>
      </c>
      <c r="M595">
        <v>1.09508110000751</v>
      </c>
      <c r="N595" t="s">
        <v>51</v>
      </c>
      <c r="O595">
        <v>9</v>
      </c>
      <c r="P595">
        <v>10</v>
      </c>
      <c r="Q595">
        <v>190</v>
      </c>
      <c r="R595">
        <v>3</v>
      </c>
      <c r="S595">
        <v>251.579756100021</v>
      </c>
      <c r="X595">
        <v>251.57085800002</v>
      </c>
      <c r="Y595">
        <v>251.579756100021</v>
      </c>
      <c r="Z595">
        <v>252.07934260001599</v>
      </c>
      <c r="AA595">
        <v>252.07934260001599</v>
      </c>
      <c r="AB595">
        <v>252.07934260001599</v>
      </c>
      <c r="AC595">
        <v>253.183603000012</v>
      </c>
      <c r="AD595" t="s">
        <v>50</v>
      </c>
      <c r="AE595">
        <v>1</v>
      </c>
      <c r="AF595">
        <v>1.09508110000751</v>
      </c>
      <c r="AG595" t="s">
        <v>51</v>
      </c>
      <c r="AK595" t="s">
        <v>92</v>
      </c>
      <c r="AL595">
        <v>1</v>
      </c>
      <c r="AM595" t="s">
        <v>82</v>
      </c>
      <c r="AN595" t="s">
        <v>43</v>
      </c>
      <c r="AP595" t="s">
        <v>44</v>
      </c>
      <c r="AQ595">
        <v>60.124517886762398</v>
      </c>
      <c r="AR595" t="s">
        <v>83</v>
      </c>
    </row>
    <row r="596" spans="1:45" x14ac:dyDescent="0.3">
      <c r="A596" t="s">
        <v>66</v>
      </c>
      <c r="B596" t="s">
        <v>49</v>
      </c>
      <c r="C596" s="2" t="str">
        <f t="shared" si="9"/>
        <v>Neutral</v>
      </c>
      <c r="D596">
        <v>0.64625540003180504</v>
      </c>
      <c r="E596" t="s">
        <v>47</v>
      </c>
      <c r="F596" t="s">
        <v>61</v>
      </c>
      <c r="G596" t="s">
        <v>63</v>
      </c>
      <c r="H596">
        <v>191</v>
      </c>
      <c r="I596">
        <v>11</v>
      </c>
      <c r="J596">
        <v>9</v>
      </c>
      <c r="K596" t="s">
        <v>63</v>
      </c>
      <c r="L596">
        <v>1</v>
      </c>
      <c r="M596">
        <v>0.58006840001325999</v>
      </c>
      <c r="N596" t="s">
        <v>51</v>
      </c>
      <c r="O596">
        <v>9</v>
      </c>
      <c r="P596">
        <v>11</v>
      </c>
      <c r="Q596">
        <v>191</v>
      </c>
      <c r="R596">
        <v>12</v>
      </c>
      <c r="S596">
        <v>253.19643350003699</v>
      </c>
      <c r="X596">
        <v>253.186757100047</v>
      </c>
      <c r="Y596">
        <v>253.19643350003699</v>
      </c>
      <c r="Z596">
        <v>253.69636580004499</v>
      </c>
      <c r="AA596">
        <v>253.69636580004499</v>
      </c>
      <c r="AB596">
        <v>253.69636580004499</v>
      </c>
      <c r="AC596">
        <v>254.28296070004501</v>
      </c>
      <c r="AD596" t="s">
        <v>63</v>
      </c>
      <c r="AE596">
        <v>1</v>
      </c>
      <c r="AF596">
        <v>0.58006840001325999</v>
      </c>
      <c r="AG596" t="s">
        <v>51</v>
      </c>
      <c r="AK596" t="s">
        <v>92</v>
      </c>
      <c r="AL596">
        <v>1</v>
      </c>
      <c r="AM596" t="s">
        <v>82</v>
      </c>
      <c r="AN596" t="s">
        <v>43</v>
      </c>
      <c r="AP596" t="s">
        <v>44</v>
      </c>
      <c r="AQ596">
        <v>60.124517886762398</v>
      </c>
      <c r="AR596" t="s">
        <v>83</v>
      </c>
    </row>
    <row r="597" spans="1:45" x14ac:dyDescent="0.3">
      <c r="A597" t="s">
        <v>68</v>
      </c>
      <c r="B597" t="s">
        <v>49</v>
      </c>
      <c r="C597" s="2" t="str">
        <f t="shared" si="9"/>
        <v>Emotional-I</v>
      </c>
      <c r="D597">
        <v>0.87070219998713505</v>
      </c>
      <c r="E597" t="s">
        <v>59</v>
      </c>
      <c r="F597" t="s">
        <v>53</v>
      </c>
      <c r="G597" t="s">
        <v>54</v>
      </c>
      <c r="H597">
        <v>192</v>
      </c>
      <c r="I597">
        <v>12</v>
      </c>
      <c r="J597">
        <v>9</v>
      </c>
      <c r="K597" t="s">
        <v>54</v>
      </c>
      <c r="L597">
        <v>1</v>
      </c>
      <c r="M597">
        <v>0.95323340001050305</v>
      </c>
      <c r="N597" t="s">
        <v>51</v>
      </c>
      <c r="O597">
        <v>9</v>
      </c>
      <c r="P597">
        <v>12</v>
      </c>
      <c r="Q597">
        <v>192</v>
      </c>
      <c r="R597">
        <v>6</v>
      </c>
      <c r="S597">
        <v>254.29673330002601</v>
      </c>
      <c r="X597">
        <v>254.28596040001099</v>
      </c>
      <c r="Y597">
        <v>254.29673330002601</v>
      </c>
      <c r="Z597">
        <v>254.79637860000301</v>
      </c>
      <c r="AA597">
        <v>254.79637860000301</v>
      </c>
      <c r="AB597">
        <v>254.79637860000301</v>
      </c>
      <c r="AC597">
        <v>255.753508200054</v>
      </c>
      <c r="AD597" t="s">
        <v>54</v>
      </c>
      <c r="AE597">
        <v>1</v>
      </c>
      <c r="AF597">
        <v>0.95323340001050305</v>
      </c>
      <c r="AG597" t="s">
        <v>51</v>
      </c>
      <c r="AK597" t="s">
        <v>92</v>
      </c>
      <c r="AL597">
        <v>1</v>
      </c>
      <c r="AM597" t="s">
        <v>82</v>
      </c>
      <c r="AN597" t="s">
        <v>43</v>
      </c>
      <c r="AP597" t="s">
        <v>44</v>
      </c>
      <c r="AQ597">
        <v>60.124517886762398</v>
      </c>
      <c r="AR597" t="s">
        <v>83</v>
      </c>
    </row>
    <row r="598" spans="1:45" x14ac:dyDescent="0.3">
      <c r="A598" t="s">
        <v>70</v>
      </c>
      <c r="B598" t="s">
        <v>49</v>
      </c>
      <c r="C598" s="2" t="str">
        <f t="shared" si="9"/>
        <v>Emotional-I</v>
      </c>
      <c r="D598">
        <v>0.60543649998726301</v>
      </c>
      <c r="E598" t="s">
        <v>59</v>
      </c>
      <c r="F598" t="s">
        <v>53</v>
      </c>
      <c r="G598" t="s">
        <v>54</v>
      </c>
      <c r="H598">
        <v>193</v>
      </c>
      <c r="I598">
        <v>13</v>
      </c>
      <c r="J598">
        <v>9</v>
      </c>
      <c r="K598" t="s">
        <v>54</v>
      </c>
      <c r="L598">
        <v>1</v>
      </c>
      <c r="M598">
        <v>0.508270899998024</v>
      </c>
      <c r="N598" t="s">
        <v>51</v>
      </c>
      <c r="O598">
        <v>9</v>
      </c>
      <c r="P598">
        <v>13</v>
      </c>
      <c r="Q598">
        <v>193</v>
      </c>
      <c r="R598">
        <v>2</v>
      </c>
      <c r="S598">
        <v>255.762727699999</v>
      </c>
      <c r="X598">
        <v>255.75653730001</v>
      </c>
      <c r="Y598">
        <v>255.762727699999</v>
      </c>
      <c r="Z598">
        <v>256.26257190003503</v>
      </c>
      <c r="AA598">
        <v>256.26257190003503</v>
      </c>
      <c r="AB598">
        <v>256.26257190003503</v>
      </c>
      <c r="AC598">
        <v>256.78238070005301</v>
      </c>
      <c r="AD598" t="s">
        <v>54</v>
      </c>
      <c r="AE598">
        <v>1</v>
      </c>
      <c r="AF598">
        <v>0.508270899998024</v>
      </c>
      <c r="AG598" t="s">
        <v>51</v>
      </c>
      <c r="AK598" t="s">
        <v>92</v>
      </c>
      <c r="AL598">
        <v>1</v>
      </c>
      <c r="AM598" t="s">
        <v>82</v>
      </c>
      <c r="AN598" t="s">
        <v>43</v>
      </c>
      <c r="AP598" t="s">
        <v>44</v>
      </c>
      <c r="AQ598">
        <v>60.124517886762398</v>
      </c>
      <c r="AR598" t="s">
        <v>83</v>
      </c>
    </row>
    <row r="599" spans="1:45" hidden="1" x14ac:dyDescent="0.3">
      <c r="A599" t="s">
        <v>73</v>
      </c>
      <c r="B599" t="s">
        <v>49</v>
      </c>
      <c r="C599" s="2" t="str">
        <f t="shared" si="9"/>
        <v>Emotional-I</v>
      </c>
      <c r="D599">
        <v>0.82922339998185601</v>
      </c>
      <c r="E599" t="s">
        <v>59</v>
      </c>
      <c r="F599" t="s">
        <v>56</v>
      </c>
      <c r="G599" t="s">
        <v>57</v>
      </c>
      <c r="H599">
        <v>194</v>
      </c>
      <c r="I599">
        <v>14</v>
      </c>
      <c r="J599">
        <v>9</v>
      </c>
      <c r="K599" t="s">
        <v>63</v>
      </c>
      <c r="L599">
        <v>0</v>
      </c>
      <c r="M599">
        <v>0.57927120005479005</v>
      </c>
      <c r="N599" t="s">
        <v>51</v>
      </c>
      <c r="O599">
        <v>9</v>
      </c>
      <c r="P599">
        <v>14</v>
      </c>
      <c r="Q599">
        <v>194</v>
      </c>
      <c r="R599">
        <v>1</v>
      </c>
      <c r="S599">
        <v>256.79616760002602</v>
      </c>
      <c r="X599">
        <v>256.78429999999901</v>
      </c>
      <c r="Y599">
        <v>256.79616760002602</v>
      </c>
      <c r="Z599">
        <v>257.29751500004198</v>
      </c>
      <c r="AA599">
        <v>257.29751500004198</v>
      </c>
      <c r="AB599">
        <v>257.29751500004198</v>
      </c>
      <c r="AC599">
        <v>257.88543260004298</v>
      </c>
      <c r="AD599" t="s">
        <v>63</v>
      </c>
      <c r="AE599">
        <v>0</v>
      </c>
      <c r="AF599">
        <v>0.57927120005479005</v>
      </c>
      <c r="AG599" t="s">
        <v>51</v>
      </c>
      <c r="AK599" t="s">
        <v>92</v>
      </c>
      <c r="AL599">
        <v>1</v>
      </c>
      <c r="AM599" t="s">
        <v>82</v>
      </c>
      <c r="AN599" t="s">
        <v>43</v>
      </c>
      <c r="AP599" t="s">
        <v>44</v>
      </c>
      <c r="AQ599">
        <v>60.124517886762398</v>
      </c>
      <c r="AR599" t="s">
        <v>83</v>
      </c>
    </row>
    <row r="600" spans="1:45" x14ac:dyDescent="0.3">
      <c r="A600" t="s">
        <v>46</v>
      </c>
      <c r="B600" t="s">
        <v>49</v>
      </c>
      <c r="C600" s="2" t="str">
        <f t="shared" si="9"/>
        <v>Neutral</v>
      </c>
      <c r="D600">
        <v>0.75141169998096302</v>
      </c>
      <c r="E600" t="s">
        <v>47</v>
      </c>
      <c r="F600" t="s">
        <v>48</v>
      </c>
      <c r="G600" t="s">
        <v>50</v>
      </c>
      <c r="H600">
        <v>195</v>
      </c>
      <c r="I600">
        <v>15</v>
      </c>
      <c r="J600">
        <v>9</v>
      </c>
      <c r="K600" t="s">
        <v>50</v>
      </c>
      <c r="L600">
        <v>1</v>
      </c>
      <c r="M600">
        <v>1.0858431999804401</v>
      </c>
      <c r="N600" t="s">
        <v>51</v>
      </c>
      <c r="O600">
        <v>9</v>
      </c>
      <c r="P600">
        <v>15</v>
      </c>
      <c r="Q600">
        <v>195</v>
      </c>
      <c r="R600">
        <v>19</v>
      </c>
      <c r="S600">
        <v>257.897377400018</v>
      </c>
      <c r="X600">
        <v>257.888426800025</v>
      </c>
      <c r="Y600">
        <v>257.897377400018</v>
      </c>
      <c r="Z600">
        <v>258.39807750005201</v>
      </c>
      <c r="AA600">
        <v>258.39807750005201</v>
      </c>
      <c r="AB600">
        <v>258.39807750005201</v>
      </c>
      <c r="AC600">
        <v>259.484331900021</v>
      </c>
      <c r="AD600" t="s">
        <v>50</v>
      </c>
      <c r="AE600">
        <v>1</v>
      </c>
      <c r="AF600">
        <v>1.0858431999804401</v>
      </c>
      <c r="AG600" t="s">
        <v>51</v>
      </c>
      <c r="AK600" t="s">
        <v>92</v>
      </c>
      <c r="AL600">
        <v>1</v>
      </c>
      <c r="AM600" t="s">
        <v>82</v>
      </c>
      <c r="AN600" t="s">
        <v>43</v>
      </c>
      <c r="AP600" t="s">
        <v>44</v>
      </c>
      <c r="AQ600">
        <v>60.124517886762398</v>
      </c>
      <c r="AR600" t="s">
        <v>83</v>
      </c>
    </row>
    <row r="601" spans="1:45" x14ac:dyDescent="0.3">
      <c r="A601" t="s">
        <v>65</v>
      </c>
      <c r="B601" t="s">
        <v>49</v>
      </c>
      <c r="C601" s="2" t="str">
        <f t="shared" si="9"/>
        <v>Emotional-I</v>
      </c>
      <c r="D601">
        <v>0.7906057999935</v>
      </c>
      <c r="E601" t="s">
        <v>59</v>
      </c>
      <c r="F601" t="s">
        <v>56</v>
      </c>
      <c r="G601" t="s">
        <v>57</v>
      </c>
      <c r="H601">
        <v>196</v>
      </c>
      <c r="I601">
        <v>16</v>
      </c>
      <c r="J601">
        <v>9</v>
      </c>
      <c r="K601" t="s">
        <v>57</v>
      </c>
      <c r="L601">
        <v>1</v>
      </c>
      <c r="M601">
        <v>0.77401940000709102</v>
      </c>
      <c r="N601" t="s">
        <v>51</v>
      </c>
      <c r="O601">
        <v>9</v>
      </c>
      <c r="P601">
        <v>16</v>
      </c>
      <c r="Q601">
        <v>196</v>
      </c>
      <c r="R601">
        <v>9</v>
      </c>
      <c r="S601">
        <v>259.49690460000397</v>
      </c>
      <c r="X601">
        <v>259.48710490000599</v>
      </c>
      <c r="Y601">
        <v>259.49690460000397</v>
      </c>
      <c r="Z601">
        <v>259.998041400045</v>
      </c>
      <c r="AA601">
        <v>259.998041400045</v>
      </c>
      <c r="AB601">
        <v>259.998041400045</v>
      </c>
      <c r="AC601">
        <v>260.78414350002998</v>
      </c>
      <c r="AD601" t="s">
        <v>57</v>
      </c>
      <c r="AE601">
        <v>1</v>
      </c>
      <c r="AF601">
        <v>0.77401940000709102</v>
      </c>
      <c r="AG601" t="s">
        <v>51</v>
      </c>
      <c r="AK601" t="s">
        <v>92</v>
      </c>
      <c r="AL601">
        <v>1</v>
      </c>
      <c r="AM601" t="s">
        <v>82</v>
      </c>
      <c r="AN601" t="s">
        <v>43</v>
      </c>
      <c r="AP601" t="s">
        <v>44</v>
      </c>
      <c r="AQ601">
        <v>60.124517886762398</v>
      </c>
      <c r="AR601" t="s">
        <v>83</v>
      </c>
    </row>
    <row r="602" spans="1:45" x14ac:dyDescent="0.3">
      <c r="A602" t="s">
        <v>60</v>
      </c>
      <c r="B602" t="s">
        <v>62</v>
      </c>
      <c r="C602" s="2" t="str">
        <f t="shared" si="9"/>
        <v>Emotional-C</v>
      </c>
      <c r="D602">
        <v>1.0398826000164201</v>
      </c>
      <c r="E602" t="s">
        <v>59</v>
      </c>
      <c r="F602" t="s">
        <v>61</v>
      </c>
      <c r="G602" t="s">
        <v>63</v>
      </c>
      <c r="H602">
        <v>197</v>
      </c>
      <c r="I602">
        <v>17</v>
      </c>
      <c r="J602">
        <v>9</v>
      </c>
      <c r="K602" t="s">
        <v>63</v>
      </c>
      <c r="L602">
        <v>1</v>
      </c>
      <c r="M602">
        <v>0.585521399974823</v>
      </c>
      <c r="N602" t="s">
        <v>51</v>
      </c>
      <c r="O602">
        <v>9</v>
      </c>
      <c r="P602">
        <v>17</v>
      </c>
      <c r="Q602">
        <v>197</v>
      </c>
      <c r="R602">
        <v>0</v>
      </c>
      <c r="S602">
        <v>260.797421900031</v>
      </c>
      <c r="X602">
        <v>260.78662060003199</v>
      </c>
      <c r="Y602">
        <v>260.797421900031</v>
      </c>
      <c r="Z602">
        <v>261.297520800028</v>
      </c>
      <c r="AA602">
        <v>261.297520800028</v>
      </c>
      <c r="AB602">
        <v>261.297520800028</v>
      </c>
      <c r="AC602">
        <v>261.886449400044</v>
      </c>
      <c r="AD602" t="s">
        <v>63</v>
      </c>
      <c r="AE602">
        <v>1</v>
      </c>
      <c r="AF602">
        <v>0.585521399974823</v>
      </c>
      <c r="AG602" t="s">
        <v>51</v>
      </c>
      <c r="AK602" t="s">
        <v>92</v>
      </c>
      <c r="AL602">
        <v>1</v>
      </c>
      <c r="AM602" t="s">
        <v>82</v>
      </c>
      <c r="AN602" t="s">
        <v>43</v>
      </c>
      <c r="AP602" t="s">
        <v>44</v>
      </c>
      <c r="AQ602">
        <v>60.124517886762398</v>
      </c>
      <c r="AR602" t="s">
        <v>83</v>
      </c>
    </row>
    <row r="603" spans="1:45" x14ac:dyDescent="0.3">
      <c r="A603" t="s">
        <v>69</v>
      </c>
      <c r="B603" t="s">
        <v>49</v>
      </c>
      <c r="C603" s="2" t="str">
        <f t="shared" si="9"/>
        <v>Emotional-I</v>
      </c>
      <c r="D603">
        <v>0.98065719997975898</v>
      </c>
      <c r="E603" t="s">
        <v>59</v>
      </c>
      <c r="F603" t="s">
        <v>56</v>
      </c>
      <c r="G603" t="s">
        <v>57</v>
      </c>
      <c r="H603">
        <v>198</v>
      </c>
      <c r="I603">
        <v>18</v>
      </c>
      <c r="J603">
        <v>9</v>
      </c>
      <c r="K603" t="s">
        <v>57</v>
      </c>
      <c r="L603">
        <v>1</v>
      </c>
      <c r="M603">
        <v>0.75339630001690205</v>
      </c>
      <c r="N603" t="s">
        <v>51</v>
      </c>
      <c r="O603">
        <v>9</v>
      </c>
      <c r="P603">
        <v>18</v>
      </c>
      <c r="Q603">
        <v>198</v>
      </c>
      <c r="R603">
        <v>5</v>
      </c>
      <c r="S603">
        <v>261.89686700003199</v>
      </c>
      <c r="X603">
        <v>261.88939040002799</v>
      </c>
      <c r="Y603">
        <v>261.89686700003199</v>
      </c>
      <c r="Z603">
        <v>262.39724890002901</v>
      </c>
      <c r="AA603">
        <v>262.39724890002901</v>
      </c>
      <c r="AB603">
        <v>262.39724890002901</v>
      </c>
      <c r="AC603">
        <v>263.16727890004398</v>
      </c>
      <c r="AD603" t="s">
        <v>57</v>
      </c>
      <c r="AE603">
        <v>1</v>
      </c>
      <c r="AF603">
        <v>0.75339630001690205</v>
      </c>
      <c r="AG603" t="s">
        <v>51</v>
      </c>
      <c r="AK603" t="s">
        <v>92</v>
      </c>
      <c r="AL603">
        <v>1</v>
      </c>
      <c r="AM603" t="s">
        <v>82</v>
      </c>
      <c r="AN603" t="s">
        <v>43</v>
      </c>
      <c r="AP603" t="s">
        <v>44</v>
      </c>
      <c r="AQ603">
        <v>60.124517886762398</v>
      </c>
      <c r="AR603" t="s">
        <v>83</v>
      </c>
    </row>
    <row r="604" spans="1:45" x14ac:dyDescent="0.3">
      <c r="A604" t="s">
        <v>77</v>
      </c>
      <c r="B604" t="s">
        <v>62</v>
      </c>
      <c r="C604" s="2" t="str">
        <f t="shared" si="9"/>
        <v>Emotional-C</v>
      </c>
      <c r="D604">
        <v>0.53055779996793695</v>
      </c>
      <c r="E604" t="s">
        <v>59</v>
      </c>
      <c r="F604" t="s">
        <v>61</v>
      </c>
      <c r="G604" t="s">
        <v>63</v>
      </c>
      <c r="H604">
        <v>199</v>
      </c>
      <c r="I604">
        <v>19</v>
      </c>
      <c r="J604">
        <v>9</v>
      </c>
      <c r="K604" t="s">
        <v>63</v>
      </c>
      <c r="L604">
        <v>1</v>
      </c>
      <c r="M604">
        <v>0.52074990002438404</v>
      </c>
      <c r="N604" t="s">
        <v>51</v>
      </c>
      <c r="O604">
        <v>9</v>
      </c>
      <c r="P604">
        <v>19</v>
      </c>
      <c r="Q604">
        <v>199</v>
      </c>
      <c r="R604">
        <v>4</v>
      </c>
      <c r="S604">
        <v>263.17988780001099</v>
      </c>
      <c r="X604">
        <v>263.17134870000802</v>
      </c>
      <c r="Y604">
        <v>263.17988780001099</v>
      </c>
      <c r="Z604">
        <v>263.68017720000302</v>
      </c>
      <c r="AA604">
        <v>263.68017720000302</v>
      </c>
      <c r="AB604">
        <v>263.68017720000302</v>
      </c>
      <c r="AC604">
        <v>264.20239360001801</v>
      </c>
      <c r="AD604" t="s">
        <v>63</v>
      </c>
      <c r="AE604">
        <v>1</v>
      </c>
      <c r="AF604">
        <v>0.52074990002438404</v>
      </c>
      <c r="AG604" t="s">
        <v>51</v>
      </c>
      <c r="AK604" t="s">
        <v>92</v>
      </c>
      <c r="AL604">
        <v>1</v>
      </c>
      <c r="AM604" t="s">
        <v>82</v>
      </c>
      <c r="AN604" t="s">
        <v>43</v>
      </c>
      <c r="AP604" t="s">
        <v>44</v>
      </c>
      <c r="AQ604">
        <v>60.124517886762398</v>
      </c>
      <c r="AR604" t="s">
        <v>83</v>
      </c>
    </row>
    <row r="605" spans="1:45" hidden="1" x14ac:dyDescent="0.3">
      <c r="C605" s="2" t="str">
        <f t="shared" si="9"/>
        <v/>
      </c>
      <c r="D605">
        <v>0.79727300000376999</v>
      </c>
      <c r="AH605">
        <v>264.20258100004799</v>
      </c>
      <c r="AI605">
        <v>264.213627700053</v>
      </c>
      <c r="AJ605">
        <v>265.20031470002101</v>
      </c>
      <c r="AK605" t="s">
        <v>92</v>
      </c>
      <c r="AL605">
        <v>1</v>
      </c>
      <c r="AM605" t="s">
        <v>82</v>
      </c>
      <c r="AN605" t="s">
        <v>43</v>
      </c>
      <c r="AP605" t="s">
        <v>44</v>
      </c>
      <c r="AQ605">
        <v>60.124517886762398</v>
      </c>
      <c r="AR605" t="s">
        <v>83</v>
      </c>
      <c r="AS605">
        <v>265.21383640001199</v>
      </c>
    </row>
    <row r="606" spans="1:45" hidden="1" x14ac:dyDescent="0.3">
      <c r="C606" s="2" t="str">
        <f t="shared" si="9"/>
        <v/>
      </c>
      <c r="D606">
        <v>0.77685750002274201</v>
      </c>
      <c r="U606">
        <v>1.60787000204436E-2</v>
      </c>
      <c r="V606">
        <v>2.9646600014530101E-2</v>
      </c>
      <c r="W606">
        <v>2.0157962000230301</v>
      </c>
      <c r="AK606" t="s">
        <v>93</v>
      </c>
      <c r="AL606">
        <v>1</v>
      </c>
      <c r="AM606" t="s">
        <v>85</v>
      </c>
      <c r="AN606" t="s">
        <v>43</v>
      </c>
      <c r="AP606" t="s">
        <v>44</v>
      </c>
      <c r="AQ606">
        <v>59.992644915568597</v>
      </c>
      <c r="AR606" t="s">
        <v>86</v>
      </c>
    </row>
    <row r="607" spans="1:45" x14ac:dyDescent="0.3">
      <c r="A607" t="s">
        <v>64</v>
      </c>
      <c r="B607" t="s">
        <v>49</v>
      </c>
      <c r="C607" s="2" t="str">
        <f t="shared" si="9"/>
        <v>Neutral</v>
      </c>
      <c r="D607">
        <v>0.65935309999622405</v>
      </c>
      <c r="E607" t="s">
        <v>47</v>
      </c>
      <c r="F607" t="s">
        <v>53</v>
      </c>
      <c r="G607" t="s">
        <v>54</v>
      </c>
      <c r="H607">
        <v>0</v>
      </c>
      <c r="I607">
        <v>0</v>
      </c>
      <c r="J607">
        <v>0</v>
      </c>
      <c r="K607" t="s">
        <v>54</v>
      </c>
      <c r="L607">
        <v>1</v>
      </c>
      <c r="M607">
        <v>1.3293216000310999</v>
      </c>
      <c r="N607" t="s">
        <v>51</v>
      </c>
      <c r="O607">
        <v>0</v>
      </c>
      <c r="P607">
        <v>0</v>
      </c>
      <c r="Q607">
        <v>0</v>
      </c>
      <c r="R607">
        <v>18</v>
      </c>
      <c r="S607">
        <v>2.0618351000011899</v>
      </c>
      <c r="X607">
        <v>2.0535404999973199</v>
      </c>
      <c r="Y607">
        <v>2.0618351000011899</v>
      </c>
      <c r="Z607">
        <v>2.5118483999976799</v>
      </c>
      <c r="AA607">
        <v>2.5118483999976799</v>
      </c>
      <c r="AB607">
        <v>2.5118483999976799</v>
      </c>
      <c r="AC607">
        <v>3.8489572000107701</v>
      </c>
      <c r="AD607" t="s">
        <v>54</v>
      </c>
      <c r="AE607">
        <v>1</v>
      </c>
      <c r="AF607">
        <v>1.3293216000310999</v>
      </c>
      <c r="AG607" t="s">
        <v>51</v>
      </c>
      <c r="AK607" t="s">
        <v>93</v>
      </c>
      <c r="AL607">
        <v>1</v>
      </c>
      <c r="AM607" t="s">
        <v>85</v>
      </c>
      <c r="AN607" t="s">
        <v>43</v>
      </c>
      <c r="AP607" t="s">
        <v>44</v>
      </c>
      <c r="AQ607">
        <v>59.992644915568597</v>
      </c>
      <c r="AR607" t="s">
        <v>86</v>
      </c>
    </row>
    <row r="608" spans="1:45" x14ac:dyDescent="0.3">
      <c r="A608" t="s">
        <v>71</v>
      </c>
      <c r="B608" t="s">
        <v>49</v>
      </c>
      <c r="C608" s="2" t="str">
        <f t="shared" si="9"/>
        <v>Neutral</v>
      </c>
      <c r="D608">
        <v>0.98113929998362404</v>
      </c>
      <c r="E608" t="s">
        <v>47</v>
      </c>
      <c r="F608" t="s">
        <v>48</v>
      </c>
      <c r="G608" t="s">
        <v>50</v>
      </c>
      <c r="H608">
        <v>1</v>
      </c>
      <c r="I608">
        <v>1</v>
      </c>
      <c r="J608">
        <v>0</v>
      </c>
      <c r="K608" t="s">
        <v>50</v>
      </c>
      <c r="L608">
        <v>1</v>
      </c>
      <c r="M608">
        <v>0.804908999998588</v>
      </c>
      <c r="N608" t="s">
        <v>51</v>
      </c>
      <c r="O608">
        <v>0</v>
      </c>
      <c r="P608">
        <v>1</v>
      </c>
      <c r="Q608">
        <v>1</v>
      </c>
      <c r="R608">
        <v>15</v>
      </c>
      <c r="S608">
        <v>3.8621560999890701</v>
      </c>
      <c r="X608">
        <v>3.8517926000058602</v>
      </c>
      <c r="Y608">
        <v>3.8621560999890701</v>
      </c>
      <c r="Z608">
        <v>4.3621658000047301</v>
      </c>
      <c r="AA608">
        <v>4.3621658000047301</v>
      </c>
      <c r="AB608">
        <v>4.3621658000047301</v>
      </c>
      <c r="AC608">
        <v>5.1829789999756004</v>
      </c>
      <c r="AD608" t="s">
        <v>50</v>
      </c>
      <c r="AE608">
        <v>1</v>
      </c>
      <c r="AF608">
        <v>0.804908999998588</v>
      </c>
      <c r="AG608" t="s">
        <v>51</v>
      </c>
      <c r="AK608" t="s">
        <v>93</v>
      </c>
      <c r="AL608">
        <v>1</v>
      </c>
      <c r="AM608" t="s">
        <v>85</v>
      </c>
      <c r="AN608" t="s">
        <v>43</v>
      </c>
      <c r="AP608" t="s">
        <v>44</v>
      </c>
      <c r="AQ608">
        <v>59.992644915568597</v>
      </c>
      <c r="AR608" t="s">
        <v>86</v>
      </c>
    </row>
    <row r="609" spans="1:46" x14ac:dyDescent="0.3">
      <c r="A609" t="s">
        <v>46</v>
      </c>
      <c r="B609" t="s">
        <v>49</v>
      </c>
      <c r="C609" s="2" t="str">
        <f t="shared" si="9"/>
        <v>Neutral</v>
      </c>
      <c r="D609">
        <v>0.57776660000672497</v>
      </c>
      <c r="E609" t="s">
        <v>47</v>
      </c>
      <c r="F609" t="s">
        <v>48</v>
      </c>
      <c r="G609" t="s">
        <v>50</v>
      </c>
      <c r="H609">
        <v>2</v>
      </c>
      <c r="I609">
        <v>2</v>
      </c>
      <c r="J609">
        <v>0</v>
      </c>
      <c r="K609" t="s">
        <v>50</v>
      </c>
      <c r="L609">
        <v>1</v>
      </c>
      <c r="M609">
        <v>0.474719499994535</v>
      </c>
      <c r="N609" t="s">
        <v>51</v>
      </c>
      <c r="O609">
        <v>0</v>
      </c>
      <c r="P609">
        <v>2</v>
      </c>
      <c r="Q609">
        <v>2</v>
      </c>
      <c r="R609">
        <v>19</v>
      </c>
      <c r="S609">
        <v>5.19536870002048</v>
      </c>
      <c r="X609">
        <v>5.1859134000260303</v>
      </c>
      <c r="Y609">
        <v>5.19536870002048</v>
      </c>
      <c r="Z609">
        <v>5.6960300999926403</v>
      </c>
      <c r="AA609">
        <v>5.6960300999926403</v>
      </c>
      <c r="AB609">
        <v>5.6960300999926403</v>
      </c>
      <c r="AC609">
        <v>6.1824280000291703</v>
      </c>
      <c r="AD609" t="s">
        <v>50</v>
      </c>
      <c r="AE609">
        <v>1</v>
      </c>
      <c r="AF609">
        <v>0.474719499994535</v>
      </c>
      <c r="AG609" t="s">
        <v>51</v>
      </c>
      <c r="AK609" t="s">
        <v>93</v>
      </c>
      <c r="AL609">
        <v>1</v>
      </c>
      <c r="AM609" t="s">
        <v>85</v>
      </c>
      <c r="AN609" t="s">
        <v>43</v>
      </c>
      <c r="AP609" t="s">
        <v>44</v>
      </c>
      <c r="AQ609">
        <v>59.992644915568597</v>
      </c>
      <c r="AR609" t="s">
        <v>86</v>
      </c>
    </row>
    <row r="610" spans="1:46" x14ac:dyDescent="0.3">
      <c r="A610" t="s">
        <v>73</v>
      </c>
      <c r="B610" t="s">
        <v>49</v>
      </c>
      <c r="C610" s="2" t="str">
        <f t="shared" si="9"/>
        <v>Emotional-I</v>
      </c>
      <c r="D610">
        <v>0.56156489998102099</v>
      </c>
      <c r="E610" t="s">
        <v>59</v>
      </c>
      <c r="F610" t="s">
        <v>56</v>
      </c>
      <c r="G610" t="s">
        <v>57</v>
      </c>
      <c r="H610">
        <v>3</v>
      </c>
      <c r="I610">
        <v>3</v>
      </c>
      <c r="J610">
        <v>0</v>
      </c>
      <c r="K610" t="s">
        <v>57</v>
      </c>
      <c r="L610">
        <v>1</v>
      </c>
      <c r="M610">
        <v>0.73664860002463595</v>
      </c>
      <c r="N610" t="s">
        <v>51</v>
      </c>
      <c r="O610">
        <v>0</v>
      </c>
      <c r="P610">
        <v>3</v>
      </c>
      <c r="Q610">
        <v>3</v>
      </c>
      <c r="R610">
        <v>1</v>
      </c>
      <c r="S610">
        <v>6.1955314999795501</v>
      </c>
      <c r="X610">
        <v>6.1851587999844897</v>
      </c>
      <c r="Y610">
        <v>6.1955314999795501</v>
      </c>
      <c r="Z610">
        <v>6.6951182999764498</v>
      </c>
      <c r="AA610">
        <v>6.6951182999764498</v>
      </c>
      <c r="AB610">
        <v>6.6951182999764498</v>
      </c>
      <c r="AC610">
        <v>7.4328152000089096</v>
      </c>
      <c r="AD610" t="s">
        <v>57</v>
      </c>
      <c r="AE610">
        <v>1</v>
      </c>
      <c r="AF610">
        <v>0.73664860002463595</v>
      </c>
      <c r="AG610" t="s">
        <v>51</v>
      </c>
      <c r="AK610" t="s">
        <v>93</v>
      </c>
      <c r="AL610">
        <v>1</v>
      </c>
      <c r="AM610" t="s">
        <v>85</v>
      </c>
      <c r="AN610" t="s">
        <v>43</v>
      </c>
      <c r="AP610" t="s">
        <v>44</v>
      </c>
      <c r="AQ610">
        <v>59.992644915568597</v>
      </c>
      <c r="AR610" t="s">
        <v>86</v>
      </c>
    </row>
    <row r="611" spans="1:46" x14ac:dyDescent="0.3">
      <c r="A611" t="s">
        <v>52</v>
      </c>
      <c r="B611" t="s">
        <v>49</v>
      </c>
      <c r="C611" s="2" t="str">
        <f t="shared" si="9"/>
        <v>Neutral</v>
      </c>
      <c r="D611">
        <v>0.77791549998801202</v>
      </c>
      <c r="E611" t="s">
        <v>47</v>
      </c>
      <c r="F611" t="s">
        <v>53</v>
      </c>
      <c r="G611" t="s">
        <v>54</v>
      </c>
      <c r="H611">
        <v>4</v>
      </c>
      <c r="I611">
        <v>4</v>
      </c>
      <c r="J611">
        <v>0</v>
      </c>
      <c r="K611" t="s">
        <v>54</v>
      </c>
      <c r="L611">
        <v>1</v>
      </c>
      <c r="M611">
        <v>0.76859029999468398</v>
      </c>
      <c r="N611" t="s">
        <v>51</v>
      </c>
      <c r="O611">
        <v>0</v>
      </c>
      <c r="P611">
        <v>4</v>
      </c>
      <c r="Q611">
        <v>4</v>
      </c>
      <c r="R611">
        <v>14</v>
      </c>
      <c r="S611">
        <v>7.4449816999840497</v>
      </c>
      <c r="X611">
        <v>7.43618770001921</v>
      </c>
      <c r="Y611">
        <v>7.4449816999840497</v>
      </c>
      <c r="Z611">
        <v>7.94558549998328</v>
      </c>
      <c r="AA611">
        <v>7.94558549998328</v>
      </c>
      <c r="AB611">
        <v>7.94558549998328</v>
      </c>
      <c r="AC611">
        <v>8.7158271999796799</v>
      </c>
      <c r="AD611" t="s">
        <v>54</v>
      </c>
      <c r="AE611">
        <v>1</v>
      </c>
      <c r="AF611">
        <v>0.76859029999468398</v>
      </c>
      <c r="AG611" t="s">
        <v>51</v>
      </c>
      <c r="AK611" t="s">
        <v>93</v>
      </c>
      <c r="AL611">
        <v>1</v>
      </c>
      <c r="AM611" t="s">
        <v>85</v>
      </c>
      <c r="AN611" t="s">
        <v>43</v>
      </c>
      <c r="AP611" t="s">
        <v>44</v>
      </c>
      <c r="AQ611">
        <v>59.992644915568597</v>
      </c>
      <c r="AR611" t="s">
        <v>86</v>
      </c>
    </row>
    <row r="612" spans="1:46" x14ac:dyDescent="0.3">
      <c r="A612" t="s">
        <v>70</v>
      </c>
      <c r="B612" t="s">
        <v>49</v>
      </c>
      <c r="C612" s="2" t="str">
        <f t="shared" si="9"/>
        <v>Emotional-I</v>
      </c>
      <c r="D612">
        <v>0.95712340000318297</v>
      </c>
      <c r="E612" t="s">
        <v>59</v>
      </c>
      <c r="F612" t="s">
        <v>53</v>
      </c>
      <c r="G612" t="s">
        <v>54</v>
      </c>
      <c r="H612">
        <v>5</v>
      </c>
      <c r="I612">
        <v>5</v>
      </c>
      <c r="J612">
        <v>0</v>
      </c>
      <c r="K612" t="s">
        <v>54</v>
      </c>
      <c r="L612">
        <v>1</v>
      </c>
      <c r="M612">
        <v>0.55863420001696795</v>
      </c>
      <c r="N612" t="s">
        <v>51</v>
      </c>
      <c r="O612">
        <v>0</v>
      </c>
      <c r="P612">
        <v>5</v>
      </c>
      <c r="Q612">
        <v>5</v>
      </c>
      <c r="R612">
        <v>2</v>
      </c>
      <c r="S612">
        <v>8.7282178000314108</v>
      </c>
      <c r="X612">
        <v>8.7209510999964497</v>
      </c>
      <c r="Y612">
        <v>8.7282178000314108</v>
      </c>
      <c r="Z612">
        <v>9.2296793999848799</v>
      </c>
      <c r="AA612">
        <v>9.2296793999848799</v>
      </c>
      <c r="AB612">
        <v>9.2296793999848799</v>
      </c>
      <c r="AC612">
        <v>9.7994531000149401</v>
      </c>
      <c r="AD612" t="s">
        <v>54</v>
      </c>
      <c r="AE612">
        <v>1</v>
      </c>
      <c r="AF612">
        <v>0.55863420001696795</v>
      </c>
      <c r="AG612" t="s">
        <v>51</v>
      </c>
      <c r="AK612" t="s">
        <v>93</v>
      </c>
      <c r="AL612">
        <v>1</v>
      </c>
      <c r="AM612" t="s">
        <v>85</v>
      </c>
      <c r="AN612" t="s">
        <v>43</v>
      </c>
      <c r="AP612" t="s">
        <v>44</v>
      </c>
      <c r="AQ612">
        <v>59.992644915568597</v>
      </c>
      <c r="AR612" t="s">
        <v>86</v>
      </c>
    </row>
    <row r="613" spans="1:46" x14ac:dyDescent="0.3">
      <c r="A613" t="s">
        <v>67</v>
      </c>
      <c r="B613" t="s">
        <v>49</v>
      </c>
      <c r="C613" s="2" t="str">
        <f t="shared" si="9"/>
        <v>Neutral</v>
      </c>
      <c r="D613">
        <v>0.53022070002043598</v>
      </c>
      <c r="E613" t="s">
        <v>47</v>
      </c>
      <c r="F613" t="s">
        <v>53</v>
      </c>
      <c r="G613" t="s">
        <v>54</v>
      </c>
      <c r="H613">
        <v>6</v>
      </c>
      <c r="I613">
        <v>6</v>
      </c>
      <c r="J613">
        <v>0</v>
      </c>
      <c r="K613" t="s">
        <v>54</v>
      </c>
      <c r="L613">
        <v>1</v>
      </c>
      <c r="M613">
        <v>0.45438259997172198</v>
      </c>
      <c r="N613" t="s">
        <v>51</v>
      </c>
      <c r="O613">
        <v>0</v>
      </c>
      <c r="P613">
        <v>6</v>
      </c>
      <c r="Q613">
        <v>6</v>
      </c>
      <c r="R613">
        <v>10</v>
      </c>
      <c r="S613">
        <v>9.8119314999785203</v>
      </c>
      <c r="X613">
        <v>9.8041382000083104</v>
      </c>
      <c r="Y613">
        <v>9.8119314999785203</v>
      </c>
      <c r="Z613">
        <v>10.3122069999808</v>
      </c>
      <c r="AA613">
        <v>10.3122069999808</v>
      </c>
      <c r="AB613">
        <v>10.3122069999808</v>
      </c>
      <c r="AC613">
        <v>10.7825233999756</v>
      </c>
      <c r="AD613" t="s">
        <v>54</v>
      </c>
      <c r="AE613">
        <v>1</v>
      </c>
      <c r="AF613">
        <v>0.45438259997172198</v>
      </c>
      <c r="AG613" t="s">
        <v>51</v>
      </c>
      <c r="AK613" t="s">
        <v>93</v>
      </c>
      <c r="AL613">
        <v>1</v>
      </c>
      <c r="AM613" t="s">
        <v>85</v>
      </c>
      <c r="AN613" t="s">
        <v>43</v>
      </c>
      <c r="AP613" t="s">
        <v>44</v>
      </c>
      <c r="AQ613">
        <v>59.992644915568597</v>
      </c>
      <c r="AR613" t="s">
        <v>86</v>
      </c>
    </row>
    <row r="614" spans="1:46" x14ac:dyDescent="0.3">
      <c r="A614" t="s">
        <v>77</v>
      </c>
      <c r="B614" t="s">
        <v>62</v>
      </c>
      <c r="C614" s="2" t="str">
        <f t="shared" si="9"/>
        <v>Emotional-C</v>
      </c>
      <c r="D614">
        <v>0.366891099954955</v>
      </c>
      <c r="E614" t="s">
        <v>59</v>
      </c>
      <c r="F614" t="s">
        <v>61</v>
      </c>
      <c r="G614" t="s">
        <v>63</v>
      </c>
      <c r="H614">
        <v>7</v>
      </c>
      <c r="I614">
        <v>7</v>
      </c>
      <c r="J614">
        <v>0</v>
      </c>
      <c r="K614" t="s">
        <v>63</v>
      </c>
      <c r="L614">
        <v>1</v>
      </c>
      <c r="M614">
        <v>0.45179670001380101</v>
      </c>
      <c r="N614" t="s">
        <v>51</v>
      </c>
      <c r="O614">
        <v>0</v>
      </c>
      <c r="P614">
        <v>7</v>
      </c>
      <c r="Q614">
        <v>7</v>
      </c>
      <c r="R614">
        <v>4</v>
      </c>
      <c r="S614">
        <v>10.794912800018199</v>
      </c>
      <c r="X614">
        <v>10.7860158000257</v>
      </c>
      <c r="Y614">
        <v>10.794912800018199</v>
      </c>
      <c r="Z614">
        <v>11.294972600007799</v>
      </c>
      <c r="AA614">
        <v>11.294972600007799</v>
      </c>
      <c r="AB614">
        <v>11.294972600007799</v>
      </c>
      <c r="AC614">
        <v>11.7475246000103</v>
      </c>
      <c r="AD614" t="s">
        <v>63</v>
      </c>
      <c r="AE614">
        <v>1</v>
      </c>
      <c r="AF614">
        <v>0.45179670001380101</v>
      </c>
      <c r="AG614" t="s">
        <v>51</v>
      </c>
      <c r="AK614" t="s">
        <v>93</v>
      </c>
      <c r="AL614">
        <v>1</v>
      </c>
      <c r="AM614" t="s">
        <v>85</v>
      </c>
      <c r="AN614" t="s">
        <v>43</v>
      </c>
      <c r="AP614" t="s">
        <v>44</v>
      </c>
      <c r="AQ614">
        <v>59.992644915568597</v>
      </c>
      <c r="AR614" t="s">
        <v>86</v>
      </c>
    </row>
    <row r="615" spans="1:46" x14ac:dyDescent="0.3">
      <c r="A615" t="s">
        <v>60</v>
      </c>
      <c r="B615" t="s">
        <v>62</v>
      </c>
      <c r="C615" s="2" t="str">
        <f t="shared" si="9"/>
        <v>Emotional-C</v>
      </c>
      <c r="D615">
        <v>0.693160799972247</v>
      </c>
      <c r="E615" t="s">
        <v>59</v>
      </c>
      <c r="F615" t="s">
        <v>61</v>
      </c>
      <c r="G615" t="s">
        <v>63</v>
      </c>
      <c r="H615">
        <v>8</v>
      </c>
      <c r="I615">
        <v>8</v>
      </c>
      <c r="J615">
        <v>0</v>
      </c>
      <c r="K615" t="s">
        <v>63</v>
      </c>
      <c r="L615">
        <v>1</v>
      </c>
      <c r="M615">
        <v>0.49364589998731301</v>
      </c>
      <c r="N615" t="s">
        <v>51</v>
      </c>
      <c r="O615">
        <v>0</v>
      </c>
      <c r="P615">
        <v>8</v>
      </c>
      <c r="Q615">
        <v>8</v>
      </c>
      <c r="R615">
        <v>0</v>
      </c>
      <c r="S615">
        <v>11.7603188999928</v>
      </c>
      <c r="X615">
        <v>11.7516123999957</v>
      </c>
      <c r="Y615">
        <v>11.7603188999928</v>
      </c>
      <c r="Z615">
        <v>12.2617229000316</v>
      </c>
      <c r="AA615">
        <v>12.2617229000316</v>
      </c>
      <c r="AB615">
        <v>12.2617229000316</v>
      </c>
      <c r="AC615">
        <v>12.7654292000224</v>
      </c>
      <c r="AD615" t="s">
        <v>63</v>
      </c>
      <c r="AE615">
        <v>1</v>
      </c>
      <c r="AF615">
        <v>0.49364589998731301</v>
      </c>
      <c r="AG615" t="s">
        <v>51</v>
      </c>
      <c r="AK615" t="s">
        <v>93</v>
      </c>
      <c r="AL615">
        <v>1</v>
      </c>
      <c r="AM615" t="s">
        <v>85</v>
      </c>
      <c r="AN615" t="s">
        <v>43</v>
      </c>
      <c r="AP615" t="s">
        <v>44</v>
      </c>
      <c r="AQ615">
        <v>59.992644915568597</v>
      </c>
      <c r="AR615" t="s">
        <v>86</v>
      </c>
    </row>
    <row r="616" spans="1:46" x14ac:dyDescent="0.3">
      <c r="A616" t="s">
        <v>78</v>
      </c>
      <c r="B616" t="s">
        <v>49</v>
      </c>
      <c r="C616" s="2" t="str">
        <f t="shared" si="9"/>
        <v>Neutral</v>
      </c>
      <c r="D616">
        <v>1.0865412999992199</v>
      </c>
      <c r="E616" t="s">
        <v>47</v>
      </c>
      <c r="F616" t="s">
        <v>56</v>
      </c>
      <c r="G616" t="s">
        <v>57</v>
      </c>
      <c r="H616">
        <v>9</v>
      </c>
      <c r="I616">
        <v>9</v>
      </c>
      <c r="J616">
        <v>0</v>
      </c>
      <c r="K616" t="s">
        <v>57</v>
      </c>
      <c r="L616">
        <v>1</v>
      </c>
      <c r="M616">
        <v>0.84643269999651205</v>
      </c>
      <c r="N616" t="s">
        <v>51</v>
      </c>
      <c r="O616">
        <v>0</v>
      </c>
      <c r="P616">
        <v>9</v>
      </c>
      <c r="Q616">
        <v>9</v>
      </c>
      <c r="R616">
        <v>17</v>
      </c>
      <c r="S616">
        <v>12.7783100000233</v>
      </c>
      <c r="X616">
        <v>12.7681599999777</v>
      </c>
      <c r="Y616">
        <v>12.7783100000233</v>
      </c>
      <c r="Z616">
        <v>13.2770620000083</v>
      </c>
      <c r="AA616">
        <v>13.2770620000083</v>
      </c>
      <c r="AB616">
        <v>13.2770620000083</v>
      </c>
      <c r="AC616">
        <v>14.130831599992201</v>
      </c>
      <c r="AD616" t="s">
        <v>57</v>
      </c>
      <c r="AE616">
        <v>1</v>
      </c>
      <c r="AF616">
        <v>0.84643269999651205</v>
      </c>
      <c r="AG616" t="s">
        <v>51</v>
      </c>
      <c r="AK616" t="s">
        <v>93</v>
      </c>
      <c r="AL616">
        <v>1</v>
      </c>
      <c r="AM616" t="s">
        <v>85</v>
      </c>
      <c r="AN616" t="s">
        <v>43</v>
      </c>
      <c r="AP616" t="s">
        <v>44</v>
      </c>
      <c r="AQ616">
        <v>59.992644915568597</v>
      </c>
      <c r="AR616" t="s">
        <v>86</v>
      </c>
    </row>
    <row r="617" spans="1:46" x14ac:dyDescent="0.3">
      <c r="A617" t="s">
        <v>74</v>
      </c>
      <c r="B617" t="s">
        <v>49</v>
      </c>
      <c r="C617" s="2" t="str">
        <f t="shared" si="9"/>
        <v>Neutral</v>
      </c>
      <c r="D617">
        <v>0.67173040000488904</v>
      </c>
      <c r="E617" t="s">
        <v>47</v>
      </c>
      <c r="F617" t="s">
        <v>48</v>
      </c>
      <c r="G617" t="s">
        <v>50</v>
      </c>
      <c r="H617">
        <v>10</v>
      </c>
      <c r="I617">
        <v>10</v>
      </c>
      <c r="J617">
        <v>0</v>
      </c>
      <c r="K617" t="s">
        <v>50</v>
      </c>
      <c r="L617">
        <v>1</v>
      </c>
      <c r="M617">
        <v>0.75849959999322802</v>
      </c>
      <c r="N617" t="s">
        <v>51</v>
      </c>
      <c r="O617">
        <v>0</v>
      </c>
      <c r="P617">
        <v>10</v>
      </c>
      <c r="Q617">
        <v>10</v>
      </c>
      <c r="R617">
        <v>11</v>
      </c>
      <c r="S617">
        <v>14.144047699985</v>
      </c>
      <c r="X617">
        <v>14.133444099978</v>
      </c>
      <c r="Y617">
        <v>14.144047699985</v>
      </c>
      <c r="Z617">
        <v>14.643705499998701</v>
      </c>
      <c r="AA617">
        <v>14.643705499998701</v>
      </c>
      <c r="AB617">
        <v>14.643705499998701</v>
      </c>
      <c r="AC617">
        <v>15.413905200024599</v>
      </c>
      <c r="AD617" t="s">
        <v>50</v>
      </c>
      <c r="AE617">
        <v>1</v>
      </c>
      <c r="AF617">
        <v>0.75849959999322802</v>
      </c>
      <c r="AG617" t="s">
        <v>51</v>
      </c>
      <c r="AK617" t="s">
        <v>93</v>
      </c>
      <c r="AL617">
        <v>1</v>
      </c>
      <c r="AM617" t="s">
        <v>85</v>
      </c>
      <c r="AN617" t="s">
        <v>43</v>
      </c>
      <c r="AP617" t="s">
        <v>44</v>
      </c>
      <c r="AQ617">
        <v>59.992644915568597</v>
      </c>
      <c r="AR617" t="s">
        <v>86</v>
      </c>
    </row>
    <row r="618" spans="1:46" hidden="1" x14ac:dyDescent="0.3">
      <c r="A618" t="s">
        <v>65</v>
      </c>
      <c r="B618" t="s">
        <v>49</v>
      </c>
      <c r="C618" s="2" t="str">
        <f t="shared" si="9"/>
        <v>Emotional-I</v>
      </c>
      <c r="D618">
        <v>0.85491759999422301</v>
      </c>
      <c r="E618" t="s">
        <v>59</v>
      </c>
      <c r="F618" t="s">
        <v>56</v>
      </c>
      <c r="G618" t="s">
        <v>57</v>
      </c>
      <c r="H618">
        <v>11</v>
      </c>
      <c r="I618">
        <v>11</v>
      </c>
      <c r="J618">
        <v>0</v>
      </c>
      <c r="K618" t="s">
        <v>63</v>
      </c>
      <c r="L618">
        <v>0</v>
      </c>
      <c r="M618">
        <v>1.2932846999610701</v>
      </c>
      <c r="N618" t="s">
        <v>51</v>
      </c>
      <c r="O618">
        <v>0</v>
      </c>
      <c r="P618">
        <v>11</v>
      </c>
      <c r="Q618">
        <v>11</v>
      </c>
      <c r="R618">
        <v>9</v>
      </c>
      <c r="S618">
        <v>15.4277170000132</v>
      </c>
      <c r="X618">
        <v>15.417971000017101</v>
      </c>
      <c r="Y618">
        <v>15.4277170000132</v>
      </c>
      <c r="Z618">
        <v>15.9269311000243</v>
      </c>
      <c r="AA618">
        <v>15.9269311000243</v>
      </c>
      <c r="AB618">
        <v>15.9269311000243</v>
      </c>
      <c r="AC618">
        <v>17.230580000032202</v>
      </c>
      <c r="AD618" t="s">
        <v>63</v>
      </c>
      <c r="AE618">
        <v>0</v>
      </c>
      <c r="AF618">
        <v>1.2932846999610701</v>
      </c>
      <c r="AG618" t="s">
        <v>51</v>
      </c>
      <c r="AK618" t="s">
        <v>93</v>
      </c>
      <c r="AL618">
        <v>1</v>
      </c>
      <c r="AM618" t="s">
        <v>85</v>
      </c>
      <c r="AN618" t="s">
        <v>43</v>
      </c>
      <c r="AP618" t="s">
        <v>44</v>
      </c>
      <c r="AQ618">
        <v>59.992644915568597</v>
      </c>
      <c r="AR618" t="s">
        <v>86</v>
      </c>
    </row>
    <row r="619" spans="1:46" x14ac:dyDescent="0.3">
      <c r="A619" t="s">
        <v>69</v>
      </c>
      <c r="B619" t="s">
        <v>49</v>
      </c>
      <c r="C619" s="2" t="str">
        <f t="shared" si="9"/>
        <v>Emotional-I</v>
      </c>
      <c r="D619">
        <v>1.42252079996978</v>
      </c>
      <c r="E619" t="s">
        <v>59</v>
      </c>
      <c r="F619" t="s">
        <v>56</v>
      </c>
      <c r="G619" t="s">
        <v>57</v>
      </c>
      <c r="H619">
        <v>12</v>
      </c>
      <c r="I619">
        <v>12</v>
      </c>
      <c r="J619">
        <v>0</v>
      </c>
      <c r="K619" t="s">
        <v>57</v>
      </c>
      <c r="L619">
        <v>1</v>
      </c>
      <c r="M619">
        <v>0.88036830001510602</v>
      </c>
      <c r="N619" t="s">
        <v>51</v>
      </c>
      <c r="O619">
        <v>0</v>
      </c>
      <c r="P619">
        <v>12</v>
      </c>
      <c r="Q619">
        <v>12</v>
      </c>
      <c r="R619">
        <v>5</v>
      </c>
      <c r="S619">
        <v>17.243832200008899</v>
      </c>
      <c r="X619">
        <v>17.2330263999756</v>
      </c>
      <c r="Y619">
        <v>17.243832200008899</v>
      </c>
      <c r="Z619">
        <v>17.744936999981199</v>
      </c>
      <c r="AA619">
        <v>17.744936999981199</v>
      </c>
      <c r="AB619">
        <v>17.744936999981199</v>
      </c>
      <c r="AC619">
        <v>18.632121199974701</v>
      </c>
      <c r="AD619" t="s">
        <v>57</v>
      </c>
      <c r="AE619">
        <v>1</v>
      </c>
      <c r="AF619">
        <v>0.88036830001510602</v>
      </c>
      <c r="AG619" t="s">
        <v>51</v>
      </c>
      <c r="AK619" t="s">
        <v>93</v>
      </c>
      <c r="AL619">
        <v>1</v>
      </c>
      <c r="AM619" t="s">
        <v>85</v>
      </c>
      <c r="AN619" t="s">
        <v>43</v>
      </c>
      <c r="AP619" t="s">
        <v>44</v>
      </c>
      <c r="AQ619">
        <v>59.992644915568597</v>
      </c>
      <c r="AR619" t="s">
        <v>86</v>
      </c>
    </row>
    <row r="620" spans="1:46" x14ac:dyDescent="0.3">
      <c r="A620" t="s">
        <v>66</v>
      </c>
      <c r="B620" t="s">
        <v>49</v>
      </c>
      <c r="C620" s="2" t="str">
        <f t="shared" si="9"/>
        <v>Neutral</v>
      </c>
      <c r="D620">
        <v>0.84413089998997703</v>
      </c>
      <c r="E620" t="s">
        <v>47</v>
      </c>
      <c r="F620" t="s">
        <v>61</v>
      </c>
      <c r="G620" t="s">
        <v>63</v>
      </c>
      <c r="H620">
        <v>13</v>
      </c>
      <c r="I620">
        <v>13</v>
      </c>
      <c r="J620">
        <v>0</v>
      </c>
      <c r="K620" t="s">
        <v>63</v>
      </c>
      <c r="L620">
        <v>1</v>
      </c>
      <c r="M620">
        <v>0.58007490000454698</v>
      </c>
      <c r="N620" t="s">
        <v>51</v>
      </c>
      <c r="O620">
        <v>0</v>
      </c>
      <c r="P620">
        <v>13</v>
      </c>
      <c r="Q620">
        <v>13</v>
      </c>
      <c r="R620">
        <v>12</v>
      </c>
      <c r="S620">
        <v>18.645008500025099</v>
      </c>
      <c r="X620">
        <v>18.6348029000218</v>
      </c>
      <c r="Y620">
        <v>18.645008500025099</v>
      </c>
      <c r="Z620">
        <v>19.144608100003001</v>
      </c>
      <c r="AA620">
        <v>19.144608100003001</v>
      </c>
      <c r="AB620">
        <v>19.144608100003001</v>
      </c>
      <c r="AC620">
        <v>19.735525500029301</v>
      </c>
      <c r="AD620" t="s">
        <v>63</v>
      </c>
      <c r="AE620">
        <v>1</v>
      </c>
      <c r="AF620">
        <v>0.58007490000454698</v>
      </c>
      <c r="AG620" t="s">
        <v>51</v>
      </c>
      <c r="AK620" t="s">
        <v>93</v>
      </c>
      <c r="AL620">
        <v>1</v>
      </c>
      <c r="AM620" t="s">
        <v>85</v>
      </c>
      <c r="AN620" t="s">
        <v>43</v>
      </c>
      <c r="AP620" t="s">
        <v>44</v>
      </c>
      <c r="AQ620">
        <v>59.992644915568597</v>
      </c>
      <c r="AR620" t="s">
        <v>86</v>
      </c>
    </row>
    <row r="621" spans="1:46" x14ac:dyDescent="0.3">
      <c r="A621" t="s">
        <v>68</v>
      </c>
      <c r="B621" t="s">
        <v>49</v>
      </c>
      <c r="C621" s="2" t="str">
        <f t="shared" si="9"/>
        <v>Emotional-I</v>
      </c>
      <c r="D621">
        <v>0.64040319999912698</v>
      </c>
      <c r="E621" t="s">
        <v>59</v>
      </c>
      <c r="F621" t="s">
        <v>53</v>
      </c>
      <c r="G621" t="s">
        <v>54</v>
      </c>
      <c r="H621">
        <v>14</v>
      </c>
      <c r="I621">
        <v>14</v>
      </c>
      <c r="J621">
        <v>0</v>
      </c>
      <c r="K621" t="s">
        <v>54</v>
      </c>
      <c r="L621">
        <v>1</v>
      </c>
      <c r="M621">
        <v>6.2667314999853199</v>
      </c>
      <c r="N621" t="s">
        <v>51</v>
      </c>
      <c r="O621">
        <v>0</v>
      </c>
      <c r="P621">
        <v>14</v>
      </c>
      <c r="Q621">
        <v>14</v>
      </c>
      <c r="R621">
        <v>6</v>
      </c>
      <c r="S621">
        <v>19.7632229999871</v>
      </c>
      <c r="X621">
        <v>19.745404599991101</v>
      </c>
      <c r="Y621">
        <v>19.7632229999871</v>
      </c>
      <c r="Z621">
        <v>20.245104100031298</v>
      </c>
      <c r="AA621">
        <v>20.245104100031298</v>
      </c>
      <c r="AB621">
        <v>20.245104100031298</v>
      </c>
      <c r="AC621">
        <v>26.5286047999979</v>
      </c>
      <c r="AD621" t="s">
        <v>54</v>
      </c>
      <c r="AE621">
        <v>1</v>
      </c>
      <c r="AF621">
        <v>6.2667314999853199</v>
      </c>
      <c r="AG621" t="s">
        <v>51</v>
      </c>
      <c r="AK621" t="s">
        <v>93</v>
      </c>
      <c r="AL621">
        <v>1</v>
      </c>
      <c r="AM621" t="s">
        <v>85</v>
      </c>
      <c r="AN621" t="s">
        <v>43</v>
      </c>
      <c r="AP621" t="s">
        <v>44</v>
      </c>
      <c r="AQ621">
        <v>59.992644915568597</v>
      </c>
      <c r="AR621" t="s">
        <v>86</v>
      </c>
      <c r="AT621">
        <v>24.7436424000188</v>
      </c>
    </row>
    <row r="622" spans="1:46" x14ac:dyDescent="0.3">
      <c r="A622" t="s">
        <v>76</v>
      </c>
      <c r="B622" t="s">
        <v>49</v>
      </c>
      <c r="C622" s="2" t="str">
        <f t="shared" si="9"/>
        <v>Emotional-I</v>
      </c>
      <c r="D622">
        <v>0.84014300000853803</v>
      </c>
      <c r="E622" t="s">
        <v>59</v>
      </c>
      <c r="F622" t="s">
        <v>48</v>
      </c>
      <c r="G622" t="s">
        <v>50</v>
      </c>
      <c r="H622">
        <v>15</v>
      </c>
      <c r="I622">
        <v>15</v>
      </c>
      <c r="J622">
        <v>0</v>
      </c>
      <c r="K622" t="s">
        <v>50</v>
      </c>
      <c r="L622">
        <v>1</v>
      </c>
      <c r="M622">
        <v>1.11940820002928</v>
      </c>
      <c r="N622" t="s">
        <v>51</v>
      </c>
      <c r="O622">
        <v>0</v>
      </c>
      <c r="P622">
        <v>15</v>
      </c>
      <c r="Q622">
        <v>15</v>
      </c>
      <c r="R622">
        <v>3</v>
      </c>
      <c r="S622">
        <v>26.542758800031098</v>
      </c>
      <c r="X622">
        <v>26.5306350000319</v>
      </c>
      <c r="Y622">
        <v>26.542758800031098</v>
      </c>
      <c r="Z622">
        <v>27.043158499989602</v>
      </c>
      <c r="AA622">
        <v>27.043158499989602</v>
      </c>
      <c r="AB622">
        <v>27.043158499989602</v>
      </c>
      <c r="AC622">
        <v>28.1785350000136</v>
      </c>
      <c r="AD622" t="s">
        <v>50</v>
      </c>
      <c r="AE622">
        <v>1</v>
      </c>
      <c r="AF622">
        <v>1.11940820002928</v>
      </c>
      <c r="AG622" t="s">
        <v>51</v>
      </c>
      <c r="AK622" t="s">
        <v>93</v>
      </c>
      <c r="AL622">
        <v>1</v>
      </c>
      <c r="AM622" t="s">
        <v>85</v>
      </c>
      <c r="AN622" t="s">
        <v>43</v>
      </c>
      <c r="AP622" t="s">
        <v>44</v>
      </c>
      <c r="AQ622">
        <v>59.992644915568597</v>
      </c>
      <c r="AR622" t="s">
        <v>86</v>
      </c>
    </row>
    <row r="623" spans="1:46" x14ac:dyDescent="0.3">
      <c r="A623" t="s">
        <v>75</v>
      </c>
      <c r="B623" t="s">
        <v>49</v>
      </c>
      <c r="C623" s="2" t="str">
        <f t="shared" si="9"/>
        <v>Neutral</v>
      </c>
      <c r="D623">
        <v>0.83044669998344001</v>
      </c>
      <c r="E623" t="s">
        <v>47</v>
      </c>
      <c r="F623" t="s">
        <v>61</v>
      </c>
      <c r="G623" t="s">
        <v>63</v>
      </c>
      <c r="H623">
        <v>16</v>
      </c>
      <c r="I623">
        <v>16</v>
      </c>
      <c r="J623">
        <v>0</v>
      </c>
      <c r="K623" t="s">
        <v>63</v>
      </c>
      <c r="L623">
        <v>1</v>
      </c>
      <c r="M623">
        <v>0.67668199999025003</v>
      </c>
      <c r="N623" t="s">
        <v>51</v>
      </c>
      <c r="O623">
        <v>0</v>
      </c>
      <c r="P623">
        <v>16</v>
      </c>
      <c r="Q623">
        <v>16</v>
      </c>
      <c r="R623">
        <v>16</v>
      </c>
      <c r="S623">
        <v>28.1925775000127</v>
      </c>
      <c r="X623">
        <v>28.180298299994298</v>
      </c>
      <c r="Y623">
        <v>28.1925775000127</v>
      </c>
      <c r="Z623">
        <v>28.6928227000171</v>
      </c>
      <c r="AA623">
        <v>28.6928227000171</v>
      </c>
      <c r="AB623">
        <v>28.6928227000171</v>
      </c>
      <c r="AC623">
        <v>29.377971899986701</v>
      </c>
      <c r="AD623" t="s">
        <v>63</v>
      </c>
      <c r="AE623">
        <v>1</v>
      </c>
      <c r="AF623">
        <v>0.67668199999025003</v>
      </c>
      <c r="AG623" t="s">
        <v>51</v>
      </c>
      <c r="AK623" t="s">
        <v>93</v>
      </c>
      <c r="AL623">
        <v>1</v>
      </c>
      <c r="AM623" t="s">
        <v>85</v>
      </c>
      <c r="AN623" t="s">
        <v>43</v>
      </c>
      <c r="AP623" t="s">
        <v>44</v>
      </c>
      <c r="AQ623">
        <v>59.992644915568597</v>
      </c>
      <c r="AR623" t="s">
        <v>86</v>
      </c>
    </row>
    <row r="624" spans="1:46" x14ac:dyDescent="0.3">
      <c r="A624" t="s">
        <v>55</v>
      </c>
      <c r="B624" t="s">
        <v>49</v>
      </c>
      <c r="C624" s="2" t="str">
        <f t="shared" si="9"/>
        <v>Neutral</v>
      </c>
      <c r="D624">
        <v>0.79632580000907105</v>
      </c>
      <c r="E624" t="s">
        <v>47</v>
      </c>
      <c r="F624" t="s">
        <v>56</v>
      </c>
      <c r="G624" t="s">
        <v>57</v>
      </c>
      <c r="H624">
        <v>17</v>
      </c>
      <c r="I624">
        <v>17</v>
      </c>
      <c r="J624">
        <v>0</v>
      </c>
      <c r="K624" t="s">
        <v>57</v>
      </c>
      <c r="L624">
        <v>1</v>
      </c>
      <c r="M624">
        <v>1.6939309000153999</v>
      </c>
      <c r="N624" t="s">
        <v>51</v>
      </c>
      <c r="O624">
        <v>0</v>
      </c>
      <c r="P624">
        <v>17</v>
      </c>
      <c r="Q624">
        <v>17</v>
      </c>
      <c r="R624">
        <v>13</v>
      </c>
      <c r="S624">
        <v>29.3931083999923</v>
      </c>
      <c r="X624">
        <v>29.379678700002799</v>
      </c>
      <c r="Y624">
        <v>29.3931083999923</v>
      </c>
      <c r="Z624">
        <v>29.892969799984701</v>
      </c>
      <c r="AA624">
        <v>29.892969799984701</v>
      </c>
      <c r="AB624">
        <v>29.892969799984701</v>
      </c>
      <c r="AC624">
        <v>31.594986499985598</v>
      </c>
      <c r="AD624" t="s">
        <v>57</v>
      </c>
      <c r="AE624">
        <v>1</v>
      </c>
      <c r="AF624">
        <v>1.6939309000153999</v>
      </c>
      <c r="AG624" t="s">
        <v>51</v>
      </c>
      <c r="AK624" t="s">
        <v>93</v>
      </c>
      <c r="AL624">
        <v>1</v>
      </c>
      <c r="AM624" t="s">
        <v>85</v>
      </c>
      <c r="AN624" t="s">
        <v>43</v>
      </c>
      <c r="AP624" t="s">
        <v>44</v>
      </c>
      <c r="AQ624">
        <v>59.992644915568597</v>
      </c>
      <c r="AR624" t="s">
        <v>86</v>
      </c>
    </row>
    <row r="625" spans="1:44" x14ac:dyDescent="0.3">
      <c r="A625" t="s">
        <v>58</v>
      </c>
      <c r="B625" t="s">
        <v>49</v>
      </c>
      <c r="C625" s="2" t="str">
        <f t="shared" si="9"/>
        <v>Emotional-I</v>
      </c>
      <c r="D625">
        <v>0.93522879999363795</v>
      </c>
      <c r="E625" t="s">
        <v>59</v>
      </c>
      <c r="F625" t="s">
        <v>48</v>
      </c>
      <c r="G625" t="s">
        <v>50</v>
      </c>
      <c r="H625">
        <v>18</v>
      </c>
      <c r="I625">
        <v>18</v>
      </c>
      <c r="J625">
        <v>0</v>
      </c>
      <c r="K625" t="s">
        <v>50</v>
      </c>
      <c r="L625">
        <v>1</v>
      </c>
      <c r="M625">
        <v>0.76237050001509399</v>
      </c>
      <c r="N625" t="s">
        <v>51</v>
      </c>
      <c r="O625">
        <v>0</v>
      </c>
      <c r="P625">
        <v>18</v>
      </c>
      <c r="Q625">
        <v>18</v>
      </c>
      <c r="R625">
        <v>7</v>
      </c>
      <c r="S625">
        <v>31.609599600022101</v>
      </c>
      <c r="X625">
        <v>31.597202299977599</v>
      </c>
      <c r="Y625">
        <v>31.609599600022101</v>
      </c>
      <c r="Z625">
        <v>32.109715899976401</v>
      </c>
      <c r="AA625">
        <v>32.109715899976401</v>
      </c>
      <c r="AB625">
        <v>32.109715899976401</v>
      </c>
      <c r="AC625">
        <v>32.877603699977001</v>
      </c>
      <c r="AD625" t="s">
        <v>50</v>
      </c>
      <c r="AE625">
        <v>1</v>
      </c>
      <c r="AF625">
        <v>0.76237050001509399</v>
      </c>
      <c r="AG625" t="s">
        <v>51</v>
      </c>
      <c r="AK625" t="s">
        <v>93</v>
      </c>
      <c r="AL625">
        <v>1</v>
      </c>
      <c r="AM625" t="s">
        <v>85</v>
      </c>
      <c r="AN625" t="s">
        <v>43</v>
      </c>
      <c r="AP625" t="s">
        <v>44</v>
      </c>
      <c r="AQ625">
        <v>59.992644915568597</v>
      </c>
      <c r="AR625" t="s">
        <v>86</v>
      </c>
    </row>
    <row r="626" spans="1:44" x14ac:dyDescent="0.3">
      <c r="A626" t="s">
        <v>72</v>
      </c>
      <c r="B626" t="s">
        <v>62</v>
      </c>
      <c r="C626" s="2" t="str">
        <f t="shared" si="9"/>
        <v>Emotional-C</v>
      </c>
      <c r="D626">
        <v>0.46373600000515502</v>
      </c>
      <c r="E626" t="s">
        <v>59</v>
      </c>
      <c r="F626" t="s">
        <v>61</v>
      </c>
      <c r="G626" t="s">
        <v>63</v>
      </c>
      <c r="H626">
        <v>19</v>
      </c>
      <c r="I626">
        <v>19</v>
      </c>
      <c r="J626">
        <v>0</v>
      </c>
      <c r="K626" t="s">
        <v>63</v>
      </c>
      <c r="L626">
        <v>1</v>
      </c>
      <c r="M626">
        <v>0.60483680001925599</v>
      </c>
      <c r="N626" t="s">
        <v>51</v>
      </c>
      <c r="O626">
        <v>0</v>
      </c>
      <c r="P626">
        <v>19</v>
      </c>
      <c r="Q626">
        <v>19</v>
      </c>
      <c r="R626">
        <v>8</v>
      </c>
      <c r="S626">
        <v>32.892594599979901</v>
      </c>
      <c r="X626">
        <v>32.879303800000301</v>
      </c>
      <c r="Y626">
        <v>32.892594599979901</v>
      </c>
      <c r="Z626">
        <v>33.392521000001501</v>
      </c>
      <c r="AA626">
        <v>33.392521000001501</v>
      </c>
      <c r="AB626">
        <v>33.392521000001501</v>
      </c>
      <c r="AC626">
        <v>34.011315100011402</v>
      </c>
      <c r="AD626" t="s">
        <v>63</v>
      </c>
      <c r="AE626">
        <v>1</v>
      </c>
      <c r="AF626">
        <v>0.60483680001925599</v>
      </c>
      <c r="AG626" t="s">
        <v>51</v>
      </c>
      <c r="AK626" t="s">
        <v>93</v>
      </c>
      <c r="AL626">
        <v>1</v>
      </c>
      <c r="AM626" t="s">
        <v>85</v>
      </c>
      <c r="AN626" t="s">
        <v>43</v>
      </c>
      <c r="AP626" t="s">
        <v>44</v>
      </c>
      <c r="AQ626">
        <v>59.992644915568597</v>
      </c>
      <c r="AR626" t="s">
        <v>86</v>
      </c>
    </row>
    <row r="627" spans="1:44" x14ac:dyDescent="0.3">
      <c r="A627" t="s">
        <v>73</v>
      </c>
      <c r="B627" t="s">
        <v>49</v>
      </c>
      <c r="C627" s="2" t="str">
        <f t="shared" si="9"/>
        <v>Emotional-I</v>
      </c>
      <c r="D627">
        <v>0.46756799996364801</v>
      </c>
      <c r="E627" t="s">
        <v>59</v>
      </c>
      <c r="F627" t="s">
        <v>56</v>
      </c>
      <c r="G627" t="s">
        <v>57</v>
      </c>
      <c r="H627">
        <v>20</v>
      </c>
      <c r="I627">
        <v>0</v>
      </c>
      <c r="J627">
        <v>1</v>
      </c>
      <c r="K627" t="s">
        <v>57</v>
      </c>
      <c r="L627">
        <v>1</v>
      </c>
      <c r="M627">
        <v>0.72160699998494204</v>
      </c>
      <c r="N627" t="s">
        <v>51</v>
      </c>
      <c r="O627">
        <v>1</v>
      </c>
      <c r="P627">
        <v>0</v>
      </c>
      <c r="Q627">
        <v>20</v>
      </c>
      <c r="R627">
        <v>1</v>
      </c>
      <c r="S627">
        <v>34.026534800010197</v>
      </c>
      <c r="X627">
        <v>34.012655000027699</v>
      </c>
      <c r="Y627">
        <v>34.026534800010197</v>
      </c>
      <c r="Z627">
        <v>34.526002699974903</v>
      </c>
      <c r="AA627">
        <v>34.526002699974903</v>
      </c>
      <c r="AB627">
        <v>34.526002699974903</v>
      </c>
      <c r="AC627">
        <v>35.261167499993398</v>
      </c>
      <c r="AD627" t="s">
        <v>57</v>
      </c>
      <c r="AE627">
        <v>1</v>
      </c>
      <c r="AF627">
        <v>0.72160699998494204</v>
      </c>
      <c r="AG627" t="s">
        <v>51</v>
      </c>
      <c r="AK627" t="s">
        <v>93</v>
      </c>
      <c r="AL627">
        <v>1</v>
      </c>
      <c r="AM627" t="s">
        <v>85</v>
      </c>
      <c r="AN627" t="s">
        <v>43</v>
      </c>
      <c r="AP627" t="s">
        <v>44</v>
      </c>
      <c r="AQ627">
        <v>59.992644915568597</v>
      </c>
      <c r="AR627" t="s">
        <v>86</v>
      </c>
    </row>
    <row r="628" spans="1:44" x14ac:dyDescent="0.3">
      <c r="A628" t="s">
        <v>68</v>
      </c>
      <c r="B628" t="s">
        <v>49</v>
      </c>
      <c r="C628" s="2" t="str">
        <f t="shared" si="9"/>
        <v>Emotional-I</v>
      </c>
      <c r="D628">
        <v>0.64872410002863001</v>
      </c>
      <c r="E628" t="s">
        <v>59</v>
      </c>
      <c r="F628" t="s">
        <v>53</v>
      </c>
      <c r="G628" t="s">
        <v>54</v>
      </c>
      <c r="H628">
        <v>21</v>
      </c>
      <c r="I628">
        <v>1</v>
      </c>
      <c r="J628">
        <v>1</v>
      </c>
      <c r="K628" t="s">
        <v>54</v>
      </c>
      <c r="L628">
        <v>1</v>
      </c>
      <c r="M628">
        <v>0.76921579998452205</v>
      </c>
      <c r="N628" t="s">
        <v>51</v>
      </c>
      <c r="O628">
        <v>1</v>
      </c>
      <c r="P628">
        <v>1</v>
      </c>
      <c r="Q628">
        <v>21</v>
      </c>
      <c r="R628">
        <v>6</v>
      </c>
      <c r="S628">
        <v>35.276094899978403</v>
      </c>
      <c r="X628">
        <v>35.263157000008498</v>
      </c>
      <c r="Y628">
        <v>35.276094899978403</v>
      </c>
      <c r="Z628">
        <v>35.775918599974801</v>
      </c>
      <c r="AA628">
        <v>35.775918599974801</v>
      </c>
      <c r="AB628">
        <v>35.775918599974801</v>
      </c>
      <c r="AC628">
        <v>36.562048199994003</v>
      </c>
      <c r="AD628" t="s">
        <v>54</v>
      </c>
      <c r="AE628">
        <v>1</v>
      </c>
      <c r="AF628">
        <v>0.76921579998452205</v>
      </c>
      <c r="AG628" t="s">
        <v>51</v>
      </c>
      <c r="AK628" t="s">
        <v>93</v>
      </c>
      <c r="AL628">
        <v>1</v>
      </c>
      <c r="AM628" t="s">
        <v>85</v>
      </c>
      <c r="AN628" t="s">
        <v>43</v>
      </c>
      <c r="AP628" t="s">
        <v>44</v>
      </c>
      <c r="AQ628">
        <v>59.992644915568597</v>
      </c>
      <c r="AR628" t="s">
        <v>86</v>
      </c>
    </row>
    <row r="629" spans="1:44" x14ac:dyDescent="0.3">
      <c r="A629" t="s">
        <v>76</v>
      </c>
      <c r="B629" t="s">
        <v>49</v>
      </c>
      <c r="C629" s="2" t="str">
        <f t="shared" si="9"/>
        <v>Emotional-I</v>
      </c>
      <c r="D629">
        <v>1.03936860000249</v>
      </c>
      <c r="E629" t="s">
        <v>59</v>
      </c>
      <c r="F629" t="s">
        <v>48</v>
      </c>
      <c r="G629" t="s">
        <v>50</v>
      </c>
      <c r="H629">
        <v>22</v>
      </c>
      <c r="I629">
        <v>2</v>
      </c>
      <c r="J629">
        <v>1</v>
      </c>
      <c r="K629" t="s">
        <v>50</v>
      </c>
      <c r="L629">
        <v>1</v>
      </c>
      <c r="M629">
        <v>0.60974960000021305</v>
      </c>
      <c r="N629" t="s">
        <v>51</v>
      </c>
      <c r="O629">
        <v>1</v>
      </c>
      <c r="P629">
        <v>2</v>
      </c>
      <c r="Q629">
        <v>22</v>
      </c>
      <c r="R629">
        <v>3</v>
      </c>
      <c r="S629">
        <v>36.576062100008102</v>
      </c>
      <c r="X629">
        <v>36.5642472999752</v>
      </c>
      <c r="Y629">
        <v>36.576062100008102</v>
      </c>
      <c r="Z629">
        <v>37.075983699993202</v>
      </c>
      <c r="AA629">
        <v>37.075983699993202</v>
      </c>
      <c r="AB629">
        <v>37.075983699993202</v>
      </c>
      <c r="AC629">
        <v>37.695214000006601</v>
      </c>
      <c r="AD629" t="s">
        <v>50</v>
      </c>
      <c r="AE629">
        <v>1</v>
      </c>
      <c r="AF629">
        <v>0.60974960000021305</v>
      </c>
      <c r="AG629" t="s">
        <v>51</v>
      </c>
      <c r="AK629" t="s">
        <v>93</v>
      </c>
      <c r="AL629">
        <v>1</v>
      </c>
      <c r="AM629" t="s">
        <v>85</v>
      </c>
      <c r="AN629" t="s">
        <v>43</v>
      </c>
      <c r="AP629" t="s">
        <v>44</v>
      </c>
      <c r="AQ629">
        <v>59.992644915568597</v>
      </c>
      <c r="AR629" t="s">
        <v>86</v>
      </c>
    </row>
    <row r="630" spans="1:44" x14ac:dyDescent="0.3">
      <c r="A630" t="s">
        <v>67</v>
      </c>
      <c r="B630" t="s">
        <v>49</v>
      </c>
      <c r="C630" s="2" t="str">
        <f t="shared" si="9"/>
        <v>Neutral</v>
      </c>
      <c r="D630">
        <v>1.04481240001041</v>
      </c>
      <c r="E630" t="s">
        <v>47</v>
      </c>
      <c r="F630" t="s">
        <v>53</v>
      </c>
      <c r="G630" t="s">
        <v>54</v>
      </c>
      <c r="H630">
        <v>23</v>
      </c>
      <c r="I630">
        <v>3</v>
      </c>
      <c r="J630">
        <v>1</v>
      </c>
      <c r="K630" t="s">
        <v>54</v>
      </c>
      <c r="L630">
        <v>1</v>
      </c>
      <c r="M630">
        <v>0.64120610000099898</v>
      </c>
      <c r="N630" t="s">
        <v>51</v>
      </c>
      <c r="O630">
        <v>1</v>
      </c>
      <c r="P630">
        <v>3</v>
      </c>
      <c r="Q630">
        <v>23</v>
      </c>
      <c r="R630">
        <v>10</v>
      </c>
      <c r="S630">
        <v>37.7095349000301</v>
      </c>
      <c r="X630">
        <v>37.696984899987001</v>
      </c>
      <c r="Y630">
        <v>37.7095349000301</v>
      </c>
      <c r="Z630">
        <v>38.209384199988499</v>
      </c>
      <c r="AA630">
        <v>38.209384199988499</v>
      </c>
      <c r="AB630">
        <v>38.209384199988499</v>
      </c>
      <c r="AC630">
        <v>38.861672400031203</v>
      </c>
      <c r="AD630" t="s">
        <v>54</v>
      </c>
      <c r="AE630">
        <v>1</v>
      </c>
      <c r="AF630">
        <v>0.64120610000099898</v>
      </c>
      <c r="AG630" t="s">
        <v>51</v>
      </c>
      <c r="AK630" t="s">
        <v>93</v>
      </c>
      <c r="AL630">
        <v>1</v>
      </c>
      <c r="AM630" t="s">
        <v>85</v>
      </c>
      <c r="AN630" t="s">
        <v>43</v>
      </c>
      <c r="AP630" t="s">
        <v>44</v>
      </c>
      <c r="AQ630">
        <v>59.992644915568597</v>
      </c>
      <c r="AR630" t="s">
        <v>86</v>
      </c>
    </row>
    <row r="631" spans="1:44" x14ac:dyDescent="0.3">
      <c r="A631" t="s">
        <v>69</v>
      </c>
      <c r="B631" t="s">
        <v>49</v>
      </c>
      <c r="C631" s="2" t="str">
        <f t="shared" si="9"/>
        <v>Emotional-I</v>
      </c>
      <c r="D631">
        <v>1.52983220003079</v>
      </c>
      <c r="E631" t="s">
        <v>59</v>
      </c>
      <c r="F631" t="s">
        <v>56</v>
      </c>
      <c r="G631" t="s">
        <v>57</v>
      </c>
      <c r="H631">
        <v>24</v>
      </c>
      <c r="I631">
        <v>4</v>
      </c>
      <c r="J631">
        <v>1</v>
      </c>
      <c r="K631" t="s">
        <v>57</v>
      </c>
      <c r="L631">
        <v>1</v>
      </c>
      <c r="M631">
        <v>1.3204508000053401</v>
      </c>
      <c r="N631" t="s">
        <v>51</v>
      </c>
      <c r="O631">
        <v>1</v>
      </c>
      <c r="P631">
        <v>4</v>
      </c>
      <c r="Q631">
        <v>24</v>
      </c>
      <c r="R631">
        <v>5</v>
      </c>
      <c r="S631">
        <v>38.876662200025699</v>
      </c>
      <c r="X631">
        <v>38.8639292999869</v>
      </c>
      <c r="Y631">
        <v>38.876662200025699</v>
      </c>
      <c r="Z631">
        <v>39.376081700029303</v>
      </c>
      <c r="AA631">
        <v>39.376081700029303</v>
      </c>
      <c r="AB631">
        <v>39.376081700029303</v>
      </c>
      <c r="AC631">
        <v>40.711248999985401</v>
      </c>
      <c r="AD631" t="s">
        <v>57</v>
      </c>
      <c r="AE631">
        <v>1</v>
      </c>
      <c r="AF631">
        <v>1.3204508000053401</v>
      </c>
      <c r="AG631" t="s">
        <v>51</v>
      </c>
      <c r="AK631" t="s">
        <v>93</v>
      </c>
      <c r="AL631">
        <v>1</v>
      </c>
      <c r="AM631" t="s">
        <v>85</v>
      </c>
      <c r="AN631" t="s">
        <v>43</v>
      </c>
      <c r="AP631" t="s">
        <v>44</v>
      </c>
      <c r="AQ631">
        <v>59.992644915568597</v>
      </c>
      <c r="AR631" t="s">
        <v>86</v>
      </c>
    </row>
    <row r="632" spans="1:44" x14ac:dyDescent="0.3">
      <c r="A632" t="s">
        <v>46</v>
      </c>
      <c r="B632" t="s">
        <v>49</v>
      </c>
      <c r="C632" s="2" t="str">
        <f t="shared" si="9"/>
        <v>Neutral</v>
      </c>
      <c r="D632">
        <v>0.61253189999843005</v>
      </c>
      <c r="E632" t="s">
        <v>47</v>
      </c>
      <c r="F632" t="s">
        <v>48</v>
      </c>
      <c r="G632" t="s">
        <v>50</v>
      </c>
      <c r="H632">
        <v>25</v>
      </c>
      <c r="I632">
        <v>5</v>
      </c>
      <c r="J632">
        <v>1</v>
      </c>
      <c r="K632" t="s">
        <v>50</v>
      </c>
      <c r="L632">
        <v>1</v>
      </c>
      <c r="M632">
        <v>0.99954400002025001</v>
      </c>
      <c r="N632" t="s">
        <v>51</v>
      </c>
      <c r="O632">
        <v>1</v>
      </c>
      <c r="P632">
        <v>5</v>
      </c>
      <c r="Q632">
        <v>25</v>
      </c>
      <c r="R632">
        <v>19</v>
      </c>
      <c r="S632">
        <v>40.725603500031802</v>
      </c>
      <c r="X632">
        <v>40.712957500014397</v>
      </c>
      <c r="Y632">
        <v>40.725603500031802</v>
      </c>
      <c r="Z632">
        <v>41.2256909999996</v>
      </c>
      <c r="AA632">
        <v>41.2256909999996</v>
      </c>
      <c r="AB632">
        <v>41.2256909999996</v>
      </c>
      <c r="AC632">
        <v>42.228746599983403</v>
      </c>
      <c r="AD632" t="s">
        <v>50</v>
      </c>
      <c r="AE632">
        <v>1</v>
      </c>
      <c r="AF632">
        <v>0.99954400002025001</v>
      </c>
      <c r="AG632" t="s">
        <v>51</v>
      </c>
      <c r="AK632" t="s">
        <v>93</v>
      </c>
      <c r="AL632">
        <v>1</v>
      </c>
      <c r="AM632" t="s">
        <v>85</v>
      </c>
      <c r="AN632" t="s">
        <v>43</v>
      </c>
      <c r="AP632" t="s">
        <v>44</v>
      </c>
      <c r="AQ632">
        <v>59.992644915568597</v>
      </c>
      <c r="AR632" t="s">
        <v>86</v>
      </c>
    </row>
    <row r="633" spans="1:44" x14ac:dyDescent="0.3">
      <c r="A633" t="s">
        <v>74</v>
      </c>
      <c r="B633" t="s">
        <v>49</v>
      </c>
      <c r="C633" s="2" t="str">
        <f t="shared" si="9"/>
        <v>Neutral</v>
      </c>
      <c r="D633">
        <v>0.49875070003326899</v>
      </c>
      <c r="E633" t="s">
        <v>47</v>
      </c>
      <c r="F633" t="s">
        <v>48</v>
      </c>
      <c r="G633" t="s">
        <v>50</v>
      </c>
      <c r="H633">
        <v>26</v>
      </c>
      <c r="I633">
        <v>6</v>
      </c>
      <c r="J633">
        <v>1</v>
      </c>
      <c r="K633" t="s">
        <v>50</v>
      </c>
      <c r="L633">
        <v>1</v>
      </c>
      <c r="M633">
        <v>0.50198280002223306</v>
      </c>
      <c r="N633" t="s">
        <v>51</v>
      </c>
      <c r="O633">
        <v>1</v>
      </c>
      <c r="P633">
        <v>6</v>
      </c>
      <c r="Q633">
        <v>26</v>
      </c>
      <c r="R633">
        <v>11</v>
      </c>
      <c r="S633">
        <v>42.242713399988098</v>
      </c>
      <c r="X633">
        <v>42.230700400017597</v>
      </c>
      <c r="Y633">
        <v>42.242713399988098</v>
      </c>
      <c r="Z633">
        <v>42.742327400017501</v>
      </c>
      <c r="AA633">
        <v>42.742327400017501</v>
      </c>
      <c r="AB633">
        <v>42.742327400017501</v>
      </c>
      <c r="AC633">
        <v>43.261805200017903</v>
      </c>
      <c r="AD633" t="s">
        <v>50</v>
      </c>
      <c r="AE633">
        <v>1</v>
      </c>
      <c r="AF633">
        <v>0.50198280002223306</v>
      </c>
      <c r="AG633" t="s">
        <v>51</v>
      </c>
      <c r="AK633" t="s">
        <v>93</v>
      </c>
      <c r="AL633">
        <v>1</v>
      </c>
      <c r="AM633" t="s">
        <v>85</v>
      </c>
      <c r="AN633" t="s">
        <v>43</v>
      </c>
      <c r="AP633" t="s">
        <v>44</v>
      </c>
      <c r="AQ633">
        <v>59.992644915568597</v>
      </c>
      <c r="AR633" t="s">
        <v>86</v>
      </c>
    </row>
    <row r="634" spans="1:44" x14ac:dyDescent="0.3">
      <c r="A634" t="s">
        <v>66</v>
      </c>
      <c r="B634" t="s">
        <v>49</v>
      </c>
      <c r="C634" s="2" t="str">
        <f t="shared" si="9"/>
        <v>Neutral</v>
      </c>
      <c r="D634">
        <v>0.84326400002464597</v>
      </c>
      <c r="E634" t="s">
        <v>47</v>
      </c>
      <c r="F634" t="s">
        <v>61</v>
      </c>
      <c r="G634" t="s">
        <v>63</v>
      </c>
      <c r="H634">
        <v>27</v>
      </c>
      <c r="I634">
        <v>7</v>
      </c>
      <c r="J634">
        <v>1</v>
      </c>
      <c r="K634" t="s">
        <v>63</v>
      </c>
      <c r="L634">
        <v>1</v>
      </c>
      <c r="M634">
        <v>0.64625540003180504</v>
      </c>
      <c r="N634" t="s">
        <v>51</v>
      </c>
      <c r="O634">
        <v>1</v>
      </c>
      <c r="P634">
        <v>7</v>
      </c>
      <c r="Q634">
        <v>27</v>
      </c>
      <c r="R634">
        <v>12</v>
      </c>
      <c r="S634">
        <v>43.275576399988402</v>
      </c>
      <c r="X634">
        <v>43.263991600018898</v>
      </c>
      <c r="Y634">
        <v>43.275576399988402</v>
      </c>
      <c r="Z634">
        <v>43.775904599984599</v>
      </c>
      <c r="AA634">
        <v>43.775904599984599</v>
      </c>
      <c r="AB634">
        <v>43.775904599984599</v>
      </c>
      <c r="AC634">
        <v>44.427840000018399</v>
      </c>
      <c r="AD634" t="s">
        <v>63</v>
      </c>
      <c r="AE634">
        <v>1</v>
      </c>
      <c r="AF634">
        <v>0.64625540003180504</v>
      </c>
      <c r="AG634" t="s">
        <v>51</v>
      </c>
      <c r="AK634" t="s">
        <v>93</v>
      </c>
      <c r="AL634">
        <v>1</v>
      </c>
      <c r="AM634" t="s">
        <v>85</v>
      </c>
      <c r="AN634" t="s">
        <v>43</v>
      </c>
      <c r="AP634" t="s">
        <v>44</v>
      </c>
      <c r="AQ634">
        <v>59.992644915568597</v>
      </c>
      <c r="AR634" t="s">
        <v>86</v>
      </c>
    </row>
    <row r="635" spans="1:44" x14ac:dyDescent="0.3">
      <c r="A635" t="s">
        <v>71</v>
      </c>
      <c r="B635" t="s">
        <v>49</v>
      </c>
      <c r="C635" s="2" t="str">
        <f t="shared" si="9"/>
        <v>Neutral</v>
      </c>
      <c r="D635">
        <v>0.87362869997741599</v>
      </c>
      <c r="E635" t="s">
        <v>47</v>
      </c>
      <c r="F635" t="s">
        <v>48</v>
      </c>
      <c r="G635" t="s">
        <v>50</v>
      </c>
      <c r="H635">
        <v>28</v>
      </c>
      <c r="I635">
        <v>8</v>
      </c>
      <c r="J635">
        <v>1</v>
      </c>
      <c r="K635" t="s">
        <v>50</v>
      </c>
      <c r="L635">
        <v>1</v>
      </c>
      <c r="M635">
        <v>0.87070219998713505</v>
      </c>
      <c r="N635" t="s">
        <v>51</v>
      </c>
      <c r="O635">
        <v>1</v>
      </c>
      <c r="P635">
        <v>8</v>
      </c>
      <c r="Q635">
        <v>28</v>
      </c>
      <c r="R635">
        <v>15</v>
      </c>
      <c r="S635">
        <v>44.442539000010498</v>
      </c>
      <c r="X635">
        <v>44.429789600020698</v>
      </c>
      <c r="Y635">
        <v>44.442539000010498</v>
      </c>
      <c r="Z635">
        <v>44.942437199992099</v>
      </c>
      <c r="AA635">
        <v>44.942437199992099</v>
      </c>
      <c r="AB635">
        <v>44.942437199992099</v>
      </c>
      <c r="AC635">
        <v>45.827292000001698</v>
      </c>
      <c r="AD635" t="s">
        <v>50</v>
      </c>
      <c r="AE635">
        <v>1</v>
      </c>
      <c r="AF635">
        <v>0.87070219998713505</v>
      </c>
      <c r="AG635" t="s">
        <v>51</v>
      </c>
      <c r="AK635" t="s">
        <v>93</v>
      </c>
      <c r="AL635">
        <v>1</v>
      </c>
      <c r="AM635" t="s">
        <v>85</v>
      </c>
      <c r="AN635" t="s">
        <v>43</v>
      </c>
      <c r="AP635" t="s">
        <v>44</v>
      </c>
      <c r="AQ635">
        <v>59.992644915568597</v>
      </c>
      <c r="AR635" t="s">
        <v>86</v>
      </c>
    </row>
    <row r="636" spans="1:44" x14ac:dyDescent="0.3">
      <c r="A636" t="s">
        <v>72</v>
      </c>
      <c r="B636" t="s">
        <v>62</v>
      </c>
      <c r="C636" s="2" t="str">
        <f t="shared" si="9"/>
        <v>Emotional-C</v>
      </c>
      <c r="D636">
        <v>0.83119050000095696</v>
      </c>
      <c r="E636" t="s">
        <v>59</v>
      </c>
      <c r="F636" t="s">
        <v>61</v>
      </c>
      <c r="G636" t="s">
        <v>63</v>
      </c>
      <c r="H636">
        <v>29</v>
      </c>
      <c r="I636">
        <v>9</v>
      </c>
      <c r="J636">
        <v>1</v>
      </c>
      <c r="K636" t="s">
        <v>63</v>
      </c>
      <c r="L636">
        <v>1</v>
      </c>
      <c r="M636">
        <v>0.60543649998726301</v>
      </c>
      <c r="N636" t="s">
        <v>51</v>
      </c>
      <c r="O636">
        <v>1</v>
      </c>
      <c r="P636">
        <v>9</v>
      </c>
      <c r="Q636">
        <v>29</v>
      </c>
      <c r="R636">
        <v>8</v>
      </c>
      <c r="S636">
        <v>45.842263200029201</v>
      </c>
      <c r="X636">
        <v>45.828767600003602</v>
      </c>
      <c r="Y636">
        <v>45.842263200029201</v>
      </c>
      <c r="Z636">
        <v>46.342238600016501</v>
      </c>
      <c r="AA636">
        <v>46.342238600016501</v>
      </c>
      <c r="AB636">
        <v>46.342238600016501</v>
      </c>
      <c r="AC636">
        <v>46.960997499991201</v>
      </c>
      <c r="AD636" t="s">
        <v>63</v>
      </c>
      <c r="AE636">
        <v>1</v>
      </c>
      <c r="AF636">
        <v>0.60543649998726301</v>
      </c>
      <c r="AG636" t="s">
        <v>51</v>
      </c>
      <c r="AK636" t="s">
        <v>93</v>
      </c>
      <c r="AL636">
        <v>1</v>
      </c>
      <c r="AM636" t="s">
        <v>85</v>
      </c>
      <c r="AN636" t="s">
        <v>43</v>
      </c>
      <c r="AP636" t="s">
        <v>44</v>
      </c>
      <c r="AQ636">
        <v>59.992644915568597</v>
      </c>
      <c r="AR636" t="s">
        <v>86</v>
      </c>
    </row>
    <row r="637" spans="1:44" x14ac:dyDescent="0.3">
      <c r="A637" t="s">
        <v>55</v>
      </c>
      <c r="B637" t="s">
        <v>49</v>
      </c>
      <c r="C637" s="2" t="str">
        <f t="shared" si="9"/>
        <v>Neutral</v>
      </c>
      <c r="D637">
        <v>0.46516530000371797</v>
      </c>
      <c r="E637" t="s">
        <v>47</v>
      </c>
      <c r="F637" t="s">
        <v>56</v>
      </c>
      <c r="G637" t="s">
        <v>57</v>
      </c>
      <c r="H637">
        <v>30</v>
      </c>
      <c r="I637">
        <v>10</v>
      </c>
      <c r="J637">
        <v>1</v>
      </c>
      <c r="K637" t="s">
        <v>57</v>
      </c>
      <c r="L637">
        <v>1</v>
      </c>
      <c r="M637">
        <v>0.82922339998185601</v>
      </c>
      <c r="N637" t="s">
        <v>51</v>
      </c>
      <c r="O637">
        <v>1</v>
      </c>
      <c r="P637">
        <v>10</v>
      </c>
      <c r="Q637">
        <v>30</v>
      </c>
      <c r="R637">
        <v>13</v>
      </c>
      <c r="S637">
        <v>46.975575799995497</v>
      </c>
      <c r="X637">
        <v>46.963203300023402</v>
      </c>
      <c r="Y637">
        <v>46.975575799995497</v>
      </c>
      <c r="Z637">
        <v>47.475382199976501</v>
      </c>
      <c r="AA637">
        <v>47.475382199976501</v>
      </c>
      <c r="AB637">
        <v>47.475382199976501</v>
      </c>
      <c r="AC637">
        <v>48.310887500003403</v>
      </c>
      <c r="AD637" t="s">
        <v>57</v>
      </c>
      <c r="AE637">
        <v>1</v>
      </c>
      <c r="AF637">
        <v>0.82922339998185601</v>
      </c>
      <c r="AG637" t="s">
        <v>51</v>
      </c>
      <c r="AK637" t="s">
        <v>93</v>
      </c>
      <c r="AL637">
        <v>1</v>
      </c>
      <c r="AM637" t="s">
        <v>85</v>
      </c>
      <c r="AN637" t="s">
        <v>43</v>
      </c>
      <c r="AP637" t="s">
        <v>44</v>
      </c>
      <c r="AQ637">
        <v>59.992644915568597</v>
      </c>
      <c r="AR637" t="s">
        <v>86</v>
      </c>
    </row>
    <row r="638" spans="1:44" x14ac:dyDescent="0.3">
      <c r="A638" t="s">
        <v>64</v>
      </c>
      <c r="B638" t="s">
        <v>49</v>
      </c>
      <c r="C638" s="2" t="str">
        <f t="shared" si="9"/>
        <v>Neutral</v>
      </c>
      <c r="D638">
        <v>0.43837280001025603</v>
      </c>
      <c r="E638" t="s">
        <v>47</v>
      </c>
      <c r="F638" t="s">
        <v>53</v>
      </c>
      <c r="G638" t="s">
        <v>54</v>
      </c>
      <c r="H638">
        <v>31</v>
      </c>
      <c r="I638">
        <v>11</v>
      </c>
      <c r="J638">
        <v>1</v>
      </c>
      <c r="K638" t="s">
        <v>54</v>
      </c>
      <c r="L638">
        <v>1</v>
      </c>
      <c r="M638">
        <v>0.75141169998096302</v>
      </c>
      <c r="N638" t="s">
        <v>51</v>
      </c>
      <c r="O638">
        <v>1</v>
      </c>
      <c r="P638">
        <v>11</v>
      </c>
      <c r="Q638">
        <v>31</v>
      </c>
      <c r="R638">
        <v>18</v>
      </c>
      <c r="S638">
        <v>48.325650100014101</v>
      </c>
      <c r="X638">
        <v>48.312531700008499</v>
      </c>
      <c r="Y638">
        <v>48.325650100014101</v>
      </c>
      <c r="Z638">
        <v>48.8253527000197</v>
      </c>
      <c r="AA638">
        <v>48.8253527000197</v>
      </c>
      <c r="AB638">
        <v>48.8253527000197</v>
      </c>
      <c r="AC638">
        <v>49.577561700018101</v>
      </c>
      <c r="AD638" t="s">
        <v>54</v>
      </c>
      <c r="AE638">
        <v>1</v>
      </c>
      <c r="AF638">
        <v>0.75141169998096302</v>
      </c>
      <c r="AG638" t="s">
        <v>51</v>
      </c>
      <c r="AK638" t="s">
        <v>93</v>
      </c>
      <c r="AL638">
        <v>1</v>
      </c>
      <c r="AM638" t="s">
        <v>85</v>
      </c>
      <c r="AN638" t="s">
        <v>43</v>
      </c>
      <c r="AP638" t="s">
        <v>44</v>
      </c>
      <c r="AQ638">
        <v>59.992644915568597</v>
      </c>
      <c r="AR638" t="s">
        <v>86</v>
      </c>
    </row>
    <row r="639" spans="1:44" x14ac:dyDescent="0.3">
      <c r="A639" t="s">
        <v>78</v>
      </c>
      <c r="B639" t="s">
        <v>49</v>
      </c>
      <c r="C639" s="2" t="str">
        <f t="shared" si="9"/>
        <v>Neutral</v>
      </c>
      <c r="D639">
        <v>0.68386430002283305</v>
      </c>
      <c r="E639" t="s">
        <v>47</v>
      </c>
      <c r="F639" t="s">
        <v>56</v>
      </c>
      <c r="G639" t="s">
        <v>57</v>
      </c>
      <c r="H639">
        <v>32</v>
      </c>
      <c r="I639">
        <v>12</v>
      </c>
      <c r="J639">
        <v>1</v>
      </c>
      <c r="K639" t="s">
        <v>57</v>
      </c>
      <c r="L639">
        <v>1</v>
      </c>
      <c r="M639">
        <v>0.7906057999935</v>
      </c>
      <c r="N639" t="s">
        <v>51</v>
      </c>
      <c r="O639">
        <v>1</v>
      </c>
      <c r="P639">
        <v>12</v>
      </c>
      <c r="Q639">
        <v>32</v>
      </c>
      <c r="R639">
        <v>17</v>
      </c>
      <c r="S639">
        <v>49.592637900030198</v>
      </c>
      <c r="X639">
        <v>49.578903799992901</v>
      </c>
      <c r="Y639">
        <v>49.592637900030198</v>
      </c>
      <c r="Z639">
        <v>50.091895800025597</v>
      </c>
      <c r="AA639">
        <v>50.091895800025597</v>
      </c>
      <c r="AB639">
        <v>50.091895800025597</v>
      </c>
      <c r="AC639">
        <v>50.894144300022099</v>
      </c>
      <c r="AD639" t="s">
        <v>57</v>
      </c>
      <c r="AE639">
        <v>1</v>
      </c>
      <c r="AF639">
        <v>0.7906057999935</v>
      </c>
      <c r="AG639" t="s">
        <v>51</v>
      </c>
      <c r="AK639" t="s">
        <v>93</v>
      </c>
      <c r="AL639">
        <v>1</v>
      </c>
      <c r="AM639" t="s">
        <v>85</v>
      </c>
      <c r="AN639" t="s">
        <v>43</v>
      </c>
      <c r="AP639" t="s">
        <v>44</v>
      </c>
      <c r="AQ639">
        <v>59.992644915568597</v>
      </c>
      <c r="AR639" t="s">
        <v>86</v>
      </c>
    </row>
    <row r="640" spans="1:44" x14ac:dyDescent="0.3">
      <c r="A640" t="s">
        <v>70</v>
      </c>
      <c r="B640" t="s">
        <v>49</v>
      </c>
      <c r="C640" s="2" t="str">
        <f t="shared" si="9"/>
        <v>Emotional-I</v>
      </c>
      <c r="D640">
        <v>0.63033010001527101</v>
      </c>
      <c r="E640" t="s">
        <v>59</v>
      </c>
      <c r="F640" t="s">
        <v>53</v>
      </c>
      <c r="G640" t="s">
        <v>54</v>
      </c>
      <c r="H640">
        <v>33</v>
      </c>
      <c r="I640">
        <v>13</v>
      </c>
      <c r="J640">
        <v>1</v>
      </c>
      <c r="K640" t="s">
        <v>54</v>
      </c>
      <c r="L640">
        <v>1</v>
      </c>
      <c r="M640">
        <v>1.0398826000164201</v>
      </c>
      <c r="N640" t="s">
        <v>51</v>
      </c>
      <c r="O640">
        <v>1</v>
      </c>
      <c r="P640">
        <v>13</v>
      </c>
      <c r="Q640">
        <v>33</v>
      </c>
      <c r="R640">
        <v>2</v>
      </c>
      <c r="S640">
        <v>50.908742500003399</v>
      </c>
      <c r="X640">
        <v>50.895661099988502</v>
      </c>
      <c r="Y640">
        <v>50.908742500003399</v>
      </c>
      <c r="Z640">
        <v>51.408906800032099</v>
      </c>
      <c r="AA640">
        <v>51.408906800032099</v>
      </c>
      <c r="AB640">
        <v>51.408906800032099</v>
      </c>
      <c r="AC640">
        <v>52.460746199998503</v>
      </c>
      <c r="AD640" t="s">
        <v>54</v>
      </c>
      <c r="AE640">
        <v>1</v>
      </c>
      <c r="AF640">
        <v>1.0398826000164201</v>
      </c>
      <c r="AG640" t="s">
        <v>51</v>
      </c>
      <c r="AK640" t="s">
        <v>93</v>
      </c>
      <c r="AL640">
        <v>1</v>
      </c>
      <c r="AM640" t="s">
        <v>85</v>
      </c>
      <c r="AN640" t="s">
        <v>43</v>
      </c>
      <c r="AP640" t="s">
        <v>44</v>
      </c>
      <c r="AQ640">
        <v>59.992644915568597</v>
      </c>
      <c r="AR640" t="s">
        <v>86</v>
      </c>
    </row>
    <row r="641" spans="1:44" x14ac:dyDescent="0.3">
      <c r="A641" t="s">
        <v>75</v>
      </c>
      <c r="B641" t="s">
        <v>49</v>
      </c>
      <c r="C641" s="2" t="str">
        <f t="shared" si="9"/>
        <v>Neutral</v>
      </c>
      <c r="D641">
        <v>0.66497869999147896</v>
      </c>
      <c r="E641" t="s">
        <v>47</v>
      </c>
      <c r="F641" t="s">
        <v>61</v>
      </c>
      <c r="G641" t="s">
        <v>63</v>
      </c>
      <c r="H641">
        <v>34</v>
      </c>
      <c r="I641">
        <v>14</v>
      </c>
      <c r="J641">
        <v>1</v>
      </c>
      <c r="K641" t="s">
        <v>63</v>
      </c>
      <c r="L641">
        <v>1</v>
      </c>
      <c r="M641">
        <v>0.98065719997975898</v>
      </c>
      <c r="N641" t="s">
        <v>51</v>
      </c>
      <c r="O641">
        <v>1</v>
      </c>
      <c r="P641">
        <v>14</v>
      </c>
      <c r="Q641">
        <v>34</v>
      </c>
      <c r="R641">
        <v>16</v>
      </c>
      <c r="S641">
        <v>52.475276599987403</v>
      </c>
      <c r="X641">
        <v>52.462442799995102</v>
      </c>
      <c r="Y641">
        <v>52.475276599987403</v>
      </c>
      <c r="Z641">
        <v>52.975146899989298</v>
      </c>
      <c r="AA641">
        <v>52.975146899989298</v>
      </c>
      <c r="AB641">
        <v>52.975146899989298</v>
      </c>
      <c r="AC641">
        <v>53.960415399982502</v>
      </c>
      <c r="AD641" t="s">
        <v>63</v>
      </c>
      <c r="AE641">
        <v>1</v>
      </c>
      <c r="AF641">
        <v>0.98065719997975898</v>
      </c>
      <c r="AG641" t="s">
        <v>51</v>
      </c>
      <c r="AK641" t="s">
        <v>93</v>
      </c>
      <c r="AL641">
        <v>1</v>
      </c>
      <c r="AM641" t="s">
        <v>85</v>
      </c>
      <c r="AN641" t="s">
        <v>43</v>
      </c>
      <c r="AP641" t="s">
        <v>44</v>
      </c>
      <c r="AQ641">
        <v>59.992644915568597</v>
      </c>
      <c r="AR641" t="s">
        <v>86</v>
      </c>
    </row>
    <row r="642" spans="1:44" x14ac:dyDescent="0.3">
      <c r="A642" t="s">
        <v>77</v>
      </c>
      <c r="B642" t="s">
        <v>62</v>
      </c>
      <c r="C642" s="2" t="str">
        <f t="shared" ref="C642:C705" si="10">IF(E642="neutral","Neutral",
IF(AND(E642="emotional",B642="C"),"Emotional-C",
IF(AND(E642="emotional",B642="I"),"Emotional-I","")))</f>
        <v>Emotional-C</v>
      </c>
      <c r="D642">
        <v>0.97042039997177199</v>
      </c>
      <c r="E642" t="s">
        <v>59</v>
      </c>
      <c r="F642" t="s">
        <v>61</v>
      </c>
      <c r="G642" t="s">
        <v>63</v>
      </c>
      <c r="H642">
        <v>35</v>
      </c>
      <c r="I642">
        <v>15</v>
      </c>
      <c r="J642">
        <v>1</v>
      </c>
      <c r="K642" t="s">
        <v>63</v>
      </c>
      <c r="L642">
        <v>1</v>
      </c>
      <c r="M642">
        <v>0.53055779996793695</v>
      </c>
      <c r="N642" t="s">
        <v>51</v>
      </c>
      <c r="O642">
        <v>1</v>
      </c>
      <c r="P642">
        <v>15</v>
      </c>
      <c r="Q642">
        <v>35</v>
      </c>
      <c r="R642">
        <v>4</v>
      </c>
      <c r="S642">
        <v>53.975257400015799</v>
      </c>
      <c r="X642">
        <v>53.961823999998103</v>
      </c>
      <c r="Y642">
        <v>53.975257400015799</v>
      </c>
      <c r="Z642">
        <v>54.474933399993397</v>
      </c>
      <c r="AA642">
        <v>54.474933399993397</v>
      </c>
      <c r="AB642">
        <v>54.474933399993397</v>
      </c>
      <c r="AC642">
        <v>55.011750400008097</v>
      </c>
      <c r="AD642" t="s">
        <v>63</v>
      </c>
      <c r="AE642">
        <v>1</v>
      </c>
      <c r="AF642">
        <v>0.53055779996793695</v>
      </c>
      <c r="AG642" t="s">
        <v>51</v>
      </c>
      <c r="AK642" t="s">
        <v>93</v>
      </c>
      <c r="AL642">
        <v>1</v>
      </c>
      <c r="AM642" t="s">
        <v>85</v>
      </c>
      <c r="AN642" t="s">
        <v>43</v>
      </c>
      <c r="AP642" t="s">
        <v>44</v>
      </c>
      <c r="AQ642">
        <v>59.992644915568597</v>
      </c>
      <c r="AR642" t="s">
        <v>86</v>
      </c>
    </row>
    <row r="643" spans="1:44" x14ac:dyDescent="0.3">
      <c r="A643" t="s">
        <v>65</v>
      </c>
      <c r="B643" t="s">
        <v>49</v>
      </c>
      <c r="C643" s="2" t="str">
        <f t="shared" si="10"/>
        <v>Emotional-I</v>
      </c>
      <c r="D643">
        <v>0.69643349997932003</v>
      </c>
      <c r="E643" t="s">
        <v>59</v>
      </c>
      <c r="F643" t="s">
        <v>56</v>
      </c>
      <c r="G643" t="s">
        <v>57</v>
      </c>
      <c r="H643">
        <v>36</v>
      </c>
      <c r="I643">
        <v>16</v>
      </c>
      <c r="J643">
        <v>1</v>
      </c>
      <c r="K643" t="s">
        <v>57</v>
      </c>
      <c r="L643">
        <v>1</v>
      </c>
      <c r="M643">
        <v>0.79727300000376999</v>
      </c>
      <c r="N643" t="s">
        <v>51</v>
      </c>
      <c r="O643">
        <v>1</v>
      </c>
      <c r="P643">
        <v>16</v>
      </c>
      <c r="Q643">
        <v>36</v>
      </c>
      <c r="R643">
        <v>9</v>
      </c>
      <c r="S643">
        <v>55.0249630000325</v>
      </c>
      <c r="X643">
        <v>55.014358700020203</v>
      </c>
      <c r="Y643">
        <v>55.0249630000325</v>
      </c>
      <c r="Z643">
        <v>55.524973499996101</v>
      </c>
      <c r="AA643">
        <v>55.524973499996101</v>
      </c>
      <c r="AB643">
        <v>55.524973499996101</v>
      </c>
      <c r="AC643">
        <v>56.3288022999768</v>
      </c>
      <c r="AD643" t="s">
        <v>57</v>
      </c>
      <c r="AE643">
        <v>1</v>
      </c>
      <c r="AF643">
        <v>0.79727300000376999</v>
      </c>
      <c r="AG643" t="s">
        <v>51</v>
      </c>
      <c r="AK643" t="s">
        <v>93</v>
      </c>
      <c r="AL643">
        <v>1</v>
      </c>
      <c r="AM643" t="s">
        <v>85</v>
      </c>
      <c r="AN643" t="s">
        <v>43</v>
      </c>
      <c r="AP643" t="s">
        <v>44</v>
      </c>
      <c r="AQ643">
        <v>59.992644915568597</v>
      </c>
      <c r="AR643" t="s">
        <v>86</v>
      </c>
    </row>
    <row r="644" spans="1:44" x14ac:dyDescent="0.3">
      <c r="A644" t="s">
        <v>58</v>
      </c>
      <c r="B644" t="s">
        <v>49</v>
      </c>
      <c r="C644" s="2" t="str">
        <f t="shared" si="10"/>
        <v>Emotional-I</v>
      </c>
      <c r="D644">
        <v>0.49359560001175801</v>
      </c>
      <c r="E644" t="s">
        <v>59</v>
      </c>
      <c r="F644" t="s">
        <v>48</v>
      </c>
      <c r="G644" t="s">
        <v>50</v>
      </c>
      <c r="H644">
        <v>37</v>
      </c>
      <c r="I644">
        <v>17</v>
      </c>
      <c r="J644">
        <v>1</v>
      </c>
      <c r="K644" t="s">
        <v>50</v>
      </c>
      <c r="L644">
        <v>1</v>
      </c>
      <c r="M644">
        <v>0.77685750002274201</v>
      </c>
      <c r="N644" t="s">
        <v>51</v>
      </c>
      <c r="O644">
        <v>1</v>
      </c>
      <c r="P644">
        <v>17</v>
      </c>
      <c r="Q644">
        <v>37</v>
      </c>
      <c r="R644">
        <v>7</v>
      </c>
      <c r="S644">
        <v>56.3422404000302</v>
      </c>
      <c r="X644">
        <v>56.3313777000294</v>
      </c>
      <c r="Y644">
        <v>56.3422404000302</v>
      </c>
      <c r="Z644">
        <v>56.842082299990501</v>
      </c>
      <c r="AA644">
        <v>56.842082299990501</v>
      </c>
      <c r="AB644">
        <v>56.842082299990501</v>
      </c>
      <c r="AC644">
        <v>57.628961900016201</v>
      </c>
      <c r="AD644" t="s">
        <v>50</v>
      </c>
      <c r="AE644">
        <v>1</v>
      </c>
      <c r="AF644">
        <v>0.77685750002274201</v>
      </c>
      <c r="AG644" t="s">
        <v>51</v>
      </c>
      <c r="AK644" t="s">
        <v>93</v>
      </c>
      <c r="AL644">
        <v>1</v>
      </c>
      <c r="AM644" t="s">
        <v>85</v>
      </c>
      <c r="AN644" t="s">
        <v>43</v>
      </c>
      <c r="AP644" t="s">
        <v>44</v>
      </c>
      <c r="AQ644">
        <v>59.992644915568597</v>
      </c>
      <c r="AR644" t="s">
        <v>86</v>
      </c>
    </row>
    <row r="645" spans="1:44" x14ac:dyDescent="0.3">
      <c r="A645" t="s">
        <v>60</v>
      </c>
      <c r="B645" t="s">
        <v>62</v>
      </c>
      <c r="C645" s="2" t="str">
        <f t="shared" si="10"/>
        <v>Emotional-C</v>
      </c>
      <c r="D645">
        <v>1.0763615000178099</v>
      </c>
      <c r="E645" t="s">
        <v>59</v>
      </c>
      <c r="F645" t="s">
        <v>61</v>
      </c>
      <c r="G645" t="s">
        <v>63</v>
      </c>
      <c r="H645">
        <v>38</v>
      </c>
      <c r="I645">
        <v>18</v>
      </c>
      <c r="J645">
        <v>1</v>
      </c>
      <c r="K645" t="s">
        <v>63</v>
      </c>
      <c r="L645">
        <v>1</v>
      </c>
      <c r="M645">
        <v>0.65935309999622405</v>
      </c>
      <c r="N645" t="s">
        <v>51</v>
      </c>
      <c r="O645">
        <v>1</v>
      </c>
      <c r="P645">
        <v>18</v>
      </c>
      <c r="Q645">
        <v>38</v>
      </c>
      <c r="R645">
        <v>0</v>
      </c>
      <c r="S645">
        <v>57.641951400029903</v>
      </c>
      <c r="X645">
        <v>57.631140800018301</v>
      </c>
      <c r="Y645">
        <v>57.641951400029903</v>
      </c>
      <c r="Z645">
        <v>58.142327899986398</v>
      </c>
      <c r="AA645">
        <v>58.142327899986398</v>
      </c>
      <c r="AB645">
        <v>58.142327899986398</v>
      </c>
      <c r="AC645">
        <v>58.812436899985101</v>
      </c>
      <c r="AD645" t="s">
        <v>63</v>
      </c>
      <c r="AE645">
        <v>1</v>
      </c>
      <c r="AF645">
        <v>0.65935309999622405</v>
      </c>
      <c r="AG645" t="s">
        <v>51</v>
      </c>
      <c r="AK645" t="s">
        <v>93</v>
      </c>
      <c r="AL645">
        <v>1</v>
      </c>
      <c r="AM645" t="s">
        <v>85</v>
      </c>
      <c r="AN645" t="s">
        <v>43</v>
      </c>
      <c r="AP645" t="s">
        <v>44</v>
      </c>
      <c r="AQ645">
        <v>59.992644915568597</v>
      </c>
      <c r="AR645" t="s">
        <v>86</v>
      </c>
    </row>
    <row r="646" spans="1:44" x14ac:dyDescent="0.3">
      <c r="A646" t="s">
        <v>52</v>
      </c>
      <c r="B646" t="s">
        <v>49</v>
      </c>
      <c r="C646" s="2" t="str">
        <f t="shared" si="10"/>
        <v>Neutral</v>
      </c>
      <c r="D646">
        <v>0.599536199995782</v>
      </c>
      <c r="E646" t="s">
        <v>47</v>
      </c>
      <c r="F646" t="s">
        <v>53</v>
      </c>
      <c r="G646" t="s">
        <v>54</v>
      </c>
      <c r="H646">
        <v>39</v>
      </c>
      <c r="I646">
        <v>19</v>
      </c>
      <c r="J646">
        <v>1</v>
      </c>
      <c r="K646" t="s">
        <v>54</v>
      </c>
      <c r="L646">
        <v>1</v>
      </c>
      <c r="M646">
        <v>0.98113929998362404</v>
      </c>
      <c r="N646" t="s">
        <v>51</v>
      </c>
      <c r="O646">
        <v>1</v>
      </c>
      <c r="P646">
        <v>19</v>
      </c>
      <c r="Q646">
        <v>39</v>
      </c>
      <c r="R646">
        <v>14</v>
      </c>
      <c r="S646">
        <v>58.825652400031601</v>
      </c>
      <c r="X646">
        <v>58.815124300017402</v>
      </c>
      <c r="Y646">
        <v>58.825652400031601</v>
      </c>
      <c r="Z646">
        <v>59.325310499989399</v>
      </c>
      <c r="AA646">
        <v>59.325310499989399</v>
      </c>
      <c r="AB646">
        <v>59.325310499989399</v>
      </c>
      <c r="AC646">
        <v>60.313429200032203</v>
      </c>
      <c r="AD646" t="s">
        <v>54</v>
      </c>
      <c r="AE646">
        <v>1</v>
      </c>
      <c r="AF646">
        <v>0.98113929998362404</v>
      </c>
      <c r="AG646" t="s">
        <v>51</v>
      </c>
      <c r="AK646" t="s">
        <v>93</v>
      </c>
      <c r="AL646">
        <v>1</v>
      </c>
      <c r="AM646" t="s">
        <v>85</v>
      </c>
      <c r="AN646" t="s">
        <v>43</v>
      </c>
      <c r="AP646" t="s">
        <v>44</v>
      </c>
      <c r="AQ646">
        <v>59.992644915568597</v>
      </c>
      <c r="AR646" t="s">
        <v>86</v>
      </c>
    </row>
    <row r="647" spans="1:44" x14ac:dyDescent="0.3">
      <c r="A647" t="s">
        <v>60</v>
      </c>
      <c r="B647" t="s">
        <v>62</v>
      </c>
      <c r="C647" s="2" t="str">
        <f t="shared" si="10"/>
        <v>Emotional-C</v>
      </c>
      <c r="D647">
        <v>1.21846679999725</v>
      </c>
      <c r="E647" t="s">
        <v>59</v>
      </c>
      <c r="F647" t="s">
        <v>61</v>
      </c>
      <c r="G647" t="s">
        <v>63</v>
      </c>
      <c r="H647">
        <v>40</v>
      </c>
      <c r="I647">
        <v>0</v>
      </c>
      <c r="J647">
        <v>2</v>
      </c>
      <c r="K647" t="s">
        <v>63</v>
      </c>
      <c r="L647">
        <v>1</v>
      </c>
      <c r="M647">
        <v>0.57776660000672497</v>
      </c>
      <c r="N647" t="s">
        <v>51</v>
      </c>
      <c r="O647">
        <v>2</v>
      </c>
      <c r="P647">
        <v>0</v>
      </c>
      <c r="Q647">
        <v>40</v>
      </c>
      <c r="R647">
        <v>0</v>
      </c>
      <c r="S647">
        <v>60.325207000016199</v>
      </c>
      <c r="X647">
        <v>60.315887300006501</v>
      </c>
      <c r="Y647">
        <v>60.325207000016199</v>
      </c>
      <c r="Z647">
        <v>60.8252478999784</v>
      </c>
      <c r="AA647">
        <v>60.8252478999784</v>
      </c>
      <c r="AB647">
        <v>60.8252478999784</v>
      </c>
      <c r="AC647">
        <v>61.412219299992998</v>
      </c>
      <c r="AD647" t="s">
        <v>63</v>
      </c>
      <c r="AE647">
        <v>1</v>
      </c>
      <c r="AF647">
        <v>0.57776660000672497</v>
      </c>
      <c r="AG647" t="s">
        <v>51</v>
      </c>
      <c r="AK647" t="s">
        <v>93</v>
      </c>
      <c r="AL647">
        <v>1</v>
      </c>
      <c r="AM647" t="s">
        <v>85</v>
      </c>
      <c r="AN647" t="s">
        <v>43</v>
      </c>
      <c r="AP647" t="s">
        <v>44</v>
      </c>
      <c r="AQ647">
        <v>59.992644915568597</v>
      </c>
      <c r="AR647" t="s">
        <v>86</v>
      </c>
    </row>
    <row r="648" spans="1:44" x14ac:dyDescent="0.3">
      <c r="A648" t="s">
        <v>77</v>
      </c>
      <c r="B648" t="s">
        <v>62</v>
      </c>
      <c r="C648" s="2" t="str">
        <f t="shared" si="10"/>
        <v>Emotional-C</v>
      </c>
      <c r="D648">
        <v>1.2195034000324001</v>
      </c>
      <c r="E648" t="s">
        <v>59</v>
      </c>
      <c r="F648" t="s">
        <v>61</v>
      </c>
      <c r="G648" t="s">
        <v>63</v>
      </c>
      <c r="H648">
        <v>41</v>
      </c>
      <c r="I648">
        <v>1</v>
      </c>
      <c r="J648">
        <v>2</v>
      </c>
      <c r="K648" t="s">
        <v>63</v>
      </c>
      <c r="L648">
        <v>1</v>
      </c>
      <c r="M648">
        <v>0.56156489998102099</v>
      </c>
      <c r="N648" t="s">
        <v>51</v>
      </c>
      <c r="O648">
        <v>2</v>
      </c>
      <c r="P648">
        <v>1</v>
      </c>
      <c r="Q648">
        <v>41</v>
      </c>
      <c r="R648">
        <v>4</v>
      </c>
      <c r="S648">
        <v>61.425751900009303</v>
      </c>
      <c r="X648">
        <v>61.414541399979498</v>
      </c>
      <c r="Y648">
        <v>61.425751900009303</v>
      </c>
      <c r="Z648">
        <v>61.925201700010803</v>
      </c>
      <c r="AA648">
        <v>61.925201700010803</v>
      </c>
      <c r="AB648">
        <v>61.925201700010803</v>
      </c>
      <c r="AC648">
        <v>62.495233100024002</v>
      </c>
      <c r="AD648" t="s">
        <v>63</v>
      </c>
      <c r="AE648">
        <v>1</v>
      </c>
      <c r="AF648">
        <v>0.56156489998102099</v>
      </c>
      <c r="AG648" t="s">
        <v>51</v>
      </c>
      <c r="AK648" t="s">
        <v>93</v>
      </c>
      <c r="AL648">
        <v>1</v>
      </c>
      <c r="AM648" t="s">
        <v>85</v>
      </c>
      <c r="AN648" t="s">
        <v>43</v>
      </c>
      <c r="AP648" t="s">
        <v>44</v>
      </c>
      <c r="AQ648">
        <v>59.992644915568597</v>
      </c>
      <c r="AR648" t="s">
        <v>86</v>
      </c>
    </row>
    <row r="649" spans="1:44" hidden="1" x14ac:dyDescent="0.3">
      <c r="A649" t="s">
        <v>76</v>
      </c>
      <c r="B649" t="s">
        <v>49</v>
      </c>
      <c r="C649" s="2" t="str">
        <f t="shared" si="10"/>
        <v>Emotional-I</v>
      </c>
      <c r="D649">
        <v>0.53257260000100304</v>
      </c>
      <c r="E649" t="s">
        <v>59</v>
      </c>
      <c r="F649" t="s">
        <v>48</v>
      </c>
      <c r="G649" t="s">
        <v>50</v>
      </c>
      <c r="H649">
        <v>42</v>
      </c>
      <c r="I649">
        <v>2</v>
      </c>
      <c r="J649">
        <v>2</v>
      </c>
      <c r="K649" t="s">
        <v>57</v>
      </c>
      <c r="L649">
        <v>0</v>
      </c>
      <c r="M649">
        <v>0.72918770002433997</v>
      </c>
      <c r="N649" t="s">
        <v>51</v>
      </c>
      <c r="O649">
        <v>2</v>
      </c>
      <c r="P649">
        <v>2</v>
      </c>
      <c r="Q649">
        <v>42</v>
      </c>
      <c r="R649">
        <v>3</v>
      </c>
      <c r="S649">
        <v>62.508249700011199</v>
      </c>
      <c r="X649">
        <v>62.498238100029901</v>
      </c>
      <c r="Y649">
        <v>62.508249700011199</v>
      </c>
      <c r="Z649">
        <v>63.0088016000227</v>
      </c>
      <c r="AA649">
        <v>63.0088016000227</v>
      </c>
      <c r="AB649">
        <v>63.0088016000227</v>
      </c>
      <c r="AC649">
        <v>63.745346700015901</v>
      </c>
      <c r="AD649" t="s">
        <v>57</v>
      </c>
      <c r="AE649">
        <v>0</v>
      </c>
      <c r="AF649">
        <v>0.72918770002433997</v>
      </c>
      <c r="AG649" t="s">
        <v>51</v>
      </c>
      <c r="AK649" t="s">
        <v>93</v>
      </c>
      <c r="AL649">
        <v>1</v>
      </c>
      <c r="AM649" t="s">
        <v>85</v>
      </c>
      <c r="AN649" t="s">
        <v>43</v>
      </c>
      <c r="AP649" t="s">
        <v>44</v>
      </c>
      <c r="AQ649">
        <v>59.992644915568597</v>
      </c>
      <c r="AR649" t="s">
        <v>86</v>
      </c>
    </row>
    <row r="650" spans="1:44" x14ac:dyDescent="0.3">
      <c r="A650" t="s">
        <v>70</v>
      </c>
      <c r="B650" t="s">
        <v>49</v>
      </c>
      <c r="C650" s="2" t="str">
        <f t="shared" si="10"/>
        <v>Emotional-I</v>
      </c>
      <c r="D650">
        <v>2.2882200000458299</v>
      </c>
      <c r="E650" t="s">
        <v>59</v>
      </c>
      <c r="F650" t="s">
        <v>53</v>
      </c>
      <c r="G650" t="s">
        <v>54</v>
      </c>
      <c r="H650">
        <v>43</v>
      </c>
      <c r="I650">
        <v>3</v>
      </c>
      <c r="J650">
        <v>2</v>
      </c>
      <c r="K650" t="s">
        <v>54</v>
      </c>
      <c r="L650">
        <v>1</v>
      </c>
      <c r="M650">
        <v>0.77791549998801202</v>
      </c>
      <c r="N650" t="s">
        <v>51</v>
      </c>
      <c r="O650">
        <v>2</v>
      </c>
      <c r="P650">
        <v>3</v>
      </c>
      <c r="Q650">
        <v>43</v>
      </c>
      <c r="R650">
        <v>2</v>
      </c>
      <c r="S650">
        <v>63.758399099984601</v>
      </c>
      <c r="X650">
        <v>63.747861900017597</v>
      </c>
      <c r="Y650">
        <v>63.758399099984601</v>
      </c>
      <c r="Z650">
        <v>64.258455900009693</v>
      </c>
      <c r="AA650">
        <v>64.258455900009693</v>
      </c>
      <c r="AB650">
        <v>64.258455900009693</v>
      </c>
      <c r="AC650">
        <v>65.045757899992097</v>
      </c>
      <c r="AD650" t="s">
        <v>54</v>
      </c>
      <c r="AE650">
        <v>1</v>
      </c>
      <c r="AF650">
        <v>0.77791549998801202</v>
      </c>
      <c r="AG650" t="s">
        <v>51</v>
      </c>
      <c r="AK650" t="s">
        <v>93</v>
      </c>
      <c r="AL650">
        <v>1</v>
      </c>
      <c r="AM650" t="s">
        <v>85</v>
      </c>
      <c r="AN650" t="s">
        <v>43</v>
      </c>
      <c r="AP650" t="s">
        <v>44</v>
      </c>
      <c r="AQ650">
        <v>59.992644915568597</v>
      </c>
      <c r="AR650" t="s">
        <v>86</v>
      </c>
    </row>
    <row r="651" spans="1:44" x14ac:dyDescent="0.3">
      <c r="A651" t="s">
        <v>55</v>
      </c>
      <c r="B651" t="s">
        <v>49</v>
      </c>
      <c r="C651" s="2" t="str">
        <f t="shared" si="10"/>
        <v>Neutral</v>
      </c>
      <c r="D651">
        <v>0.82002709998050705</v>
      </c>
      <c r="E651" t="s">
        <v>47</v>
      </c>
      <c r="F651" t="s">
        <v>56</v>
      </c>
      <c r="G651" t="s">
        <v>57</v>
      </c>
      <c r="H651">
        <v>44</v>
      </c>
      <c r="I651">
        <v>4</v>
      </c>
      <c r="J651">
        <v>2</v>
      </c>
      <c r="K651" t="s">
        <v>57</v>
      </c>
      <c r="L651">
        <v>1</v>
      </c>
      <c r="M651">
        <v>0.95712340000318297</v>
      </c>
      <c r="N651" t="s">
        <v>51</v>
      </c>
      <c r="O651">
        <v>2</v>
      </c>
      <c r="P651">
        <v>4</v>
      </c>
      <c r="Q651">
        <v>44</v>
      </c>
      <c r="R651">
        <v>13</v>
      </c>
      <c r="S651">
        <v>65.058557600015703</v>
      </c>
      <c r="X651">
        <v>65.049093600013293</v>
      </c>
      <c r="Y651">
        <v>65.058557600015703</v>
      </c>
      <c r="Z651">
        <v>65.558416699990602</v>
      </c>
      <c r="AA651">
        <v>65.558416699990602</v>
      </c>
      <c r="AB651">
        <v>65.558416699990602</v>
      </c>
      <c r="AC651">
        <v>66.529772099980605</v>
      </c>
      <c r="AD651" t="s">
        <v>57</v>
      </c>
      <c r="AE651">
        <v>1</v>
      </c>
      <c r="AF651">
        <v>0.95712340000318297</v>
      </c>
      <c r="AG651" t="s">
        <v>51</v>
      </c>
      <c r="AK651" t="s">
        <v>93</v>
      </c>
      <c r="AL651">
        <v>1</v>
      </c>
      <c r="AM651" t="s">
        <v>85</v>
      </c>
      <c r="AN651" t="s">
        <v>43</v>
      </c>
      <c r="AP651" t="s">
        <v>44</v>
      </c>
      <c r="AQ651">
        <v>59.992644915568597</v>
      </c>
      <c r="AR651" t="s">
        <v>86</v>
      </c>
    </row>
    <row r="652" spans="1:44" hidden="1" x14ac:dyDescent="0.3">
      <c r="A652" t="s">
        <v>78</v>
      </c>
      <c r="B652" t="s">
        <v>49</v>
      </c>
      <c r="C652" s="2" t="str">
        <f t="shared" si="10"/>
        <v>Neutral</v>
      </c>
      <c r="D652">
        <v>0.71335420000832495</v>
      </c>
      <c r="E652" t="s">
        <v>47</v>
      </c>
      <c r="F652" t="s">
        <v>56</v>
      </c>
      <c r="G652" t="s">
        <v>57</v>
      </c>
      <c r="H652">
        <v>45</v>
      </c>
      <c r="I652">
        <v>5</v>
      </c>
      <c r="J652">
        <v>2</v>
      </c>
      <c r="K652" t="s">
        <v>63</v>
      </c>
      <c r="L652">
        <v>0</v>
      </c>
      <c r="M652">
        <v>0.77052419999381505</v>
      </c>
      <c r="N652" t="s">
        <v>51</v>
      </c>
      <c r="O652">
        <v>2</v>
      </c>
      <c r="P652">
        <v>5</v>
      </c>
      <c r="Q652">
        <v>45</v>
      </c>
      <c r="R652">
        <v>17</v>
      </c>
      <c r="S652">
        <v>66.5413050000206</v>
      </c>
      <c r="X652">
        <v>66.532533099991198</v>
      </c>
      <c r="Y652">
        <v>66.5413050000206</v>
      </c>
      <c r="Z652">
        <v>67.042655800003502</v>
      </c>
      <c r="AA652">
        <v>67.042655800003502</v>
      </c>
      <c r="AB652">
        <v>67.042655800003502</v>
      </c>
      <c r="AC652">
        <v>67.8289458000217</v>
      </c>
      <c r="AD652" t="s">
        <v>63</v>
      </c>
      <c r="AE652">
        <v>0</v>
      </c>
      <c r="AF652">
        <v>0.77052419999381505</v>
      </c>
      <c r="AG652" t="s">
        <v>51</v>
      </c>
      <c r="AK652" t="s">
        <v>93</v>
      </c>
      <c r="AL652">
        <v>1</v>
      </c>
      <c r="AM652" t="s">
        <v>85</v>
      </c>
      <c r="AN652" t="s">
        <v>43</v>
      </c>
      <c r="AP652" t="s">
        <v>44</v>
      </c>
      <c r="AQ652">
        <v>59.992644915568597</v>
      </c>
      <c r="AR652" t="s">
        <v>86</v>
      </c>
    </row>
    <row r="653" spans="1:44" x14ac:dyDescent="0.3">
      <c r="A653" t="s">
        <v>72</v>
      </c>
      <c r="B653" t="s">
        <v>62</v>
      </c>
      <c r="C653" s="2" t="str">
        <f t="shared" si="10"/>
        <v>Emotional-C</v>
      </c>
      <c r="D653">
        <v>0.86942110001109496</v>
      </c>
      <c r="E653" t="s">
        <v>59</v>
      </c>
      <c r="F653" t="s">
        <v>61</v>
      </c>
      <c r="G653" t="s">
        <v>63</v>
      </c>
      <c r="H653">
        <v>46</v>
      </c>
      <c r="I653">
        <v>6</v>
      </c>
      <c r="J653">
        <v>2</v>
      </c>
      <c r="K653" t="s">
        <v>63</v>
      </c>
      <c r="L653">
        <v>1</v>
      </c>
      <c r="M653">
        <v>0.53022070002043598</v>
      </c>
      <c r="N653" t="s">
        <v>51</v>
      </c>
      <c r="O653">
        <v>2</v>
      </c>
      <c r="P653">
        <v>6</v>
      </c>
      <c r="Q653">
        <v>46</v>
      </c>
      <c r="R653">
        <v>8</v>
      </c>
      <c r="S653">
        <v>67.842245500010904</v>
      </c>
      <c r="X653">
        <v>67.832124000007695</v>
      </c>
      <c r="Y653">
        <v>67.842245500010904</v>
      </c>
      <c r="Z653">
        <v>68.341479499998897</v>
      </c>
      <c r="AA653">
        <v>68.341479499998897</v>
      </c>
      <c r="AB653">
        <v>68.341479499998897</v>
      </c>
      <c r="AC653">
        <v>68.879183900018603</v>
      </c>
      <c r="AD653" t="s">
        <v>63</v>
      </c>
      <c r="AE653">
        <v>1</v>
      </c>
      <c r="AF653">
        <v>0.53022070002043598</v>
      </c>
      <c r="AG653" t="s">
        <v>51</v>
      </c>
      <c r="AK653" t="s">
        <v>93</v>
      </c>
      <c r="AL653">
        <v>1</v>
      </c>
      <c r="AM653" t="s">
        <v>85</v>
      </c>
      <c r="AN653" t="s">
        <v>43</v>
      </c>
      <c r="AP653" t="s">
        <v>44</v>
      </c>
      <c r="AQ653">
        <v>59.992644915568597</v>
      </c>
      <c r="AR653" t="s">
        <v>86</v>
      </c>
    </row>
    <row r="654" spans="1:44" x14ac:dyDescent="0.3">
      <c r="A654" t="s">
        <v>66</v>
      </c>
      <c r="B654" t="s">
        <v>49</v>
      </c>
      <c r="C654" s="2" t="str">
        <f t="shared" si="10"/>
        <v>Neutral</v>
      </c>
      <c r="D654">
        <v>0.88416150002740301</v>
      </c>
      <c r="E654" t="s">
        <v>47</v>
      </c>
      <c r="F654" t="s">
        <v>61</v>
      </c>
      <c r="G654" t="s">
        <v>63</v>
      </c>
      <c r="H654">
        <v>47</v>
      </c>
      <c r="I654">
        <v>7</v>
      </c>
      <c r="J654">
        <v>2</v>
      </c>
      <c r="K654" t="s">
        <v>63</v>
      </c>
      <c r="L654">
        <v>1</v>
      </c>
      <c r="M654">
        <v>0.366891099954955</v>
      </c>
      <c r="N654" t="s">
        <v>51</v>
      </c>
      <c r="O654">
        <v>2</v>
      </c>
      <c r="P654">
        <v>7</v>
      </c>
      <c r="Q654">
        <v>47</v>
      </c>
      <c r="R654">
        <v>12</v>
      </c>
      <c r="S654">
        <v>68.891866000019903</v>
      </c>
      <c r="X654">
        <v>68.882774600002406</v>
      </c>
      <c r="Y654">
        <v>68.891866000019903</v>
      </c>
      <c r="Z654">
        <v>69.391593599982997</v>
      </c>
      <c r="AA654">
        <v>69.391593599982997</v>
      </c>
      <c r="AB654">
        <v>69.391593599982997</v>
      </c>
      <c r="AC654">
        <v>69.761658200004604</v>
      </c>
      <c r="AD654" t="s">
        <v>63</v>
      </c>
      <c r="AE654">
        <v>1</v>
      </c>
      <c r="AF654">
        <v>0.366891099954955</v>
      </c>
      <c r="AG654" t="s">
        <v>51</v>
      </c>
      <c r="AK654" t="s">
        <v>93</v>
      </c>
      <c r="AL654">
        <v>1</v>
      </c>
      <c r="AM654" t="s">
        <v>85</v>
      </c>
      <c r="AN654" t="s">
        <v>43</v>
      </c>
      <c r="AP654" t="s">
        <v>44</v>
      </c>
      <c r="AQ654">
        <v>59.992644915568597</v>
      </c>
      <c r="AR654" t="s">
        <v>86</v>
      </c>
    </row>
    <row r="655" spans="1:44" x14ac:dyDescent="0.3">
      <c r="A655" t="s">
        <v>65</v>
      </c>
      <c r="B655" t="s">
        <v>49</v>
      </c>
      <c r="C655" s="2" t="str">
        <f t="shared" si="10"/>
        <v>Emotional-I</v>
      </c>
      <c r="D655">
        <v>1.31851220002863</v>
      </c>
      <c r="E655" t="s">
        <v>59</v>
      </c>
      <c r="F655" t="s">
        <v>56</v>
      </c>
      <c r="G655" t="s">
        <v>57</v>
      </c>
      <c r="H655">
        <v>48</v>
      </c>
      <c r="I655">
        <v>8</v>
      </c>
      <c r="J655">
        <v>2</v>
      </c>
      <c r="K655" t="s">
        <v>57</v>
      </c>
      <c r="L655">
        <v>1</v>
      </c>
      <c r="M655">
        <v>0.693160799972247</v>
      </c>
      <c r="N655" t="s">
        <v>51</v>
      </c>
      <c r="O655">
        <v>2</v>
      </c>
      <c r="P655">
        <v>8</v>
      </c>
      <c r="Q655">
        <v>48</v>
      </c>
      <c r="R655">
        <v>9</v>
      </c>
      <c r="S655">
        <v>69.774863699974901</v>
      </c>
      <c r="X655">
        <v>69.765221300011007</v>
      </c>
      <c r="Y655">
        <v>69.774863699974901</v>
      </c>
      <c r="Z655">
        <v>70.274693100014701</v>
      </c>
      <c r="AA655">
        <v>70.274693100014701</v>
      </c>
      <c r="AB655">
        <v>70.274693100014701</v>
      </c>
      <c r="AC655">
        <v>70.978853599983196</v>
      </c>
      <c r="AD655" t="s">
        <v>57</v>
      </c>
      <c r="AE655">
        <v>1</v>
      </c>
      <c r="AF655">
        <v>0.693160799972247</v>
      </c>
      <c r="AG655" t="s">
        <v>51</v>
      </c>
      <c r="AK655" t="s">
        <v>93</v>
      </c>
      <c r="AL655">
        <v>1</v>
      </c>
      <c r="AM655" t="s">
        <v>85</v>
      </c>
      <c r="AN655" t="s">
        <v>43</v>
      </c>
      <c r="AP655" t="s">
        <v>44</v>
      </c>
      <c r="AQ655">
        <v>59.992644915568597</v>
      </c>
      <c r="AR655" t="s">
        <v>86</v>
      </c>
    </row>
    <row r="656" spans="1:44" x14ac:dyDescent="0.3">
      <c r="A656" t="s">
        <v>69</v>
      </c>
      <c r="B656" t="s">
        <v>49</v>
      </c>
      <c r="C656" s="2" t="str">
        <f t="shared" si="10"/>
        <v>Emotional-I</v>
      </c>
      <c r="D656">
        <v>0.660410200012847</v>
      </c>
      <c r="E656" t="s">
        <v>59</v>
      </c>
      <c r="F656" t="s">
        <v>56</v>
      </c>
      <c r="G656" t="s">
        <v>57</v>
      </c>
      <c r="H656">
        <v>49</v>
      </c>
      <c r="I656">
        <v>9</v>
      </c>
      <c r="J656">
        <v>2</v>
      </c>
      <c r="K656" t="s">
        <v>57</v>
      </c>
      <c r="L656">
        <v>1</v>
      </c>
      <c r="M656">
        <v>1.0865412999992199</v>
      </c>
      <c r="N656" t="s">
        <v>51</v>
      </c>
      <c r="O656">
        <v>2</v>
      </c>
      <c r="P656">
        <v>9</v>
      </c>
      <c r="Q656">
        <v>49</v>
      </c>
      <c r="R656">
        <v>5</v>
      </c>
      <c r="S656">
        <v>70.991587999975295</v>
      </c>
      <c r="X656">
        <v>70.982713799981795</v>
      </c>
      <c r="Y656">
        <v>70.991587999975295</v>
      </c>
      <c r="Z656">
        <v>71.491290199977797</v>
      </c>
      <c r="AA656">
        <v>71.491290199977797</v>
      </c>
      <c r="AB656">
        <v>71.491290199977797</v>
      </c>
      <c r="AC656">
        <v>72.578217700007301</v>
      </c>
      <c r="AD656" t="s">
        <v>57</v>
      </c>
      <c r="AE656">
        <v>1</v>
      </c>
      <c r="AF656">
        <v>1.0865412999992199</v>
      </c>
      <c r="AG656" t="s">
        <v>51</v>
      </c>
      <c r="AK656" t="s">
        <v>93</v>
      </c>
      <c r="AL656">
        <v>1</v>
      </c>
      <c r="AM656" t="s">
        <v>85</v>
      </c>
      <c r="AN656" t="s">
        <v>43</v>
      </c>
      <c r="AP656" t="s">
        <v>44</v>
      </c>
      <c r="AQ656">
        <v>59.992644915568597</v>
      </c>
      <c r="AR656" t="s">
        <v>86</v>
      </c>
    </row>
    <row r="657" spans="1:44" x14ac:dyDescent="0.3">
      <c r="A657" t="s">
        <v>52</v>
      </c>
      <c r="B657" t="s">
        <v>49</v>
      </c>
      <c r="C657" s="2" t="str">
        <f t="shared" si="10"/>
        <v>Neutral</v>
      </c>
      <c r="D657">
        <v>0.76956929999869295</v>
      </c>
      <c r="E657" t="s">
        <v>47</v>
      </c>
      <c r="F657" t="s">
        <v>53</v>
      </c>
      <c r="G657" t="s">
        <v>54</v>
      </c>
      <c r="H657">
        <v>50</v>
      </c>
      <c r="I657">
        <v>10</v>
      </c>
      <c r="J657">
        <v>2</v>
      </c>
      <c r="K657" t="s">
        <v>54</v>
      </c>
      <c r="L657">
        <v>1</v>
      </c>
      <c r="M657">
        <v>0.67173040000488904</v>
      </c>
      <c r="N657" t="s">
        <v>51</v>
      </c>
      <c r="O657">
        <v>2</v>
      </c>
      <c r="P657">
        <v>10</v>
      </c>
      <c r="Q657">
        <v>50</v>
      </c>
      <c r="R657">
        <v>14</v>
      </c>
      <c r="S657">
        <v>72.591306700021903</v>
      </c>
      <c r="X657">
        <v>72.581427299999604</v>
      </c>
      <c r="Y657">
        <v>72.591306700021903</v>
      </c>
      <c r="Z657">
        <v>73.091208100027799</v>
      </c>
      <c r="AA657">
        <v>73.091208100027799</v>
      </c>
      <c r="AB657">
        <v>73.091208100027799</v>
      </c>
      <c r="AC657">
        <v>73.778169299999703</v>
      </c>
      <c r="AD657" t="s">
        <v>54</v>
      </c>
      <c r="AE657">
        <v>1</v>
      </c>
      <c r="AF657">
        <v>0.67173040000488904</v>
      </c>
      <c r="AG657" t="s">
        <v>51</v>
      </c>
      <c r="AK657" t="s">
        <v>93</v>
      </c>
      <c r="AL657">
        <v>1</v>
      </c>
      <c r="AM657" t="s">
        <v>85</v>
      </c>
      <c r="AN657" t="s">
        <v>43</v>
      </c>
      <c r="AP657" t="s">
        <v>44</v>
      </c>
      <c r="AQ657">
        <v>59.992644915568597</v>
      </c>
      <c r="AR657" t="s">
        <v>86</v>
      </c>
    </row>
    <row r="658" spans="1:44" x14ac:dyDescent="0.3">
      <c r="A658" t="s">
        <v>73</v>
      </c>
      <c r="B658" t="s">
        <v>49</v>
      </c>
      <c r="C658" s="2" t="str">
        <f t="shared" si="10"/>
        <v>Emotional-I</v>
      </c>
      <c r="D658">
        <v>0.79475280002225102</v>
      </c>
      <c r="E658" t="s">
        <v>59</v>
      </c>
      <c r="F658" t="s">
        <v>56</v>
      </c>
      <c r="G658" t="s">
        <v>57</v>
      </c>
      <c r="H658">
        <v>51</v>
      </c>
      <c r="I658">
        <v>11</v>
      </c>
      <c r="J658">
        <v>2</v>
      </c>
      <c r="K658" t="s">
        <v>57</v>
      </c>
      <c r="L658">
        <v>1</v>
      </c>
      <c r="M658">
        <v>0.85491759999422301</v>
      </c>
      <c r="N658" t="s">
        <v>51</v>
      </c>
      <c r="O658">
        <v>2</v>
      </c>
      <c r="P658">
        <v>11</v>
      </c>
      <c r="Q658">
        <v>51</v>
      </c>
      <c r="R658">
        <v>1</v>
      </c>
      <c r="S658">
        <v>73.791702500020605</v>
      </c>
      <c r="X658">
        <v>73.780714599997694</v>
      </c>
      <c r="Y658">
        <v>73.791702500020605</v>
      </c>
      <c r="Z658">
        <v>74.291416399995796</v>
      </c>
      <c r="AA658">
        <v>74.291416399995796</v>
      </c>
      <c r="AB658">
        <v>74.291416399995796</v>
      </c>
      <c r="AC658">
        <v>75.161478499998296</v>
      </c>
      <c r="AD658" t="s">
        <v>57</v>
      </c>
      <c r="AE658">
        <v>1</v>
      </c>
      <c r="AF658">
        <v>0.85491759999422301</v>
      </c>
      <c r="AG658" t="s">
        <v>51</v>
      </c>
      <c r="AK658" t="s">
        <v>93</v>
      </c>
      <c r="AL658">
        <v>1</v>
      </c>
      <c r="AM658" t="s">
        <v>85</v>
      </c>
      <c r="AN658" t="s">
        <v>43</v>
      </c>
      <c r="AP658" t="s">
        <v>44</v>
      </c>
      <c r="AQ658">
        <v>59.992644915568597</v>
      </c>
      <c r="AR658" t="s">
        <v>86</v>
      </c>
    </row>
    <row r="659" spans="1:44" x14ac:dyDescent="0.3">
      <c r="A659" t="s">
        <v>64</v>
      </c>
      <c r="B659" t="s">
        <v>49</v>
      </c>
      <c r="C659" s="2" t="str">
        <f t="shared" si="10"/>
        <v>Neutral</v>
      </c>
      <c r="D659">
        <v>0.67508880002424099</v>
      </c>
      <c r="E659" t="s">
        <v>47</v>
      </c>
      <c r="F659" t="s">
        <v>53</v>
      </c>
      <c r="G659" t="s">
        <v>54</v>
      </c>
      <c r="H659">
        <v>52</v>
      </c>
      <c r="I659">
        <v>12</v>
      </c>
      <c r="J659">
        <v>2</v>
      </c>
      <c r="K659" t="s">
        <v>54</v>
      </c>
      <c r="L659">
        <v>1</v>
      </c>
      <c r="M659">
        <v>1.42252079996978</v>
      </c>
      <c r="N659" t="s">
        <v>51</v>
      </c>
      <c r="O659">
        <v>2</v>
      </c>
      <c r="P659">
        <v>12</v>
      </c>
      <c r="Q659">
        <v>52</v>
      </c>
      <c r="R659">
        <v>18</v>
      </c>
      <c r="S659">
        <v>75.175102700013596</v>
      </c>
      <c r="X659">
        <v>75.163862699991995</v>
      </c>
      <c r="Y659">
        <v>75.175102700013596</v>
      </c>
      <c r="Z659">
        <v>75.674556599988094</v>
      </c>
      <c r="AA659">
        <v>75.674556599988094</v>
      </c>
      <c r="AB659">
        <v>75.674556599988094</v>
      </c>
      <c r="AC659">
        <v>77.113217999984002</v>
      </c>
      <c r="AD659" t="s">
        <v>54</v>
      </c>
      <c r="AE659">
        <v>1</v>
      </c>
      <c r="AF659">
        <v>1.42252079996978</v>
      </c>
      <c r="AG659" t="s">
        <v>51</v>
      </c>
      <c r="AK659" t="s">
        <v>93</v>
      </c>
      <c r="AL659">
        <v>1</v>
      </c>
      <c r="AM659" t="s">
        <v>85</v>
      </c>
      <c r="AN659" t="s">
        <v>43</v>
      </c>
      <c r="AP659" t="s">
        <v>44</v>
      </c>
      <c r="AQ659">
        <v>59.992644915568597</v>
      </c>
      <c r="AR659" t="s">
        <v>86</v>
      </c>
    </row>
    <row r="660" spans="1:44" x14ac:dyDescent="0.3">
      <c r="A660" t="s">
        <v>46</v>
      </c>
      <c r="B660" t="s">
        <v>49</v>
      </c>
      <c r="C660" s="2" t="str">
        <f t="shared" si="10"/>
        <v>Neutral</v>
      </c>
      <c r="D660">
        <v>0.83827820001169995</v>
      </c>
      <c r="E660" t="s">
        <v>47</v>
      </c>
      <c r="F660" t="s">
        <v>48</v>
      </c>
      <c r="G660" t="s">
        <v>50</v>
      </c>
      <c r="H660">
        <v>53</v>
      </c>
      <c r="I660">
        <v>13</v>
      </c>
      <c r="J660">
        <v>2</v>
      </c>
      <c r="K660" t="s">
        <v>50</v>
      </c>
      <c r="L660">
        <v>1</v>
      </c>
      <c r="M660">
        <v>0.84413089998997703</v>
      </c>
      <c r="N660" t="s">
        <v>51</v>
      </c>
      <c r="O660">
        <v>2</v>
      </c>
      <c r="P660">
        <v>13</v>
      </c>
      <c r="Q660">
        <v>53</v>
      </c>
      <c r="R660">
        <v>19</v>
      </c>
      <c r="S660">
        <v>77.125854799989597</v>
      </c>
      <c r="X660">
        <v>77.116895999992195</v>
      </c>
      <c r="Y660">
        <v>77.125854799989597</v>
      </c>
      <c r="Z660">
        <v>77.624675300030503</v>
      </c>
      <c r="AA660">
        <v>77.624675300030503</v>
      </c>
      <c r="AB660">
        <v>77.624675300030503</v>
      </c>
      <c r="AC660">
        <v>78.477898399985804</v>
      </c>
      <c r="AD660" t="s">
        <v>50</v>
      </c>
      <c r="AE660">
        <v>1</v>
      </c>
      <c r="AF660">
        <v>0.84413089998997703</v>
      </c>
      <c r="AG660" t="s">
        <v>51</v>
      </c>
      <c r="AK660" t="s">
        <v>93</v>
      </c>
      <c r="AL660">
        <v>1</v>
      </c>
      <c r="AM660" t="s">
        <v>85</v>
      </c>
      <c r="AN660" t="s">
        <v>43</v>
      </c>
      <c r="AP660" t="s">
        <v>44</v>
      </c>
      <c r="AQ660">
        <v>59.992644915568597</v>
      </c>
      <c r="AR660" t="s">
        <v>86</v>
      </c>
    </row>
    <row r="661" spans="1:44" x14ac:dyDescent="0.3">
      <c r="A661" t="s">
        <v>75</v>
      </c>
      <c r="B661" t="s">
        <v>49</v>
      </c>
      <c r="C661" s="2" t="str">
        <f t="shared" si="10"/>
        <v>Neutral</v>
      </c>
      <c r="D661">
        <v>0.97618420002981998</v>
      </c>
      <c r="E661" t="s">
        <v>47</v>
      </c>
      <c r="F661" t="s">
        <v>61</v>
      </c>
      <c r="G661" t="s">
        <v>63</v>
      </c>
      <c r="H661">
        <v>54</v>
      </c>
      <c r="I661">
        <v>14</v>
      </c>
      <c r="J661">
        <v>2</v>
      </c>
      <c r="K661" t="s">
        <v>63</v>
      </c>
      <c r="L661">
        <v>1</v>
      </c>
      <c r="M661">
        <v>0.64040319999912698</v>
      </c>
      <c r="N661" t="s">
        <v>51</v>
      </c>
      <c r="O661">
        <v>2</v>
      </c>
      <c r="P661">
        <v>14</v>
      </c>
      <c r="Q661">
        <v>54</v>
      </c>
      <c r="R661">
        <v>16</v>
      </c>
      <c r="S661">
        <v>78.491096000012405</v>
      </c>
      <c r="X661">
        <v>78.480270700005306</v>
      </c>
      <c r="Y661">
        <v>78.491096000012405</v>
      </c>
      <c r="Z661">
        <v>78.9913954000221</v>
      </c>
      <c r="AA661">
        <v>78.9913954000221</v>
      </c>
      <c r="AB661">
        <v>78.9913954000221</v>
      </c>
      <c r="AC661">
        <v>79.644956999982199</v>
      </c>
      <c r="AD661" t="s">
        <v>63</v>
      </c>
      <c r="AE661">
        <v>1</v>
      </c>
      <c r="AF661">
        <v>0.64040319999912698</v>
      </c>
      <c r="AG661" t="s">
        <v>51</v>
      </c>
      <c r="AK661" t="s">
        <v>93</v>
      </c>
      <c r="AL661">
        <v>1</v>
      </c>
      <c r="AM661" t="s">
        <v>85</v>
      </c>
      <c r="AN661" t="s">
        <v>43</v>
      </c>
      <c r="AP661" t="s">
        <v>44</v>
      </c>
      <c r="AQ661">
        <v>59.992644915568597</v>
      </c>
      <c r="AR661" t="s">
        <v>86</v>
      </c>
    </row>
    <row r="662" spans="1:44" x14ac:dyDescent="0.3">
      <c r="A662" t="s">
        <v>68</v>
      </c>
      <c r="B662" t="s">
        <v>49</v>
      </c>
      <c r="C662" s="2" t="str">
        <f t="shared" si="10"/>
        <v>Emotional-I</v>
      </c>
      <c r="D662">
        <v>0.67389320000074804</v>
      </c>
      <c r="E662" t="s">
        <v>59</v>
      </c>
      <c r="F662" t="s">
        <v>53</v>
      </c>
      <c r="G662" t="s">
        <v>54</v>
      </c>
      <c r="H662">
        <v>55</v>
      </c>
      <c r="I662">
        <v>15</v>
      </c>
      <c r="J662">
        <v>2</v>
      </c>
      <c r="K662" t="s">
        <v>54</v>
      </c>
      <c r="L662">
        <v>1</v>
      </c>
      <c r="M662">
        <v>0.84014300000853803</v>
      </c>
      <c r="N662" t="s">
        <v>51</v>
      </c>
      <c r="O662">
        <v>2</v>
      </c>
      <c r="P662">
        <v>15</v>
      </c>
      <c r="Q662">
        <v>55</v>
      </c>
      <c r="R662">
        <v>6</v>
      </c>
      <c r="S662">
        <v>79.657459600013595</v>
      </c>
      <c r="X662">
        <v>79.648164600017395</v>
      </c>
      <c r="Y662">
        <v>79.657459600013595</v>
      </c>
      <c r="Z662">
        <v>80.157935300027006</v>
      </c>
      <c r="AA662">
        <v>80.157935300027006</v>
      </c>
      <c r="AB662">
        <v>80.157935300027006</v>
      </c>
      <c r="AC662">
        <v>81.011157300032195</v>
      </c>
      <c r="AD662" t="s">
        <v>54</v>
      </c>
      <c r="AE662">
        <v>1</v>
      </c>
      <c r="AF662">
        <v>0.84014300000853803</v>
      </c>
      <c r="AG662" t="s">
        <v>51</v>
      </c>
      <c r="AK662" t="s">
        <v>93</v>
      </c>
      <c r="AL662">
        <v>1</v>
      </c>
      <c r="AM662" t="s">
        <v>85</v>
      </c>
      <c r="AN662" t="s">
        <v>43</v>
      </c>
      <c r="AP662" t="s">
        <v>44</v>
      </c>
      <c r="AQ662">
        <v>59.992644915568597</v>
      </c>
      <c r="AR662" t="s">
        <v>86</v>
      </c>
    </row>
    <row r="663" spans="1:44" x14ac:dyDescent="0.3">
      <c r="A663" t="s">
        <v>58</v>
      </c>
      <c r="B663" t="s">
        <v>49</v>
      </c>
      <c r="C663" s="2" t="str">
        <f t="shared" si="10"/>
        <v>Emotional-I</v>
      </c>
      <c r="D663">
        <v>0.46736430004238999</v>
      </c>
      <c r="E663" t="s">
        <v>59</v>
      </c>
      <c r="F663" t="s">
        <v>48</v>
      </c>
      <c r="G663" t="s">
        <v>50</v>
      </c>
      <c r="H663">
        <v>56</v>
      </c>
      <c r="I663">
        <v>16</v>
      </c>
      <c r="J663">
        <v>2</v>
      </c>
      <c r="K663" t="s">
        <v>50</v>
      </c>
      <c r="L663">
        <v>1</v>
      </c>
      <c r="M663">
        <v>0.83044669998344001</v>
      </c>
      <c r="N663" t="s">
        <v>51</v>
      </c>
      <c r="O663">
        <v>2</v>
      </c>
      <c r="P663">
        <v>16</v>
      </c>
      <c r="Q663">
        <v>56</v>
      </c>
      <c r="R663">
        <v>7</v>
      </c>
      <c r="S663">
        <v>81.0250052000046</v>
      </c>
      <c r="X663">
        <v>81.013883400009902</v>
      </c>
      <c r="Y663">
        <v>81.0250052000046</v>
      </c>
      <c r="Z663">
        <v>81.524684800009695</v>
      </c>
      <c r="AA663">
        <v>81.524684800009695</v>
      </c>
      <c r="AB663">
        <v>81.524684800009695</v>
      </c>
      <c r="AC663">
        <v>82.361323699995395</v>
      </c>
      <c r="AD663" t="s">
        <v>50</v>
      </c>
      <c r="AE663">
        <v>1</v>
      </c>
      <c r="AF663">
        <v>0.83044669998344001</v>
      </c>
      <c r="AG663" t="s">
        <v>51</v>
      </c>
      <c r="AK663" t="s">
        <v>93</v>
      </c>
      <c r="AL663">
        <v>1</v>
      </c>
      <c r="AM663" t="s">
        <v>85</v>
      </c>
      <c r="AN663" t="s">
        <v>43</v>
      </c>
      <c r="AP663" t="s">
        <v>44</v>
      </c>
      <c r="AQ663">
        <v>59.992644915568597</v>
      </c>
      <c r="AR663" t="s">
        <v>86</v>
      </c>
    </row>
    <row r="664" spans="1:44" x14ac:dyDescent="0.3">
      <c r="A664" t="s">
        <v>67</v>
      </c>
      <c r="B664" t="s">
        <v>49</v>
      </c>
      <c r="C664" s="2" t="str">
        <f t="shared" si="10"/>
        <v>Neutral</v>
      </c>
      <c r="D664">
        <v>0.42361409997101801</v>
      </c>
      <c r="E664" t="s">
        <v>47</v>
      </c>
      <c r="F664" t="s">
        <v>53</v>
      </c>
      <c r="G664" t="s">
        <v>54</v>
      </c>
      <c r="H664">
        <v>57</v>
      </c>
      <c r="I664">
        <v>17</v>
      </c>
      <c r="J664">
        <v>2</v>
      </c>
      <c r="K664" t="s">
        <v>54</v>
      </c>
      <c r="L664">
        <v>1</v>
      </c>
      <c r="M664">
        <v>0.79632580000907105</v>
      </c>
      <c r="N664" t="s">
        <v>51</v>
      </c>
      <c r="O664">
        <v>2</v>
      </c>
      <c r="P664">
        <v>17</v>
      </c>
      <c r="Q664">
        <v>57</v>
      </c>
      <c r="R664">
        <v>10</v>
      </c>
      <c r="S664">
        <v>82.374602199997696</v>
      </c>
      <c r="X664">
        <v>82.363841300015295</v>
      </c>
      <c r="Y664">
        <v>82.374602199997696</v>
      </c>
      <c r="Z664">
        <v>82.874548499996294</v>
      </c>
      <c r="AA664">
        <v>82.874548499996294</v>
      </c>
      <c r="AB664">
        <v>82.874548499996294</v>
      </c>
      <c r="AC664">
        <v>83.677900300011899</v>
      </c>
      <c r="AD664" t="s">
        <v>54</v>
      </c>
      <c r="AE664">
        <v>1</v>
      </c>
      <c r="AF664">
        <v>0.79632580000907105</v>
      </c>
      <c r="AG664" t="s">
        <v>51</v>
      </c>
      <c r="AK664" t="s">
        <v>93</v>
      </c>
      <c r="AL664">
        <v>1</v>
      </c>
      <c r="AM664" t="s">
        <v>85</v>
      </c>
      <c r="AN664" t="s">
        <v>43</v>
      </c>
      <c r="AP664" t="s">
        <v>44</v>
      </c>
      <c r="AQ664">
        <v>59.992644915568597</v>
      </c>
      <c r="AR664" t="s">
        <v>86</v>
      </c>
    </row>
    <row r="665" spans="1:44" x14ac:dyDescent="0.3">
      <c r="A665" t="s">
        <v>71</v>
      </c>
      <c r="B665" t="s">
        <v>49</v>
      </c>
      <c r="C665" s="2" t="str">
        <f t="shared" si="10"/>
        <v>Neutral</v>
      </c>
      <c r="D665">
        <v>0.56528869998874098</v>
      </c>
      <c r="E665" t="s">
        <v>47</v>
      </c>
      <c r="F665" t="s">
        <v>48</v>
      </c>
      <c r="G665" t="s">
        <v>50</v>
      </c>
      <c r="H665">
        <v>58</v>
      </c>
      <c r="I665">
        <v>18</v>
      </c>
      <c r="J665">
        <v>2</v>
      </c>
      <c r="K665" t="s">
        <v>50</v>
      </c>
      <c r="L665">
        <v>1</v>
      </c>
      <c r="M665">
        <v>0.93522879999363795</v>
      </c>
      <c r="N665" t="s">
        <v>51</v>
      </c>
      <c r="O665">
        <v>2</v>
      </c>
      <c r="P665">
        <v>18</v>
      </c>
      <c r="Q665">
        <v>58</v>
      </c>
      <c r="R665">
        <v>15</v>
      </c>
      <c r="S665">
        <v>83.691385500016594</v>
      </c>
      <c r="X665">
        <v>83.680732799984895</v>
      </c>
      <c r="Y665">
        <v>83.691385500016594</v>
      </c>
      <c r="Z665">
        <v>84.190643100009694</v>
      </c>
      <c r="AA665">
        <v>84.190643100009694</v>
      </c>
      <c r="AB665">
        <v>84.190643100009694</v>
      </c>
      <c r="AC665">
        <v>85.127754300017799</v>
      </c>
      <c r="AD665" t="s">
        <v>50</v>
      </c>
      <c r="AE665">
        <v>1</v>
      </c>
      <c r="AF665">
        <v>0.93522879999363795</v>
      </c>
      <c r="AG665" t="s">
        <v>51</v>
      </c>
      <c r="AK665" t="s">
        <v>93</v>
      </c>
      <c r="AL665">
        <v>1</v>
      </c>
      <c r="AM665" t="s">
        <v>85</v>
      </c>
      <c r="AN665" t="s">
        <v>43</v>
      </c>
      <c r="AP665" t="s">
        <v>44</v>
      </c>
      <c r="AQ665">
        <v>59.992644915568597</v>
      </c>
      <c r="AR665" t="s">
        <v>86</v>
      </c>
    </row>
    <row r="666" spans="1:44" x14ac:dyDescent="0.3">
      <c r="A666" t="s">
        <v>74</v>
      </c>
      <c r="B666" t="s">
        <v>49</v>
      </c>
      <c r="C666" s="2" t="str">
        <f t="shared" si="10"/>
        <v>Neutral</v>
      </c>
      <c r="D666">
        <v>0.517036300036124</v>
      </c>
      <c r="E666" t="s">
        <v>47</v>
      </c>
      <c r="F666" t="s">
        <v>48</v>
      </c>
      <c r="G666" t="s">
        <v>50</v>
      </c>
      <c r="H666">
        <v>59</v>
      </c>
      <c r="I666">
        <v>19</v>
      </c>
      <c r="J666">
        <v>2</v>
      </c>
      <c r="K666" t="s">
        <v>50</v>
      </c>
      <c r="L666">
        <v>1</v>
      </c>
      <c r="M666">
        <v>0.46373600000515502</v>
      </c>
      <c r="N666" t="s">
        <v>51</v>
      </c>
      <c r="O666">
        <v>2</v>
      </c>
      <c r="P666">
        <v>19</v>
      </c>
      <c r="Q666">
        <v>59</v>
      </c>
      <c r="R666">
        <v>11</v>
      </c>
      <c r="S666">
        <v>85.140550300013203</v>
      </c>
      <c r="X666">
        <v>85.130849500012104</v>
      </c>
      <c r="Y666">
        <v>85.140550300013203</v>
      </c>
      <c r="Z666">
        <v>85.640851099975393</v>
      </c>
      <c r="AA666">
        <v>85.640851099975393</v>
      </c>
      <c r="AB666">
        <v>85.640851099975393</v>
      </c>
      <c r="AC666">
        <v>86.110969699977403</v>
      </c>
      <c r="AD666" t="s">
        <v>50</v>
      </c>
      <c r="AE666">
        <v>1</v>
      </c>
      <c r="AF666">
        <v>0.46373600000515502</v>
      </c>
      <c r="AG666" t="s">
        <v>51</v>
      </c>
      <c r="AK666" t="s">
        <v>93</v>
      </c>
      <c r="AL666">
        <v>1</v>
      </c>
      <c r="AM666" t="s">
        <v>85</v>
      </c>
      <c r="AN666" t="s">
        <v>43</v>
      </c>
      <c r="AP666" t="s">
        <v>44</v>
      </c>
      <c r="AQ666">
        <v>59.992644915568597</v>
      </c>
      <c r="AR666" t="s">
        <v>86</v>
      </c>
    </row>
    <row r="667" spans="1:44" x14ac:dyDescent="0.3">
      <c r="A667" t="s">
        <v>46</v>
      </c>
      <c r="B667" t="s">
        <v>49</v>
      </c>
      <c r="C667" s="2" t="str">
        <f t="shared" si="10"/>
        <v>Neutral</v>
      </c>
      <c r="D667">
        <v>0.58903390000341405</v>
      </c>
      <c r="E667" t="s">
        <v>47</v>
      </c>
      <c r="F667" t="s">
        <v>48</v>
      </c>
      <c r="G667" t="s">
        <v>50</v>
      </c>
      <c r="H667">
        <v>60</v>
      </c>
      <c r="I667">
        <v>0</v>
      </c>
      <c r="J667">
        <v>3</v>
      </c>
      <c r="K667" t="s">
        <v>50</v>
      </c>
      <c r="L667">
        <v>1</v>
      </c>
      <c r="M667">
        <v>0.46756799996364801</v>
      </c>
      <c r="N667" t="s">
        <v>51</v>
      </c>
      <c r="O667">
        <v>3</v>
      </c>
      <c r="P667">
        <v>0</v>
      </c>
      <c r="Q667">
        <v>60</v>
      </c>
      <c r="R667">
        <v>19</v>
      </c>
      <c r="S667">
        <v>86.124205600004601</v>
      </c>
      <c r="X667">
        <v>86.114042699977205</v>
      </c>
      <c r="Y667">
        <v>86.124205600004601</v>
      </c>
      <c r="Z667">
        <v>86.624579499999498</v>
      </c>
      <c r="AA667">
        <v>86.624579499999498</v>
      </c>
      <c r="AB667">
        <v>86.624579499999498</v>
      </c>
      <c r="AC667">
        <v>87.094266999978501</v>
      </c>
      <c r="AD667" t="s">
        <v>50</v>
      </c>
      <c r="AE667">
        <v>1</v>
      </c>
      <c r="AF667">
        <v>0.46756799996364801</v>
      </c>
      <c r="AG667" t="s">
        <v>51</v>
      </c>
      <c r="AK667" t="s">
        <v>93</v>
      </c>
      <c r="AL667">
        <v>1</v>
      </c>
      <c r="AM667" t="s">
        <v>85</v>
      </c>
      <c r="AN667" t="s">
        <v>43</v>
      </c>
      <c r="AP667" t="s">
        <v>44</v>
      </c>
      <c r="AQ667">
        <v>59.992644915568597</v>
      </c>
      <c r="AR667" t="s">
        <v>86</v>
      </c>
    </row>
    <row r="668" spans="1:44" hidden="1" x14ac:dyDescent="0.3">
      <c r="A668" t="s">
        <v>55</v>
      </c>
      <c r="B668" t="s">
        <v>49</v>
      </c>
      <c r="C668" s="2" t="str">
        <f t="shared" si="10"/>
        <v>Neutral</v>
      </c>
      <c r="D668">
        <v>0.503504800028167</v>
      </c>
      <c r="E668" t="s">
        <v>47</v>
      </c>
      <c r="F668" t="s">
        <v>56</v>
      </c>
      <c r="G668" t="s">
        <v>57</v>
      </c>
      <c r="H668">
        <v>61</v>
      </c>
      <c r="I668">
        <v>1</v>
      </c>
      <c r="J668">
        <v>3</v>
      </c>
      <c r="K668" t="s">
        <v>54</v>
      </c>
      <c r="L668">
        <v>0</v>
      </c>
      <c r="M668">
        <v>0.69957510003587198</v>
      </c>
      <c r="N668" t="s">
        <v>51</v>
      </c>
      <c r="O668">
        <v>3</v>
      </c>
      <c r="P668">
        <v>1</v>
      </c>
      <c r="Q668">
        <v>61</v>
      </c>
      <c r="R668">
        <v>13</v>
      </c>
      <c r="S668">
        <v>87.107280900003303</v>
      </c>
      <c r="X668">
        <v>87.096933800028594</v>
      </c>
      <c r="Y668">
        <v>87.107280900003303</v>
      </c>
      <c r="Z668">
        <v>87.607438899984103</v>
      </c>
      <c r="AA668">
        <v>87.607438899984103</v>
      </c>
      <c r="AB668">
        <v>87.607438899984103</v>
      </c>
      <c r="AC668">
        <v>88.312116299988702</v>
      </c>
      <c r="AD668" t="s">
        <v>54</v>
      </c>
      <c r="AE668">
        <v>0</v>
      </c>
      <c r="AF668">
        <v>0.69957510003587198</v>
      </c>
      <c r="AG668" t="s">
        <v>51</v>
      </c>
      <c r="AK668" t="s">
        <v>93</v>
      </c>
      <c r="AL668">
        <v>1</v>
      </c>
      <c r="AM668" t="s">
        <v>85</v>
      </c>
      <c r="AN668" t="s">
        <v>43</v>
      </c>
      <c r="AP668" t="s">
        <v>44</v>
      </c>
      <c r="AQ668">
        <v>59.992644915568597</v>
      </c>
      <c r="AR668" t="s">
        <v>86</v>
      </c>
    </row>
    <row r="669" spans="1:44" x14ac:dyDescent="0.3">
      <c r="A669" t="s">
        <v>66</v>
      </c>
      <c r="B669" t="s">
        <v>49</v>
      </c>
      <c r="C669" s="2" t="str">
        <f t="shared" si="10"/>
        <v>Neutral</v>
      </c>
      <c r="D669">
        <v>0.71419450000394102</v>
      </c>
      <c r="E669" t="s">
        <v>47</v>
      </c>
      <c r="F669" t="s">
        <v>61</v>
      </c>
      <c r="G669" t="s">
        <v>63</v>
      </c>
      <c r="H669">
        <v>62</v>
      </c>
      <c r="I669">
        <v>2</v>
      </c>
      <c r="J669">
        <v>3</v>
      </c>
      <c r="K669" t="s">
        <v>63</v>
      </c>
      <c r="L669">
        <v>1</v>
      </c>
      <c r="M669">
        <v>0.64872410002863001</v>
      </c>
      <c r="N669" t="s">
        <v>51</v>
      </c>
      <c r="O669">
        <v>3</v>
      </c>
      <c r="P669">
        <v>2</v>
      </c>
      <c r="Q669">
        <v>62</v>
      </c>
      <c r="R669">
        <v>12</v>
      </c>
      <c r="S669">
        <v>88.323703999980296</v>
      </c>
      <c r="X669">
        <v>88.314825600013094</v>
      </c>
      <c r="Y669">
        <v>88.323703999980296</v>
      </c>
      <c r="Z669">
        <v>88.8237845000112</v>
      </c>
      <c r="AA669">
        <v>88.8237845000112</v>
      </c>
      <c r="AB669">
        <v>88.8237845000112</v>
      </c>
      <c r="AC669">
        <v>89.477806399983805</v>
      </c>
      <c r="AD669" t="s">
        <v>63</v>
      </c>
      <c r="AE669">
        <v>1</v>
      </c>
      <c r="AF669">
        <v>0.64872410002863001</v>
      </c>
      <c r="AG669" t="s">
        <v>51</v>
      </c>
      <c r="AK669" t="s">
        <v>93</v>
      </c>
      <c r="AL669">
        <v>1</v>
      </c>
      <c r="AM669" t="s">
        <v>85</v>
      </c>
      <c r="AN669" t="s">
        <v>43</v>
      </c>
      <c r="AP669" t="s">
        <v>44</v>
      </c>
      <c r="AQ669">
        <v>59.992644915568597</v>
      </c>
      <c r="AR669" t="s">
        <v>86</v>
      </c>
    </row>
    <row r="670" spans="1:44" x14ac:dyDescent="0.3">
      <c r="A670" t="s">
        <v>65</v>
      </c>
      <c r="B670" t="s">
        <v>49</v>
      </c>
      <c r="C670" s="2" t="str">
        <f t="shared" si="10"/>
        <v>Emotional-I</v>
      </c>
      <c r="D670">
        <v>0.798559200018644</v>
      </c>
      <c r="E670" t="s">
        <v>59</v>
      </c>
      <c r="F670" t="s">
        <v>56</v>
      </c>
      <c r="G670" t="s">
        <v>57</v>
      </c>
      <c r="H670">
        <v>63</v>
      </c>
      <c r="I670">
        <v>3</v>
      </c>
      <c r="J670">
        <v>3</v>
      </c>
      <c r="K670" t="s">
        <v>57</v>
      </c>
      <c r="L670">
        <v>1</v>
      </c>
      <c r="M670">
        <v>1.03936860000249</v>
      </c>
      <c r="N670" t="s">
        <v>51</v>
      </c>
      <c r="O670">
        <v>3</v>
      </c>
      <c r="P670">
        <v>3</v>
      </c>
      <c r="Q670">
        <v>63</v>
      </c>
      <c r="R670">
        <v>9</v>
      </c>
      <c r="S670">
        <v>89.491840699978596</v>
      </c>
      <c r="X670">
        <v>89.4803925000014</v>
      </c>
      <c r="Y670">
        <v>89.491840699978596</v>
      </c>
      <c r="Z670">
        <v>89.990855499985599</v>
      </c>
      <c r="AA670">
        <v>89.990855499985599</v>
      </c>
      <c r="AB670">
        <v>89.990855499985599</v>
      </c>
      <c r="AC670">
        <v>91.045921400014706</v>
      </c>
      <c r="AD670" t="s">
        <v>57</v>
      </c>
      <c r="AE670">
        <v>1</v>
      </c>
      <c r="AF670">
        <v>1.03936860000249</v>
      </c>
      <c r="AG670" t="s">
        <v>51</v>
      </c>
      <c r="AK670" t="s">
        <v>93</v>
      </c>
      <c r="AL670">
        <v>1</v>
      </c>
      <c r="AM670" t="s">
        <v>85</v>
      </c>
      <c r="AN670" t="s">
        <v>43</v>
      </c>
      <c r="AP670" t="s">
        <v>44</v>
      </c>
      <c r="AQ670">
        <v>59.992644915568597</v>
      </c>
      <c r="AR670" t="s">
        <v>86</v>
      </c>
    </row>
    <row r="671" spans="1:44" x14ac:dyDescent="0.3">
      <c r="A671" t="s">
        <v>76</v>
      </c>
      <c r="B671" t="s">
        <v>49</v>
      </c>
      <c r="C671" s="2" t="str">
        <f t="shared" si="10"/>
        <v>Emotional-I</v>
      </c>
      <c r="D671">
        <v>0.74298929999349606</v>
      </c>
      <c r="E671" t="s">
        <v>59</v>
      </c>
      <c r="F671" t="s">
        <v>48</v>
      </c>
      <c r="G671" t="s">
        <v>50</v>
      </c>
      <c r="H671">
        <v>64</v>
      </c>
      <c r="I671">
        <v>4</v>
      </c>
      <c r="J671">
        <v>3</v>
      </c>
      <c r="K671" t="s">
        <v>50</v>
      </c>
      <c r="L671">
        <v>1</v>
      </c>
      <c r="M671">
        <v>1.04481240001041</v>
      </c>
      <c r="N671" t="s">
        <v>51</v>
      </c>
      <c r="O671">
        <v>3</v>
      </c>
      <c r="P671">
        <v>4</v>
      </c>
      <c r="Q671">
        <v>64</v>
      </c>
      <c r="R671">
        <v>3</v>
      </c>
      <c r="S671">
        <v>91.058702300011603</v>
      </c>
      <c r="X671">
        <v>91.048546999983898</v>
      </c>
      <c r="Y671">
        <v>91.058702300011603</v>
      </c>
      <c r="Z671">
        <v>91.558962000009998</v>
      </c>
      <c r="AA671">
        <v>91.558962000009998</v>
      </c>
      <c r="AB671">
        <v>91.558962000009998</v>
      </c>
      <c r="AC671">
        <v>92.612177399976602</v>
      </c>
      <c r="AD671" t="s">
        <v>50</v>
      </c>
      <c r="AE671">
        <v>1</v>
      </c>
      <c r="AF671">
        <v>1.04481240001041</v>
      </c>
      <c r="AG671" t="s">
        <v>51</v>
      </c>
      <c r="AK671" t="s">
        <v>93</v>
      </c>
      <c r="AL671">
        <v>1</v>
      </c>
      <c r="AM671" t="s">
        <v>85</v>
      </c>
      <c r="AN671" t="s">
        <v>43</v>
      </c>
      <c r="AP671" t="s">
        <v>44</v>
      </c>
      <c r="AQ671">
        <v>59.992644915568597</v>
      </c>
      <c r="AR671" t="s">
        <v>86</v>
      </c>
    </row>
    <row r="672" spans="1:44" x14ac:dyDescent="0.3">
      <c r="A672" t="s">
        <v>70</v>
      </c>
      <c r="B672" t="s">
        <v>49</v>
      </c>
      <c r="C672" s="2" t="str">
        <f t="shared" si="10"/>
        <v>Emotional-I</v>
      </c>
      <c r="D672">
        <v>0.99858529999619305</v>
      </c>
      <c r="E672" t="s">
        <v>59</v>
      </c>
      <c r="F672" t="s">
        <v>53</v>
      </c>
      <c r="G672" t="s">
        <v>54</v>
      </c>
      <c r="H672">
        <v>65</v>
      </c>
      <c r="I672">
        <v>5</v>
      </c>
      <c r="J672">
        <v>3</v>
      </c>
      <c r="K672" t="s">
        <v>54</v>
      </c>
      <c r="L672">
        <v>1</v>
      </c>
      <c r="M672">
        <v>1.52983220003079</v>
      </c>
      <c r="N672" t="s">
        <v>51</v>
      </c>
      <c r="O672">
        <v>3</v>
      </c>
      <c r="P672">
        <v>5</v>
      </c>
      <c r="Q672">
        <v>65</v>
      </c>
      <c r="R672">
        <v>2</v>
      </c>
      <c r="S672">
        <v>92.630067399994005</v>
      </c>
      <c r="X672">
        <v>92.614812200015805</v>
      </c>
      <c r="Y672">
        <v>92.630067399994005</v>
      </c>
      <c r="Z672">
        <v>93.124932400009101</v>
      </c>
      <c r="AA672">
        <v>93.124932400009101</v>
      </c>
      <c r="AB672">
        <v>93.124932400009101</v>
      </c>
      <c r="AC672">
        <v>94.663107400003298</v>
      </c>
      <c r="AD672" t="s">
        <v>54</v>
      </c>
      <c r="AE672">
        <v>1</v>
      </c>
      <c r="AF672">
        <v>1.52983220003079</v>
      </c>
      <c r="AG672" t="s">
        <v>51</v>
      </c>
      <c r="AK672" t="s">
        <v>93</v>
      </c>
      <c r="AL672">
        <v>1</v>
      </c>
      <c r="AM672" t="s">
        <v>85</v>
      </c>
      <c r="AN672" t="s">
        <v>43</v>
      </c>
      <c r="AP672" t="s">
        <v>44</v>
      </c>
      <c r="AQ672">
        <v>59.992644915568597</v>
      </c>
      <c r="AR672" t="s">
        <v>86</v>
      </c>
    </row>
    <row r="673" spans="1:44" x14ac:dyDescent="0.3">
      <c r="A673" t="s">
        <v>68</v>
      </c>
      <c r="B673" t="s">
        <v>49</v>
      </c>
      <c r="C673" s="2" t="str">
        <f t="shared" si="10"/>
        <v>Emotional-I</v>
      </c>
      <c r="D673">
        <v>0.93180880002910205</v>
      </c>
      <c r="E673" t="s">
        <v>59</v>
      </c>
      <c r="F673" t="s">
        <v>53</v>
      </c>
      <c r="G673" t="s">
        <v>54</v>
      </c>
      <c r="H673">
        <v>66</v>
      </c>
      <c r="I673">
        <v>6</v>
      </c>
      <c r="J673">
        <v>3</v>
      </c>
      <c r="K673" t="s">
        <v>54</v>
      </c>
      <c r="L673">
        <v>1</v>
      </c>
      <c r="M673">
        <v>0.61253189999843005</v>
      </c>
      <c r="N673" t="s">
        <v>51</v>
      </c>
      <c r="O673">
        <v>3</v>
      </c>
      <c r="P673">
        <v>6</v>
      </c>
      <c r="Q673">
        <v>66</v>
      </c>
      <c r="R673">
        <v>6</v>
      </c>
      <c r="S673">
        <v>94.675358999986202</v>
      </c>
      <c r="X673">
        <v>94.6656115999794</v>
      </c>
      <c r="Y673">
        <v>94.675358999986202</v>
      </c>
      <c r="Z673">
        <v>95.176567099988404</v>
      </c>
      <c r="AA673">
        <v>95.176567099988404</v>
      </c>
      <c r="AB673">
        <v>95.176567099988404</v>
      </c>
      <c r="AC673">
        <v>95.795443399983895</v>
      </c>
      <c r="AD673" t="s">
        <v>54</v>
      </c>
      <c r="AE673">
        <v>1</v>
      </c>
      <c r="AF673">
        <v>0.61253189999843005</v>
      </c>
      <c r="AG673" t="s">
        <v>51</v>
      </c>
      <c r="AK673" t="s">
        <v>93</v>
      </c>
      <c r="AL673">
        <v>1</v>
      </c>
      <c r="AM673" t="s">
        <v>85</v>
      </c>
      <c r="AN673" t="s">
        <v>43</v>
      </c>
      <c r="AP673" t="s">
        <v>44</v>
      </c>
      <c r="AQ673">
        <v>59.992644915568597</v>
      </c>
      <c r="AR673" t="s">
        <v>86</v>
      </c>
    </row>
    <row r="674" spans="1:44" x14ac:dyDescent="0.3">
      <c r="A674" t="s">
        <v>64</v>
      </c>
      <c r="B674" t="s">
        <v>49</v>
      </c>
      <c r="C674" s="2" t="str">
        <f t="shared" si="10"/>
        <v>Neutral</v>
      </c>
      <c r="D674">
        <v>0.88460189994657401</v>
      </c>
      <c r="E674" t="s">
        <v>47</v>
      </c>
      <c r="F674" t="s">
        <v>53</v>
      </c>
      <c r="G674" t="s">
        <v>54</v>
      </c>
      <c r="H674">
        <v>67</v>
      </c>
      <c r="I674">
        <v>7</v>
      </c>
      <c r="J674">
        <v>3</v>
      </c>
      <c r="K674" t="s">
        <v>54</v>
      </c>
      <c r="L674">
        <v>1</v>
      </c>
      <c r="M674">
        <v>0.49875070003326899</v>
      </c>
      <c r="N674" t="s">
        <v>51</v>
      </c>
      <c r="O674">
        <v>3</v>
      </c>
      <c r="P674">
        <v>7</v>
      </c>
      <c r="Q674">
        <v>67</v>
      </c>
      <c r="R674">
        <v>18</v>
      </c>
      <c r="S674">
        <v>95.808879600022905</v>
      </c>
      <c r="X674">
        <v>95.798611200007102</v>
      </c>
      <c r="Y674">
        <v>95.808879600022905</v>
      </c>
      <c r="Z674">
        <v>96.308643400028799</v>
      </c>
      <c r="AA674">
        <v>96.308643400028799</v>
      </c>
      <c r="AB674">
        <v>96.308643400028799</v>
      </c>
      <c r="AC674">
        <v>96.813326700008403</v>
      </c>
      <c r="AD674" t="s">
        <v>54</v>
      </c>
      <c r="AE674">
        <v>1</v>
      </c>
      <c r="AF674">
        <v>0.49875070003326899</v>
      </c>
      <c r="AG674" t="s">
        <v>51</v>
      </c>
      <c r="AK674" t="s">
        <v>93</v>
      </c>
      <c r="AL674">
        <v>1</v>
      </c>
      <c r="AM674" t="s">
        <v>85</v>
      </c>
      <c r="AN674" t="s">
        <v>43</v>
      </c>
      <c r="AP674" t="s">
        <v>44</v>
      </c>
      <c r="AQ674">
        <v>59.992644915568597</v>
      </c>
      <c r="AR674" t="s">
        <v>86</v>
      </c>
    </row>
    <row r="675" spans="1:44" x14ac:dyDescent="0.3">
      <c r="A675" t="s">
        <v>74</v>
      </c>
      <c r="B675" t="s">
        <v>49</v>
      </c>
      <c r="C675" s="2" t="str">
        <f t="shared" si="10"/>
        <v>Neutral</v>
      </c>
      <c r="D675">
        <v>0.59713770000962496</v>
      </c>
      <c r="E675" t="s">
        <v>47</v>
      </c>
      <c r="F675" t="s">
        <v>48</v>
      </c>
      <c r="G675" t="s">
        <v>50</v>
      </c>
      <c r="H675">
        <v>68</v>
      </c>
      <c r="I675">
        <v>8</v>
      </c>
      <c r="J675">
        <v>3</v>
      </c>
      <c r="K675" t="s">
        <v>50</v>
      </c>
      <c r="L675">
        <v>1</v>
      </c>
      <c r="M675">
        <v>0.84326400002464597</v>
      </c>
      <c r="N675" t="s">
        <v>51</v>
      </c>
      <c r="O675">
        <v>3</v>
      </c>
      <c r="P675">
        <v>8</v>
      </c>
      <c r="Q675">
        <v>68</v>
      </c>
      <c r="R675">
        <v>11</v>
      </c>
      <c r="S675">
        <v>96.824868199997496</v>
      </c>
      <c r="X675">
        <v>96.817437499994398</v>
      </c>
      <c r="Y675">
        <v>96.824868199997496</v>
      </c>
      <c r="Z675">
        <v>97.325423999980501</v>
      </c>
      <c r="AA675">
        <v>97.325423999980501</v>
      </c>
      <c r="AB675">
        <v>97.325423999980501</v>
      </c>
      <c r="AC675">
        <v>98.178698399977193</v>
      </c>
      <c r="AD675" t="s">
        <v>50</v>
      </c>
      <c r="AE675">
        <v>1</v>
      </c>
      <c r="AF675">
        <v>0.84326400002464597</v>
      </c>
      <c r="AG675" t="s">
        <v>51</v>
      </c>
      <c r="AK675" t="s">
        <v>93</v>
      </c>
      <c r="AL675">
        <v>1</v>
      </c>
      <c r="AM675" t="s">
        <v>85</v>
      </c>
      <c r="AN675" t="s">
        <v>43</v>
      </c>
      <c r="AP675" t="s">
        <v>44</v>
      </c>
      <c r="AQ675">
        <v>59.992644915568597</v>
      </c>
      <c r="AR675" t="s">
        <v>86</v>
      </c>
    </row>
    <row r="676" spans="1:44" x14ac:dyDescent="0.3">
      <c r="A676" t="s">
        <v>73</v>
      </c>
      <c r="B676" t="s">
        <v>49</v>
      </c>
      <c r="C676" s="2" t="str">
        <f t="shared" si="10"/>
        <v>Emotional-I</v>
      </c>
      <c r="D676">
        <v>0.652935199963394</v>
      </c>
      <c r="E676" t="s">
        <v>59</v>
      </c>
      <c r="F676" t="s">
        <v>56</v>
      </c>
      <c r="G676" t="s">
        <v>57</v>
      </c>
      <c r="H676">
        <v>69</v>
      </c>
      <c r="I676">
        <v>9</v>
      </c>
      <c r="J676">
        <v>3</v>
      </c>
      <c r="K676" t="s">
        <v>57</v>
      </c>
      <c r="L676">
        <v>1</v>
      </c>
      <c r="M676">
        <v>0.87362869997741599</v>
      </c>
      <c r="N676" t="s">
        <v>51</v>
      </c>
      <c r="O676">
        <v>3</v>
      </c>
      <c r="P676">
        <v>9</v>
      </c>
      <c r="Q676">
        <v>69</v>
      </c>
      <c r="R676">
        <v>1</v>
      </c>
      <c r="S676">
        <v>98.191524000023406</v>
      </c>
      <c r="X676">
        <v>98.181897700007497</v>
      </c>
      <c r="Y676">
        <v>98.191524000023406</v>
      </c>
      <c r="Z676">
        <v>98.691848499991394</v>
      </c>
      <c r="AA676">
        <v>98.691848499991394</v>
      </c>
      <c r="AB676">
        <v>98.691848499991394</v>
      </c>
      <c r="AC676">
        <v>99.579063299985094</v>
      </c>
      <c r="AD676" t="s">
        <v>57</v>
      </c>
      <c r="AE676">
        <v>1</v>
      </c>
      <c r="AF676">
        <v>0.87362869997741599</v>
      </c>
      <c r="AG676" t="s">
        <v>51</v>
      </c>
      <c r="AK676" t="s">
        <v>93</v>
      </c>
      <c r="AL676">
        <v>1</v>
      </c>
      <c r="AM676" t="s">
        <v>85</v>
      </c>
      <c r="AN676" t="s">
        <v>43</v>
      </c>
      <c r="AP676" t="s">
        <v>44</v>
      </c>
      <c r="AQ676">
        <v>59.992644915568597</v>
      </c>
      <c r="AR676" t="s">
        <v>86</v>
      </c>
    </row>
    <row r="677" spans="1:44" x14ac:dyDescent="0.3">
      <c r="A677" t="s">
        <v>60</v>
      </c>
      <c r="B677" t="s">
        <v>62</v>
      </c>
      <c r="C677" s="2" t="str">
        <f t="shared" si="10"/>
        <v>Emotional-C</v>
      </c>
      <c r="D677">
        <v>0.48822669999208301</v>
      </c>
      <c r="E677" t="s">
        <v>59</v>
      </c>
      <c r="F677" t="s">
        <v>61</v>
      </c>
      <c r="G677" t="s">
        <v>63</v>
      </c>
      <c r="H677">
        <v>70</v>
      </c>
      <c r="I677">
        <v>10</v>
      </c>
      <c r="J677">
        <v>3</v>
      </c>
      <c r="K677" t="s">
        <v>63</v>
      </c>
      <c r="L677">
        <v>1</v>
      </c>
      <c r="M677">
        <v>0.83119050000095696</v>
      </c>
      <c r="N677" t="s">
        <v>51</v>
      </c>
      <c r="O677">
        <v>3</v>
      </c>
      <c r="P677">
        <v>10</v>
      </c>
      <c r="Q677">
        <v>70</v>
      </c>
      <c r="R677">
        <v>0</v>
      </c>
      <c r="S677">
        <v>99.591882599983293</v>
      </c>
      <c r="X677">
        <v>99.581588400003895</v>
      </c>
      <c r="Y677">
        <v>99.591882599983293</v>
      </c>
      <c r="Z677">
        <v>100.091512800019</v>
      </c>
      <c r="AA677">
        <v>100.091512800019</v>
      </c>
      <c r="AB677">
        <v>100.091512800019</v>
      </c>
      <c r="AC677">
        <v>100.9286709</v>
      </c>
      <c r="AD677" t="s">
        <v>63</v>
      </c>
      <c r="AE677">
        <v>1</v>
      </c>
      <c r="AF677">
        <v>0.83119050000095696</v>
      </c>
      <c r="AG677" t="s">
        <v>51</v>
      </c>
      <c r="AK677" t="s">
        <v>93</v>
      </c>
      <c r="AL677">
        <v>1</v>
      </c>
      <c r="AM677" t="s">
        <v>85</v>
      </c>
      <c r="AN677" t="s">
        <v>43</v>
      </c>
      <c r="AP677" t="s">
        <v>44</v>
      </c>
      <c r="AQ677">
        <v>59.992644915568597</v>
      </c>
      <c r="AR677" t="s">
        <v>86</v>
      </c>
    </row>
    <row r="678" spans="1:44" x14ac:dyDescent="0.3">
      <c r="A678" t="s">
        <v>77</v>
      </c>
      <c r="B678" t="s">
        <v>62</v>
      </c>
      <c r="C678" s="2" t="str">
        <f t="shared" si="10"/>
        <v>Emotional-C</v>
      </c>
      <c r="D678">
        <v>0.70689979998860497</v>
      </c>
      <c r="E678" t="s">
        <v>59</v>
      </c>
      <c r="F678" t="s">
        <v>61</v>
      </c>
      <c r="G678" t="s">
        <v>63</v>
      </c>
      <c r="H678">
        <v>71</v>
      </c>
      <c r="I678">
        <v>11</v>
      </c>
      <c r="J678">
        <v>3</v>
      </c>
      <c r="K678" t="s">
        <v>63</v>
      </c>
      <c r="L678">
        <v>1</v>
      </c>
      <c r="M678">
        <v>0.46516530000371797</v>
      </c>
      <c r="N678" t="s">
        <v>51</v>
      </c>
      <c r="O678">
        <v>3</v>
      </c>
      <c r="P678">
        <v>11</v>
      </c>
      <c r="Q678">
        <v>71</v>
      </c>
      <c r="R678">
        <v>4</v>
      </c>
      <c r="S678">
        <v>100.94138670002501</v>
      </c>
      <c r="X678">
        <v>100.931454800011</v>
      </c>
      <c r="Y678">
        <v>100.94138670002501</v>
      </c>
      <c r="Z678">
        <v>101.44160189997601</v>
      </c>
      <c r="AA678">
        <v>101.44160189997601</v>
      </c>
      <c r="AB678">
        <v>101.44160189997601</v>
      </c>
      <c r="AC678">
        <v>101.912925400014</v>
      </c>
      <c r="AD678" t="s">
        <v>63</v>
      </c>
      <c r="AE678">
        <v>1</v>
      </c>
      <c r="AF678">
        <v>0.46516530000371797</v>
      </c>
      <c r="AG678" t="s">
        <v>51</v>
      </c>
      <c r="AK678" t="s">
        <v>93</v>
      </c>
      <c r="AL678">
        <v>1</v>
      </c>
      <c r="AM678" t="s">
        <v>85</v>
      </c>
      <c r="AN678" t="s">
        <v>43</v>
      </c>
      <c r="AP678" t="s">
        <v>44</v>
      </c>
      <c r="AQ678">
        <v>59.992644915568597</v>
      </c>
      <c r="AR678" t="s">
        <v>86</v>
      </c>
    </row>
    <row r="679" spans="1:44" x14ac:dyDescent="0.3">
      <c r="A679" t="s">
        <v>72</v>
      </c>
      <c r="B679" t="s">
        <v>62</v>
      </c>
      <c r="C679" s="2" t="str">
        <f t="shared" si="10"/>
        <v>Emotional-C</v>
      </c>
      <c r="D679">
        <v>0.86195150000276</v>
      </c>
      <c r="E679" t="s">
        <v>59</v>
      </c>
      <c r="F679" t="s">
        <v>61</v>
      </c>
      <c r="G679" t="s">
        <v>63</v>
      </c>
      <c r="H679">
        <v>72</v>
      </c>
      <c r="I679">
        <v>12</v>
      </c>
      <c r="J679">
        <v>3</v>
      </c>
      <c r="K679" t="s">
        <v>63</v>
      </c>
      <c r="L679">
        <v>1</v>
      </c>
      <c r="M679">
        <v>0.43837280001025603</v>
      </c>
      <c r="N679" t="s">
        <v>51</v>
      </c>
      <c r="O679">
        <v>3</v>
      </c>
      <c r="P679">
        <v>12</v>
      </c>
      <c r="Q679">
        <v>72</v>
      </c>
      <c r="R679">
        <v>8</v>
      </c>
      <c r="S679">
        <v>101.924754699983</v>
      </c>
      <c r="X679">
        <v>101.91630510002101</v>
      </c>
      <c r="Y679">
        <v>101.924754699983</v>
      </c>
      <c r="Z679">
        <v>102.425335199979</v>
      </c>
      <c r="AA679">
        <v>102.425335199979</v>
      </c>
      <c r="AB679">
        <v>102.425335199979</v>
      </c>
      <c r="AC679">
        <v>102.878727399976</v>
      </c>
      <c r="AD679" t="s">
        <v>63</v>
      </c>
      <c r="AE679">
        <v>1</v>
      </c>
      <c r="AF679">
        <v>0.43837280001025603</v>
      </c>
      <c r="AG679" t="s">
        <v>51</v>
      </c>
      <c r="AK679" t="s">
        <v>93</v>
      </c>
      <c r="AL679">
        <v>1</v>
      </c>
      <c r="AM679" t="s">
        <v>85</v>
      </c>
      <c r="AN679" t="s">
        <v>43</v>
      </c>
      <c r="AP679" t="s">
        <v>44</v>
      </c>
      <c r="AQ679">
        <v>59.992644915568597</v>
      </c>
      <c r="AR679" t="s">
        <v>86</v>
      </c>
    </row>
    <row r="680" spans="1:44" x14ac:dyDescent="0.3">
      <c r="A680" t="s">
        <v>58</v>
      </c>
      <c r="B680" t="s">
        <v>49</v>
      </c>
      <c r="C680" s="2" t="str">
        <f t="shared" si="10"/>
        <v>Emotional-I</v>
      </c>
      <c r="D680">
        <v>0.86312319996068199</v>
      </c>
      <c r="E680" t="s">
        <v>59</v>
      </c>
      <c r="F680" t="s">
        <v>48</v>
      </c>
      <c r="G680" t="s">
        <v>50</v>
      </c>
      <c r="H680">
        <v>73</v>
      </c>
      <c r="I680">
        <v>13</v>
      </c>
      <c r="J680">
        <v>3</v>
      </c>
      <c r="K680" t="s">
        <v>50</v>
      </c>
      <c r="L680">
        <v>1</v>
      </c>
      <c r="M680">
        <v>0.68386430002283305</v>
      </c>
      <c r="N680" t="s">
        <v>51</v>
      </c>
      <c r="O680">
        <v>3</v>
      </c>
      <c r="P680">
        <v>13</v>
      </c>
      <c r="Q680">
        <v>73</v>
      </c>
      <c r="R680">
        <v>7</v>
      </c>
      <c r="S680">
        <v>102.891384300019</v>
      </c>
      <c r="X680">
        <v>102.881429200002</v>
      </c>
      <c r="Y680">
        <v>102.891384300019</v>
      </c>
      <c r="Z680">
        <v>103.391267099999</v>
      </c>
      <c r="AA680">
        <v>103.391267099999</v>
      </c>
      <c r="AB680">
        <v>103.391267099999</v>
      </c>
      <c r="AC680">
        <v>104.07849769998499</v>
      </c>
      <c r="AD680" t="s">
        <v>50</v>
      </c>
      <c r="AE680">
        <v>1</v>
      </c>
      <c r="AF680">
        <v>0.68386430002283305</v>
      </c>
      <c r="AG680" t="s">
        <v>51</v>
      </c>
      <c r="AK680" t="s">
        <v>93</v>
      </c>
      <c r="AL680">
        <v>1</v>
      </c>
      <c r="AM680" t="s">
        <v>85</v>
      </c>
      <c r="AN680" t="s">
        <v>43</v>
      </c>
      <c r="AP680" t="s">
        <v>44</v>
      </c>
      <c r="AQ680">
        <v>59.992644915568597</v>
      </c>
      <c r="AR680" t="s">
        <v>86</v>
      </c>
    </row>
    <row r="681" spans="1:44" x14ac:dyDescent="0.3">
      <c r="A681" t="s">
        <v>75</v>
      </c>
      <c r="B681" t="s">
        <v>49</v>
      </c>
      <c r="C681" s="2" t="str">
        <f t="shared" si="10"/>
        <v>Neutral</v>
      </c>
      <c r="D681">
        <v>0.702574700000695</v>
      </c>
      <c r="E681" t="s">
        <v>47</v>
      </c>
      <c r="F681" t="s">
        <v>61</v>
      </c>
      <c r="G681" t="s">
        <v>63</v>
      </c>
      <c r="H681">
        <v>74</v>
      </c>
      <c r="I681">
        <v>14</v>
      </c>
      <c r="J681">
        <v>3</v>
      </c>
      <c r="K681" t="s">
        <v>63</v>
      </c>
      <c r="L681">
        <v>1</v>
      </c>
      <c r="M681">
        <v>0.63033010001527101</v>
      </c>
      <c r="N681" t="s">
        <v>51</v>
      </c>
      <c r="O681">
        <v>3</v>
      </c>
      <c r="P681">
        <v>14</v>
      </c>
      <c r="Q681">
        <v>74</v>
      </c>
      <c r="R681">
        <v>16</v>
      </c>
      <c r="S681">
        <v>104.091480600007</v>
      </c>
      <c r="X681">
        <v>104.08126419998</v>
      </c>
      <c r="Y681">
        <v>104.091480600007</v>
      </c>
      <c r="Z681">
        <v>104.59114510001299</v>
      </c>
      <c r="AA681">
        <v>104.59114510001299</v>
      </c>
      <c r="AB681">
        <v>104.59114510001299</v>
      </c>
      <c r="AC681">
        <v>105.229039800004</v>
      </c>
      <c r="AD681" t="s">
        <v>63</v>
      </c>
      <c r="AE681">
        <v>1</v>
      </c>
      <c r="AF681">
        <v>0.63033010001527101</v>
      </c>
      <c r="AG681" t="s">
        <v>51</v>
      </c>
      <c r="AK681" t="s">
        <v>93</v>
      </c>
      <c r="AL681">
        <v>1</v>
      </c>
      <c r="AM681" t="s">
        <v>85</v>
      </c>
      <c r="AN681" t="s">
        <v>43</v>
      </c>
      <c r="AP681" t="s">
        <v>44</v>
      </c>
      <c r="AQ681">
        <v>59.992644915568597</v>
      </c>
      <c r="AR681" t="s">
        <v>86</v>
      </c>
    </row>
    <row r="682" spans="1:44" x14ac:dyDescent="0.3">
      <c r="A682" t="s">
        <v>71</v>
      </c>
      <c r="B682" t="s">
        <v>49</v>
      </c>
      <c r="C682" s="2" t="str">
        <f t="shared" si="10"/>
        <v>Neutral</v>
      </c>
      <c r="D682">
        <v>0.69910920003894705</v>
      </c>
      <c r="E682" t="s">
        <v>47</v>
      </c>
      <c r="F682" t="s">
        <v>48</v>
      </c>
      <c r="G682" t="s">
        <v>50</v>
      </c>
      <c r="H682">
        <v>75</v>
      </c>
      <c r="I682">
        <v>15</v>
      </c>
      <c r="J682">
        <v>3</v>
      </c>
      <c r="K682" t="s">
        <v>50</v>
      </c>
      <c r="L682">
        <v>1</v>
      </c>
      <c r="M682">
        <v>0.66497869999147896</v>
      </c>
      <c r="N682" t="s">
        <v>51</v>
      </c>
      <c r="O682">
        <v>3</v>
      </c>
      <c r="P682">
        <v>15</v>
      </c>
      <c r="Q682">
        <v>75</v>
      </c>
      <c r="R682">
        <v>15</v>
      </c>
      <c r="S682">
        <v>105.241866099997</v>
      </c>
      <c r="X682">
        <v>105.231695100024</v>
      </c>
      <c r="Y682">
        <v>105.241866099997</v>
      </c>
      <c r="Z682">
        <v>105.74169679998801</v>
      </c>
      <c r="AA682">
        <v>105.74169679998801</v>
      </c>
      <c r="AB682">
        <v>105.74169679998801</v>
      </c>
      <c r="AC682">
        <v>106.411967699998</v>
      </c>
      <c r="AD682" t="s">
        <v>50</v>
      </c>
      <c r="AE682">
        <v>1</v>
      </c>
      <c r="AF682">
        <v>0.66497869999147896</v>
      </c>
      <c r="AG682" t="s">
        <v>51</v>
      </c>
      <c r="AK682" t="s">
        <v>93</v>
      </c>
      <c r="AL682">
        <v>1</v>
      </c>
      <c r="AM682" t="s">
        <v>85</v>
      </c>
      <c r="AN682" t="s">
        <v>43</v>
      </c>
      <c r="AP682" t="s">
        <v>44</v>
      </c>
      <c r="AQ682">
        <v>59.992644915568597</v>
      </c>
      <c r="AR682" t="s">
        <v>86</v>
      </c>
    </row>
    <row r="683" spans="1:44" x14ac:dyDescent="0.3">
      <c r="A683" t="s">
        <v>78</v>
      </c>
      <c r="B683" t="s">
        <v>49</v>
      </c>
      <c r="C683" s="2" t="str">
        <f t="shared" si="10"/>
        <v>Neutral</v>
      </c>
      <c r="D683">
        <v>0.81965660001151197</v>
      </c>
      <c r="E683" t="s">
        <v>47</v>
      </c>
      <c r="F683" t="s">
        <v>56</v>
      </c>
      <c r="G683" t="s">
        <v>57</v>
      </c>
      <c r="H683">
        <v>76</v>
      </c>
      <c r="I683">
        <v>16</v>
      </c>
      <c r="J683">
        <v>3</v>
      </c>
      <c r="K683" t="s">
        <v>57</v>
      </c>
      <c r="L683">
        <v>1</v>
      </c>
      <c r="M683">
        <v>0.97042039997177199</v>
      </c>
      <c r="N683" t="s">
        <v>51</v>
      </c>
      <c r="O683">
        <v>3</v>
      </c>
      <c r="P683">
        <v>16</v>
      </c>
      <c r="Q683">
        <v>76</v>
      </c>
      <c r="R683">
        <v>17</v>
      </c>
      <c r="S683">
        <v>106.424981900025</v>
      </c>
      <c r="X683">
        <v>106.414806500019</v>
      </c>
      <c r="Y683">
        <v>106.424981900025</v>
      </c>
      <c r="Z683">
        <v>106.924586399982</v>
      </c>
      <c r="AA683">
        <v>106.924586399982</v>
      </c>
      <c r="AB683">
        <v>106.924586399982</v>
      </c>
      <c r="AC683">
        <v>107.911709700012</v>
      </c>
      <c r="AD683" t="s">
        <v>57</v>
      </c>
      <c r="AE683">
        <v>1</v>
      </c>
      <c r="AF683">
        <v>0.97042039997177199</v>
      </c>
      <c r="AG683" t="s">
        <v>51</v>
      </c>
      <c r="AK683" t="s">
        <v>93</v>
      </c>
      <c r="AL683">
        <v>1</v>
      </c>
      <c r="AM683" t="s">
        <v>85</v>
      </c>
      <c r="AN683" t="s">
        <v>43</v>
      </c>
      <c r="AP683" t="s">
        <v>44</v>
      </c>
      <c r="AQ683">
        <v>59.992644915568597</v>
      </c>
      <c r="AR683" t="s">
        <v>86</v>
      </c>
    </row>
    <row r="684" spans="1:44" x14ac:dyDescent="0.3">
      <c r="A684" t="s">
        <v>67</v>
      </c>
      <c r="B684" t="s">
        <v>49</v>
      </c>
      <c r="C684" s="2" t="str">
        <f t="shared" si="10"/>
        <v>Neutral</v>
      </c>
      <c r="D684">
        <v>0.89667099999496702</v>
      </c>
      <c r="E684" t="s">
        <v>47</v>
      </c>
      <c r="F684" t="s">
        <v>53</v>
      </c>
      <c r="G684" t="s">
        <v>54</v>
      </c>
      <c r="H684">
        <v>77</v>
      </c>
      <c r="I684">
        <v>17</v>
      </c>
      <c r="J684">
        <v>3</v>
      </c>
      <c r="K684" t="s">
        <v>54</v>
      </c>
      <c r="L684">
        <v>1</v>
      </c>
      <c r="M684">
        <v>0.69643349997932003</v>
      </c>
      <c r="N684" t="s">
        <v>51</v>
      </c>
      <c r="O684">
        <v>3</v>
      </c>
      <c r="P684">
        <v>17</v>
      </c>
      <c r="Q684">
        <v>77</v>
      </c>
      <c r="R684">
        <v>10</v>
      </c>
      <c r="S684">
        <v>107.92432470002601</v>
      </c>
      <c r="X684">
        <v>107.914339400012</v>
      </c>
      <c r="Y684">
        <v>107.92432470002601</v>
      </c>
      <c r="Z684">
        <v>108.42425219999799</v>
      </c>
      <c r="AA684">
        <v>108.42425219999799</v>
      </c>
      <c r="AB684">
        <v>108.42425219999799</v>
      </c>
      <c r="AC684">
        <v>109.12820570002</v>
      </c>
      <c r="AD684" t="s">
        <v>54</v>
      </c>
      <c r="AE684">
        <v>1</v>
      </c>
      <c r="AF684">
        <v>0.69643349997932003</v>
      </c>
      <c r="AG684" t="s">
        <v>51</v>
      </c>
      <c r="AK684" t="s">
        <v>93</v>
      </c>
      <c r="AL684">
        <v>1</v>
      </c>
      <c r="AM684" t="s">
        <v>85</v>
      </c>
      <c r="AN684" t="s">
        <v>43</v>
      </c>
      <c r="AP684" t="s">
        <v>44</v>
      </c>
      <c r="AQ684">
        <v>59.992644915568597</v>
      </c>
      <c r="AR684" t="s">
        <v>86</v>
      </c>
    </row>
    <row r="685" spans="1:44" x14ac:dyDescent="0.3">
      <c r="A685" t="s">
        <v>52</v>
      </c>
      <c r="B685" t="s">
        <v>49</v>
      </c>
      <c r="C685" s="2" t="str">
        <f t="shared" si="10"/>
        <v>Neutral</v>
      </c>
      <c r="D685">
        <v>0.75208359997486696</v>
      </c>
      <c r="E685" t="s">
        <v>47</v>
      </c>
      <c r="F685" t="s">
        <v>53</v>
      </c>
      <c r="G685" t="s">
        <v>54</v>
      </c>
      <c r="H685">
        <v>78</v>
      </c>
      <c r="I685">
        <v>18</v>
      </c>
      <c r="J685">
        <v>3</v>
      </c>
      <c r="K685" t="s">
        <v>54</v>
      </c>
      <c r="L685">
        <v>1</v>
      </c>
      <c r="M685">
        <v>0.49359560001175801</v>
      </c>
      <c r="N685" t="s">
        <v>51</v>
      </c>
      <c r="O685">
        <v>3</v>
      </c>
      <c r="P685">
        <v>18</v>
      </c>
      <c r="Q685">
        <v>78</v>
      </c>
      <c r="R685">
        <v>14</v>
      </c>
      <c r="S685">
        <v>109.142121499986</v>
      </c>
      <c r="X685">
        <v>109.130876199982</v>
      </c>
      <c r="Y685">
        <v>109.142121499986</v>
      </c>
      <c r="Z685">
        <v>109.641120399988</v>
      </c>
      <c r="AA685">
        <v>109.641120399988</v>
      </c>
      <c r="AB685">
        <v>109.641120399988</v>
      </c>
      <c r="AC685">
        <v>110.14458110003</v>
      </c>
      <c r="AD685" t="s">
        <v>54</v>
      </c>
      <c r="AE685">
        <v>1</v>
      </c>
      <c r="AF685">
        <v>0.49359560001175801</v>
      </c>
      <c r="AG685" t="s">
        <v>51</v>
      </c>
      <c r="AK685" t="s">
        <v>93</v>
      </c>
      <c r="AL685">
        <v>1</v>
      </c>
      <c r="AM685" t="s">
        <v>85</v>
      </c>
      <c r="AN685" t="s">
        <v>43</v>
      </c>
      <c r="AP685" t="s">
        <v>44</v>
      </c>
      <c r="AQ685">
        <v>59.992644915568597</v>
      </c>
      <c r="AR685" t="s">
        <v>86</v>
      </c>
    </row>
    <row r="686" spans="1:44" x14ac:dyDescent="0.3">
      <c r="A686" t="s">
        <v>69</v>
      </c>
      <c r="B686" t="s">
        <v>49</v>
      </c>
      <c r="C686" s="2" t="str">
        <f t="shared" si="10"/>
        <v>Emotional-I</v>
      </c>
      <c r="D686">
        <v>0.69367280002916198</v>
      </c>
      <c r="E686" t="s">
        <v>59</v>
      </c>
      <c r="F686" t="s">
        <v>56</v>
      </c>
      <c r="G686" t="s">
        <v>57</v>
      </c>
      <c r="H686">
        <v>79</v>
      </c>
      <c r="I686">
        <v>19</v>
      </c>
      <c r="J686">
        <v>3</v>
      </c>
      <c r="K686" t="s">
        <v>57</v>
      </c>
      <c r="L686">
        <v>1</v>
      </c>
      <c r="M686">
        <v>1.0763615000178099</v>
      </c>
      <c r="N686" t="s">
        <v>51</v>
      </c>
      <c r="O686">
        <v>3</v>
      </c>
      <c r="P686">
        <v>19</v>
      </c>
      <c r="Q686">
        <v>79</v>
      </c>
      <c r="R686">
        <v>5</v>
      </c>
      <c r="S686">
        <v>110.157714300032</v>
      </c>
      <c r="X686">
        <v>110.147223600011</v>
      </c>
      <c r="Y686">
        <v>110.157714300032</v>
      </c>
      <c r="Z686">
        <v>110.658132100012</v>
      </c>
      <c r="AA686">
        <v>110.658132100012</v>
      </c>
      <c r="AB686">
        <v>110.658132100012</v>
      </c>
      <c r="AC686">
        <v>111.745928800024</v>
      </c>
      <c r="AD686" t="s">
        <v>57</v>
      </c>
      <c r="AE686">
        <v>1</v>
      </c>
      <c r="AF686">
        <v>1.0763615000178099</v>
      </c>
      <c r="AG686" t="s">
        <v>51</v>
      </c>
      <c r="AK686" t="s">
        <v>93</v>
      </c>
      <c r="AL686">
        <v>1</v>
      </c>
      <c r="AM686" t="s">
        <v>85</v>
      </c>
      <c r="AN686" t="s">
        <v>43</v>
      </c>
      <c r="AP686" t="s">
        <v>44</v>
      </c>
      <c r="AQ686">
        <v>59.992644915568597</v>
      </c>
      <c r="AR686" t="s">
        <v>86</v>
      </c>
    </row>
    <row r="687" spans="1:44" x14ac:dyDescent="0.3">
      <c r="A687" t="s">
        <v>77</v>
      </c>
      <c r="B687" t="s">
        <v>62</v>
      </c>
      <c r="C687" s="2" t="str">
        <f t="shared" si="10"/>
        <v>Emotional-C</v>
      </c>
      <c r="D687">
        <v>0.90314740000758298</v>
      </c>
      <c r="E687" t="s">
        <v>59</v>
      </c>
      <c r="F687" t="s">
        <v>61</v>
      </c>
      <c r="G687" t="s">
        <v>63</v>
      </c>
      <c r="H687">
        <v>80</v>
      </c>
      <c r="I687">
        <v>0</v>
      </c>
      <c r="J687">
        <v>4</v>
      </c>
      <c r="K687" t="s">
        <v>63</v>
      </c>
      <c r="L687">
        <v>1</v>
      </c>
      <c r="M687">
        <v>0.599536199995782</v>
      </c>
      <c r="N687" t="s">
        <v>51</v>
      </c>
      <c r="O687">
        <v>4</v>
      </c>
      <c r="P687">
        <v>0</v>
      </c>
      <c r="Q687">
        <v>80</v>
      </c>
      <c r="R687">
        <v>4</v>
      </c>
      <c r="S687">
        <v>111.757929600018</v>
      </c>
      <c r="X687">
        <v>111.749162300024</v>
      </c>
      <c r="Y687">
        <v>111.757929600018</v>
      </c>
      <c r="Z687">
        <v>112.257721100002</v>
      </c>
      <c r="AA687">
        <v>112.257721100002</v>
      </c>
      <c r="AB687">
        <v>112.257721100002</v>
      </c>
      <c r="AC687">
        <v>112.86178209999299</v>
      </c>
      <c r="AD687" t="s">
        <v>63</v>
      </c>
      <c r="AE687">
        <v>1</v>
      </c>
      <c r="AF687">
        <v>0.599536199995782</v>
      </c>
      <c r="AG687" t="s">
        <v>51</v>
      </c>
      <c r="AK687" t="s">
        <v>93</v>
      </c>
      <c r="AL687">
        <v>1</v>
      </c>
      <c r="AM687" t="s">
        <v>85</v>
      </c>
      <c r="AN687" t="s">
        <v>43</v>
      </c>
      <c r="AP687" t="s">
        <v>44</v>
      </c>
      <c r="AQ687">
        <v>59.992644915568597</v>
      </c>
      <c r="AR687" t="s">
        <v>86</v>
      </c>
    </row>
    <row r="688" spans="1:44" x14ac:dyDescent="0.3">
      <c r="A688" t="s">
        <v>69</v>
      </c>
      <c r="B688" t="s">
        <v>49</v>
      </c>
      <c r="C688" s="2" t="str">
        <f t="shared" si="10"/>
        <v>Emotional-I</v>
      </c>
      <c r="D688">
        <v>0.67433540005004</v>
      </c>
      <c r="E688" t="s">
        <v>59</v>
      </c>
      <c r="F688" t="s">
        <v>56</v>
      </c>
      <c r="G688" t="s">
        <v>57</v>
      </c>
      <c r="H688">
        <v>81</v>
      </c>
      <c r="I688">
        <v>1</v>
      </c>
      <c r="J688">
        <v>4</v>
      </c>
      <c r="K688" t="s">
        <v>57</v>
      </c>
      <c r="L688">
        <v>1</v>
      </c>
      <c r="M688">
        <v>1.21846679999725</v>
      </c>
      <c r="N688" t="s">
        <v>51</v>
      </c>
      <c r="O688">
        <v>4</v>
      </c>
      <c r="P688">
        <v>1</v>
      </c>
      <c r="Q688">
        <v>81</v>
      </c>
      <c r="R688">
        <v>5</v>
      </c>
      <c r="S688">
        <v>112.87408819998301</v>
      </c>
      <c r="X688">
        <v>112.86481180001201</v>
      </c>
      <c r="Y688">
        <v>112.87408819998301</v>
      </c>
      <c r="Z688">
        <v>113.37456919997901</v>
      </c>
      <c r="AA688">
        <v>113.37456919997901</v>
      </c>
      <c r="AB688">
        <v>113.37456919997901</v>
      </c>
      <c r="AC688">
        <v>114.594705900002</v>
      </c>
      <c r="AD688" t="s">
        <v>57</v>
      </c>
      <c r="AE688">
        <v>1</v>
      </c>
      <c r="AF688">
        <v>1.21846679999725</v>
      </c>
      <c r="AG688" t="s">
        <v>51</v>
      </c>
      <c r="AK688" t="s">
        <v>93</v>
      </c>
      <c r="AL688">
        <v>1</v>
      </c>
      <c r="AM688" t="s">
        <v>85</v>
      </c>
      <c r="AN688" t="s">
        <v>43</v>
      </c>
      <c r="AP688" t="s">
        <v>44</v>
      </c>
      <c r="AQ688">
        <v>59.992644915568597</v>
      </c>
      <c r="AR688" t="s">
        <v>86</v>
      </c>
    </row>
    <row r="689" spans="1:44" x14ac:dyDescent="0.3">
      <c r="A689" t="s">
        <v>64</v>
      </c>
      <c r="B689" t="s">
        <v>49</v>
      </c>
      <c r="C689" s="2" t="str">
        <f t="shared" si="10"/>
        <v>Neutral</v>
      </c>
      <c r="D689">
        <v>1.6011296999640701</v>
      </c>
      <c r="E689" t="s">
        <v>47</v>
      </c>
      <c r="F689" t="s">
        <v>53</v>
      </c>
      <c r="G689" t="s">
        <v>54</v>
      </c>
      <c r="H689">
        <v>82</v>
      </c>
      <c r="I689">
        <v>2</v>
      </c>
      <c r="J689">
        <v>4</v>
      </c>
      <c r="K689" t="s">
        <v>54</v>
      </c>
      <c r="L689">
        <v>1</v>
      </c>
      <c r="M689">
        <v>1.2195034000324001</v>
      </c>
      <c r="N689" t="s">
        <v>51</v>
      </c>
      <c r="O689">
        <v>4</v>
      </c>
      <c r="P689">
        <v>2</v>
      </c>
      <c r="Q689">
        <v>82</v>
      </c>
      <c r="R689">
        <v>18</v>
      </c>
      <c r="S689">
        <v>114.608274500002</v>
      </c>
      <c r="X689">
        <v>114.597170900029</v>
      </c>
      <c r="Y689">
        <v>114.608274500002</v>
      </c>
      <c r="Z689">
        <v>115.10821089998301</v>
      </c>
      <c r="AA689">
        <v>115.10821089998301</v>
      </c>
      <c r="AB689">
        <v>115.10821089998301</v>
      </c>
      <c r="AC689">
        <v>116.328657299978</v>
      </c>
      <c r="AD689" t="s">
        <v>54</v>
      </c>
      <c r="AE689">
        <v>1</v>
      </c>
      <c r="AF689">
        <v>1.2195034000324001</v>
      </c>
      <c r="AG689" t="s">
        <v>51</v>
      </c>
      <c r="AK689" t="s">
        <v>93</v>
      </c>
      <c r="AL689">
        <v>1</v>
      </c>
      <c r="AM689" t="s">
        <v>85</v>
      </c>
      <c r="AN689" t="s">
        <v>43</v>
      </c>
      <c r="AP689" t="s">
        <v>44</v>
      </c>
      <c r="AQ689">
        <v>59.992644915568597</v>
      </c>
      <c r="AR689" t="s">
        <v>86</v>
      </c>
    </row>
    <row r="690" spans="1:44" x14ac:dyDescent="0.3">
      <c r="A690" t="s">
        <v>52</v>
      </c>
      <c r="B690" t="s">
        <v>49</v>
      </c>
      <c r="C690" s="2" t="str">
        <f t="shared" si="10"/>
        <v>Neutral</v>
      </c>
      <c r="D690">
        <v>0.94628159998683203</v>
      </c>
      <c r="E690" t="s">
        <v>47</v>
      </c>
      <c r="F690" t="s">
        <v>53</v>
      </c>
      <c r="G690" t="s">
        <v>54</v>
      </c>
      <c r="H690">
        <v>83</v>
      </c>
      <c r="I690">
        <v>3</v>
      </c>
      <c r="J690">
        <v>4</v>
      </c>
      <c r="K690" t="s">
        <v>54</v>
      </c>
      <c r="L690">
        <v>1</v>
      </c>
      <c r="M690">
        <v>0.53257260000100304</v>
      </c>
      <c r="N690" t="s">
        <v>51</v>
      </c>
      <c r="O690">
        <v>4</v>
      </c>
      <c r="P690">
        <v>3</v>
      </c>
      <c r="Q690">
        <v>83</v>
      </c>
      <c r="R690">
        <v>14</v>
      </c>
      <c r="S690">
        <v>116.340954000013</v>
      </c>
      <c r="X690">
        <v>116.33133630000501</v>
      </c>
      <c r="Y690">
        <v>116.340954000013</v>
      </c>
      <c r="Z690">
        <v>116.841447899991</v>
      </c>
      <c r="AA690">
        <v>116.841447899991</v>
      </c>
      <c r="AB690">
        <v>116.841447899991</v>
      </c>
      <c r="AC690">
        <v>117.379401299986</v>
      </c>
      <c r="AD690" t="s">
        <v>54</v>
      </c>
      <c r="AE690">
        <v>1</v>
      </c>
      <c r="AF690">
        <v>0.53257260000100304</v>
      </c>
      <c r="AG690" t="s">
        <v>51</v>
      </c>
      <c r="AK690" t="s">
        <v>93</v>
      </c>
      <c r="AL690">
        <v>1</v>
      </c>
      <c r="AM690" t="s">
        <v>85</v>
      </c>
      <c r="AN690" t="s">
        <v>43</v>
      </c>
      <c r="AP690" t="s">
        <v>44</v>
      </c>
      <c r="AQ690">
        <v>59.992644915568597</v>
      </c>
      <c r="AR690" t="s">
        <v>86</v>
      </c>
    </row>
    <row r="691" spans="1:44" x14ac:dyDescent="0.3">
      <c r="A691" t="s">
        <v>74</v>
      </c>
      <c r="B691" t="s">
        <v>49</v>
      </c>
      <c r="C691" s="2" t="str">
        <f t="shared" si="10"/>
        <v>Neutral</v>
      </c>
      <c r="D691">
        <v>0.70783080003457099</v>
      </c>
      <c r="E691" t="s">
        <v>47</v>
      </c>
      <c r="F691" t="s">
        <v>48</v>
      </c>
      <c r="G691" t="s">
        <v>50</v>
      </c>
      <c r="H691">
        <v>84</v>
      </c>
      <c r="I691">
        <v>4</v>
      </c>
      <c r="J691">
        <v>4</v>
      </c>
      <c r="K691" t="s">
        <v>50</v>
      </c>
      <c r="L691">
        <v>1</v>
      </c>
      <c r="M691">
        <v>2.2882200000458299</v>
      </c>
      <c r="N691" t="s">
        <v>51</v>
      </c>
      <c r="O691">
        <v>4</v>
      </c>
      <c r="P691">
        <v>4</v>
      </c>
      <c r="Q691">
        <v>84</v>
      </c>
      <c r="R691">
        <v>11</v>
      </c>
      <c r="S691">
        <v>117.390962100005</v>
      </c>
      <c r="X691">
        <v>117.38210990000501</v>
      </c>
      <c r="Y691">
        <v>117.390962100005</v>
      </c>
      <c r="Z691">
        <v>117.890788300021</v>
      </c>
      <c r="AA691">
        <v>117.890788300021</v>
      </c>
      <c r="AB691">
        <v>117.890788300021</v>
      </c>
      <c r="AC691">
        <v>120.194414100027</v>
      </c>
      <c r="AD691" t="s">
        <v>50</v>
      </c>
      <c r="AE691">
        <v>1</v>
      </c>
      <c r="AF691">
        <v>2.2882200000458299</v>
      </c>
      <c r="AG691" t="s">
        <v>51</v>
      </c>
      <c r="AK691" t="s">
        <v>93</v>
      </c>
      <c r="AL691">
        <v>1</v>
      </c>
      <c r="AM691" t="s">
        <v>85</v>
      </c>
      <c r="AN691" t="s">
        <v>43</v>
      </c>
      <c r="AP691" t="s">
        <v>44</v>
      </c>
      <c r="AQ691">
        <v>59.992644915568597</v>
      </c>
      <c r="AR691" t="s">
        <v>86</v>
      </c>
    </row>
    <row r="692" spans="1:44" x14ac:dyDescent="0.3">
      <c r="A692" t="s">
        <v>65</v>
      </c>
      <c r="B692" t="s">
        <v>49</v>
      </c>
      <c r="C692" s="2" t="str">
        <f t="shared" si="10"/>
        <v>Emotional-I</v>
      </c>
      <c r="D692">
        <v>0.98288870003307205</v>
      </c>
      <c r="E692" t="s">
        <v>59</v>
      </c>
      <c r="F692" t="s">
        <v>56</v>
      </c>
      <c r="G692" t="s">
        <v>57</v>
      </c>
      <c r="H692">
        <v>85</v>
      </c>
      <c r="I692">
        <v>5</v>
      </c>
      <c r="J692">
        <v>4</v>
      </c>
      <c r="K692" t="s">
        <v>57</v>
      </c>
      <c r="L692">
        <v>1</v>
      </c>
      <c r="M692">
        <v>0.82002709998050705</v>
      </c>
      <c r="N692" t="s">
        <v>51</v>
      </c>
      <c r="O692">
        <v>4</v>
      </c>
      <c r="P692">
        <v>5</v>
      </c>
      <c r="Q692">
        <v>85</v>
      </c>
      <c r="R692">
        <v>9</v>
      </c>
      <c r="S692">
        <v>120.207353200006</v>
      </c>
      <c r="X692">
        <v>120.197214299987</v>
      </c>
      <c r="Y692">
        <v>120.207353200006</v>
      </c>
      <c r="Z692">
        <v>120.707289999991</v>
      </c>
      <c r="AA692">
        <v>120.707289999991</v>
      </c>
      <c r="AB692">
        <v>120.707289999991</v>
      </c>
      <c r="AC692">
        <v>121.528206199989</v>
      </c>
      <c r="AD692" t="s">
        <v>57</v>
      </c>
      <c r="AE692">
        <v>1</v>
      </c>
      <c r="AF692">
        <v>0.82002709998050705</v>
      </c>
      <c r="AG692" t="s">
        <v>51</v>
      </c>
      <c r="AK692" t="s">
        <v>93</v>
      </c>
      <c r="AL692">
        <v>1</v>
      </c>
      <c r="AM692" t="s">
        <v>85</v>
      </c>
      <c r="AN692" t="s">
        <v>43</v>
      </c>
      <c r="AP692" t="s">
        <v>44</v>
      </c>
      <c r="AQ692">
        <v>59.992644915568597</v>
      </c>
      <c r="AR692" t="s">
        <v>86</v>
      </c>
    </row>
    <row r="693" spans="1:44" x14ac:dyDescent="0.3">
      <c r="A693" t="s">
        <v>78</v>
      </c>
      <c r="B693" t="s">
        <v>49</v>
      </c>
      <c r="C693" s="2" t="str">
        <f t="shared" si="10"/>
        <v>Neutral</v>
      </c>
      <c r="D693">
        <v>1.9289894999819801</v>
      </c>
      <c r="E693" t="s">
        <v>47</v>
      </c>
      <c r="F693" t="s">
        <v>56</v>
      </c>
      <c r="G693" t="s">
        <v>57</v>
      </c>
      <c r="H693">
        <v>86</v>
      </c>
      <c r="I693">
        <v>6</v>
      </c>
      <c r="J693">
        <v>4</v>
      </c>
      <c r="K693" t="s">
        <v>57</v>
      </c>
      <c r="L693">
        <v>1</v>
      </c>
      <c r="M693">
        <v>0.71335420000832495</v>
      </c>
      <c r="N693" t="s">
        <v>51</v>
      </c>
      <c r="O693">
        <v>4</v>
      </c>
      <c r="P693">
        <v>6</v>
      </c>
      <c r="Q693">
        <v>86</v>
      </c>
      <c r="R693">
        <v>17</v>
      </c>
      <c r="S693">
        <v>121.541450700024</v>
      </c>
      <c r="X693">
        <v>121.531754399999</v>
      </c>
      <c r="Y693">
        <v>121.541450700024</v>
      </c>
      <c r="Z693">
        <v>122.04095970001001</v>
      </c>
      <c r="AA693">
        <v>122.04095970001001</v>
      </c>
      <c r="AB693">
        <v>122.04095970001001</v>
      </c>
      <c r="AC693">
        <v>122.76104240002999</v>
      </c>
      <c r="AD693" t="s">
        <v>57</v>
      </c>
      <c r="AE693">
        <v>1</v>
      </c>
      <c r="AF693">
        <v>0.71335420000832495</v>
      </c>
      <c r="AG693" t="s">
        <v>51</v>
      </c>
      <c r="AK693" t="s">
        <v>93</v>
      </c>
      <c r="AL693">
        <v>1</v>
      </c>
      <c r="AM693" t="s">
        <v>85</v>
      </c>
      <c r="AN693" t="s">
        <v>43</v>
      </c>
      <c r="AP693" t="s">
        <v>44</v>
      </c>
      <c r="AQ693">
        <v>59.992644915568597</v>
      </c>
      <c r="AR693" t="s">
        <v>86</v>
      </c>
    </row>
    <row r="694" spans="1:44" x14ac:dyDescent="0.3">
      <c r="A694" t="s">
        <v>58</v>
      </c>
      <c r="B694" t="s">
        <v>49</v>
      </c>
      <c r="C694" s="2" t="str">
        <f t="shared" si="10"/>
        <v>Emotional-I</v>
      </c>
      <c r="D694">
        <v>1.45297590002883</v>
      </c>
      <c r="E694" t="s">
        <v>59</v>
      </c>
      <c r="F694" t="s">
        <v>48</v>
      </c>
      <c r="G694" t="s">
        <v>50</v>
      </c>
      <c r="H694">
        <v>87</v>
      </c>
      <c r="I694">
        <v>7</v>
      </c>
      <c r="J694">
        <v>4</v>
      </c>
      <c r="K694" t="s">
        <v>50</v>
      </c>
      <c r="L694">
        <v>1</v>
      </c>
      <c r="M694">
        <v>0.86942110001109496</v>
      </c>
      <c r="N694" t="s">
        <v>51</v>
      </c>
      <c r="O694">
        <v>4</v>
      </c>
      <c r="P694">
        <v>7</v>
      </c>
      <c r="Q694">
        <v>87</v>
      </c>
      <c r="R694">
        <v>7</v>
      </c>
      <c r="S694">
        <v>122.774376699991</v>
      </c>
      <c r="X694">
        <v>122.763863000029</v>
      </c>
      <c r="Y694">
        <v>122.774376699991</v>
      </c>
      <c r="Z694">
        <v>123.273795099987</v>
      </c>
      <c r="AA694">
        <v>123.273795099987</v>
      </c>
      <c r="AB694">
        <v>123.273795099987</v>
      </c>
      <c r="AC694">
        <v>124.144676399999</v>
      </c>
      <c r="AD694" t="s">
        <v>50</v>
      </c>
      <c r="AE694">
        <v>1</v>
      </c>
      <c r="AF694">
        <v>0.86942110001109496</v>
      </c>
      <c r="AG694" t="s">
        <v>51</v>
      </c>
      <c r="AK694" t="s">
        <v>93</v>
      </c>
      <c r="AL694">
        <v>1</v>
      </c>
      <c r="AM694" t="s">
        <v>85</v>
      </c>
      <c r="AN694" t="s">
        <v>43</v>
      </c>
      <c r="AP694" t="s">
        <v>44</v>
      </c>
      <c r="AQ694">
        <v>59.992644915568597</v>
      </c>
      <c r="AR694" t="s">
        <v>86</v>
      </c>
    </row>
    <row r="695" spans="1:44" x14ac:dyDescent="0.3">
      <c r="A695" t="s">
        <v>68</v>
      </c>
      <c r="B695" t="s">
        <v>49</v>
      </c>
      <c r="C695" s="2" t="str">
        <f t="shared" si="10"/>
        <v>Emotional-I</v>
      </c>
      <c r="D695">
        <v>0.73400709999259495</v>
      </c>
      <c r="E695" t="s">
        <v>59</v>
      </c>
      <c r="F695" t="s">
        <v>53</v>
      </c>
      <c r="G695" t="s">
        <v>54</v>
      </c>
      <c r="H695">
        <v>88</v>
      </c>
      <c r="I695">
        <v>8</v>
      </c>
      <c r="J695">
        <v>4</v>
      </c>
      <c r="K695" t="s">
        <v>54</v>
      </c>
      <c r="L695">
        <v>1</v>
      </c>
      <c r="M695">
        <v>0.88416150002740301</v>
      </c>
      <c r="N695" t="s">
        <v>51</v>
      </c>
      <c r="O695">
        <v>4</v>
      </c>
      <c r="P695">
        <v>8</v>
      </c>
      <c r="Q695">
        <v>88</v>
      </c>
      <c r="R695">
        <v>6</v>
      </c>
      <c r="S695">
        <v>124.15706040000001</v>
      </c>
      <c r="X695">
        <v>124.14736900001201</v>
      </c>
      <c r="Y695">
        <v>124.15706040000001</v>
      </c>
      <c r="Z695">
        <v>124.657018899975</v>
      </c>
      <c r="AA695">
        <v>124.657018899975</v>
      </c>
      <c r="AB695">
        <v>124.657018899975</v>
      </c>
      <c r="AC695">
        <v>125.544871499994</v>
      </c>
      <c r="AD695" t="s">
        <v>54</v>
      </c>
      <c r="AE695">
        <v>1</v>
      </c>
      <c r="AF695">
        <v>0.88416150002740301</v>
      </c>
      <c r="AG695" t="s">
        <v>51</v>
      </c>
      <c r="AK695" t="s">
        <v>93</v>
      </c>
      <c r="AL695">
        <v>1</v>
      </c>
      <c r="AM695" t="s">
        <v>85</v>
      </c>
      <c r="AN695" t="s">
        <v>43</v>
      </c>
      <c r="AP695" t="s">
        <v>44</v>
      </c>
      <c r="AQ695">
        <v>59.992644915568597</v>
      </c>
      <c r="AR695" t="s">
        <v>86</v>
      </c>
    </row>
    <row r="696" spans="1:44" x14ac:dyDescent="0.3">
      <c r="A696" t="s">
        <v>71</v>
      </c>
      <c r="B696" t="s">
        <v>49</v>
      </c>
      <c r="C696" s="2" t="str">
        <f t="shared" si="10"/>
        <v>Neutral</v>
      </c>
      <c r="D696">
        <v>1.2702166999806599</v>
      </c>
      <c r="E696" t="s">
        <v>47</v>
      </c>
      <c r="F696" t="s">
        <v>48</v>
      </c>
      <c r="G696" t="s">
        <v>50</v>
      </c>
      <c r="H696">
        <v>89</v>
      </c>
      <c r="I696">
        <v>9</v>
      </c>
      <c r="J696">
        <v>4</v>
      </c>
      <c r="K696" t="s">
        <v>50</v>
      </c>
      <c r="L696">
        <v>1</v>
      </c>
      <c r="M696">
        <v>1.31851220002863</v>
      </c>
      <c r="N696" t="s">
        <v>51</v>
      </c>
      <c r="O696">
        <v>4</v>
      </c>
      <c r="P696">
        <v>9</v>
      </c>
      <c r="Q696">
        <v>89</v>
      </c>
      <c r="R696">
        <v>15</v>
      </c>
      <c r="S696">
        <v>125.55700640002</v>
      </c>
      <c r="X696">
        <v>125.54760360001799</v>
      </c>
      <c r="Y696">
        <v>125.55700640002</v>
      </c>
      <c r="Z696">
        <v>126.05752450000701</v>
      </c>
      <c r="AA696">
        <v>126.05752450000701</v>
      </c>
      <c r="AB696">
        <v>126.05752450000701</v>
      </c>
      <c r="AC696">
        <v>127.377782399998</v>
      </c>
      <c r="AD696" t="s">
        <v>50</v>
      </c>
      <c r="AE696">
        <v>1</v>
      </c>
      <c r="AF696">
        <v>1.31851220002863</v>
      </c>
      <c r="AG696" t="s">
        <v>51</v>
      </c>
      <c r="AK696" t="s">
        <v>93</v>
      </c>
      <c r="AL696">
        <v>1</v>
      </c>
      <c r="AM696" t="s">
        <v>85</v>
      </c>
      <c r="AN696" t="s">
        <v>43</v>
      </c>
      <c r="AP696" t="s">
        <v>44</v>
      </c>
      <c r="AQ696">
        <v>59.992644915568597</v>
      </c>
      <c r="AR696" t="s">
        <v>86</v>
      </c>
    </row>
    <row r="697" spans="1:44" x14ac:dyDescent="0.3">
      <c r="A697" t="s">
        <v>72</v>
      </c>
      <c r="B697" t="s">
        <v>62</v>
      </c>
      <c r="C697" s="2" t="str">
        <f t="shared" si="10"/>
        <v>Emotional-C</v>
      </c>
      <c r="D697">
        <v>0.56307430000742897</v>
      </c>
      <c r="E697" t="s">
        <v>59</v>
      </c>
      <c r="F697" t="s">
        <v>61</v>
      </c>
      <c r="G697" t="s">
        <v>63</v>
      </c>
      <c r="H697">
        <v>90</v>
      </c>
      <c r="I697">
        <v>10</v>
      </c>
      <c r="J697">
        <v>4</v>
      </c>
      <c r="K697" t="s">
        <v>63</v>
      </c>
      <c r="L697">
        <v>1</v>
      </c>
      <c r="M697">
        <v>0.660410200012847</v>
      </c>
      <c r="N697" t="s">
        <v>51</v>
      </c>
      <c r="O697">
        <v>4</v>
      </c>
      <c r="P697">
        <v>10</v>
      </c>
      <c r="Q697">
        <v>90</v>
      </c>
      <c r="R697">
        <v>8</v>
      </c>
      <c r="S697">
        <v>127.390355399984</v>
      </c>
      <c r="X697">
        <v>127.381447700026</v>
      </c>
      <c r="Y697">
        <v>127.390355399984</v>
      </c>
      <c r="Z697">
        <v>127.890576799982</v>
      </c>
      <c r="AA697">
        <v>127.890576799982</v>
      </c>
      <c r="AB697">
        <v>127.890576799982</v>
      </c>
      <c r="AC697">
        <v>128.560973300016</v>
      </c>
      <c r="AD697" t="s">
        <v>63</v>
      </c>
      <c r="AE697">
        <v>1</v>
      </c>
      <c r="AF697">
        <v>0.660410200012847</v>
      </c>
      <c r="AG697" t="s">
        <v>51</v>
      </c>
      <c r="AK697" t="s">
        <v>93</v>
      </c>
      <c r="AL697">
        <v>1</v>
      </c>
      <c r="AM697" t="s">
        <v>85</v>
      </c>
      <c r="AN697" t="s">
        <v>43</v>
      </c>
      <c r="AP697" t="s">
        <v>44</v>
      </c>
      <c r="AQ697">
        <v>59.992644915568597</v>
      </c>
      <c r="AR697" t="s">
        <v>86</v>
      </c>
    </row>
    <row r="698" spans="1:44" x14ac:dyDescent="0.3">
      <c r="A698" t="s">
        <v>67</v>
      </c>
      <c r="B698" t="s">
        <v>49</v>
      </c>
      <c r="C698" s="2" t="str">
        <f t="shared" si="10"/>
        <v>Neutral</v>
      </c>
      <c r="D698">
        <v>1.2469727999996301</v>
      </c>
      <c r="E698" t="s">
        <v>47</v>
      </c>
      <c r="F698" t="s">
        <v>53</v>
      </c>
      <c r="G698" t="s">
        <v>54</v>
      </c>
      <c r="H698">
        <v>91</v>
      </c>
      <c r="I698">
        <v>11</v>
      </c>
      <c r="J698">
        <v>4</v>
      </c>
      <c r="K698" t="s">
        <v>54</v>
      </c>
      <c r="L698">
        <v>1</v>
      </c>
      <c r="M698">
        <v>0.76956929999869295</v>
      </c>
      <c r="N698" t="s">
        <v>51</v>
      </c>
      <c r="O698">
        <v>4</v>
      </c>
      <c r="P698">
        <v>11</v>
      </c>
      <c r="Q698">
        <v>91</v>
      </c>
      <c r="R698">
        <v>10</v>
      </c>
      <c r="S698">
        <v>128.57347930001501</v>
      </c>
      <c r="X698">
        <v>128.56356350000701</v>
      </c>
      <c r="Y698">
        <v>128.57347930001501</v>
      </c>
      <c r="Z698">
        <v>129.07370379997801</v>
      </c>
      <c r="AA698">
        <v>129.07370379997801</v>
      </c>
      <c r="AB698">
        <v>129.07370379997801</v>
      </c>
      <c r="AC698">
        <v>129.84417840000199</v>
      </c>
      <c r="AD698" t="s">
        <v>54</v>
      </c>
      <c r="AE698">
        <v>1</v>
      </c>
      <c r="AF698">
        <v>0.76956929999869295</v>
      </c>
      <c r="AG698" t="s">
        <v>51</v>
      </c>
      <c r="AK698" t="s">
        <v>93</v>
      </c>
      <c r="AL698">
        <v>1</v>
      </c>
      <c r="AM698" t="s">
        <v>85</v>
      </c>
      <c r="AN698" t="s">
        <v>43</v>
      </c>
      <c r="AP698" t="s">
        <v>44</v>
      </c>
      <c r="AQ698">
        <v>59.992644915568597</v>
      </c>
      <c r="AR698" t="s">
        <v>86</v>
      </c>
    </row>
    <row r="699" spans="1:44" x14ac:dyDescent="0.3">
      <c r="A699" t="s">
        <v>66</v>
      </c>
      <c r="B699" t="s">
        <v>49</v>
      </c>
      <c r="C699" s="2" t="str">
        <f t="shared" si="10"/>
        <v>Neutral</v>
      </c>
      <c r="D699">
        <v>0.93467079999390901</v>
      </c>
      <c r="E699" t="s">
        <v>47</v>
      </c>
      <c r="F699" t="s">
        <v>61</v>
      </c>
      <c r="G699" t="s">
        <v>63</v>
      </c>
      <c r="H699">
        <v>92</v>
      </c>
      <c r="I699">
        <v>12</v>
      </c>
      <c r="J699">
        <v>4</v>
      </c>
      <c r="K699" t="s">
        <v>63</v>
      </c>
      <c r="L699">
        <v>1</v>
      </c>
      <c r="M699">
        <v>0.79475280002225102</v>
      </c>
      <c r="N699" t="s">
        <v>51</v>
      </c>
      <c r="O699">
        <v>4</v>
      </c>
      <c r="P699">
        <v>12</v>
      </c>
      <c r="Q699">
        <v>92</v>
      </c>
      <c r="R699">
        <v>12</v>
      </c>
      <c r="S699">
        <v>129.856952000001</v>
      </c>
      <c r="X699">
        <v>129.84722009999601</v>
      </c>
      <c r="Y699">
        <v>129.856952000001</v>
      </c>
      <c r="Z699">
        <v>130.35698650003101</v>
      </c>
      <c r="AA699">
        <v>130.35698650003101</v>
      </c>
      <c r="AB699">
        <v>130.35698650003101</v>
      </c>
      <c r="AC699">
        <v>131.160433100012</v>
      </c>
      <c r="AD699" t="s">
        <v>63</v>
      </c>
      <c r="AE699">
        <v>1</v>
      </c>
      <c r="AF699">
        <v>0.79475280002225102</v>
      </c>
      <c r="AG699" t="s">
        <v>51</v>
      </c>
      <c r="AK699" t="s">
        <v>93</v>
      </c>
      <c r="AL699">
        <v>1</v>
      </c>
      <c r="AM699" t="s">
        <v>85</v>
      </c>
      <c r="AN699" t="s">
        <v>43</v>
      </c>
      <c r="AP699" t="s">
        <v>44</v>
      </c>
      <c r="AQ699">
        <v>59.992644915568597</v>
      </c>
      <c r="AR699" t="s">
        <v>86</v>
      </c>
    </row>
    <row r="700" spans="1:44" x14ac:dyDescent="0.3">
      <c r="A700" t="s">
        <v>73</v>
      </c>
      <c r="B700" t="s">
        <v>49</v>
      </c>
      <c r="C700" s="2" t="str">
        <f t="shared" si="10"/>
        <v>Emotional-I</v>
      </c>
      <c r="D700">
        <v>0.76330910000251595</v>
      </c>
      <c r="E700" t="s">
        <v>59</v>
      </c>
      <c r="F700" t="s">
        <v>56</v>
      </c>
      <c r="G700" t="s">
        <v>57</v>
      </c>
      <c r="H700">
        <v>93</v>
      </c>
      <c r="I700">
        <v>13</v>
      </c>
      <c r="J700">
        <v>4</v>
      </c>
      <c r="K700" t="s">
        <v>57</v>
      </c>
      <c r="L700">
        <v>1</v>
      </c>
      <c r="M700">
        <v>0.67508880002424099</v>
      </c>
      <c r="N700" t="s">
        <v>51</v>
      </c>
      <c r="O700">
        <v>4</v>
      </c>
      <c r="P700">
        <v>13</v>
      </c>
      <c r="Q700">
        <v>93</v>
      </c>
      <c r="R700">
        <v>1</v>
      </c>
      <c r="S700">
        <v>131.17392540001299</v>
      </c>
      <c r="X700">
        <v>131.163097899989</v>
      </c>
      <c r="Y700">
        <v>131.17392540001299</v>
      </c>
      <c r="Z700">
        <v>131.67369530000701</v>
      </c>
      <c r="AA700">
        <v>131.67369530000701</v>
      </c>
      <c r="AB700">
        <v>131.67369530000701</v>
      </c>
      <c r="AC700">
        <v>132.361565599974</v>
      </c>
      <c r="AD700" t="s">
        <v>57</v>
      </c>
      <c r="AE700">
        <v>1</v>
      </c>
      <c r="AF700">
        <v>0.67508880002424099</v>
      </c>
      <c r="AG700" t="s">
        <v>51</v>
      </c>
      <c r="AK700" t="s">
        <v>93</v>
      </c>
      <c r="AL700">
        <v>1</v>
      </c>
      <c r="AM700" t="s">
        <v>85</v>
      </c>
      <c r="AN700" t="s">
        <v>43</v>
      </c>
      <c r="AP700" t="s">
        <v>44</v>
      </c>
      <c r="AQ700">
        <v>59.992644915568597</v>
      </c>
      <c r="AR700" t="s">
        <v>86</v>
      </c>
    </row>
    <row r="701" spans="1:44" x14ac:dyDescent="0.3">
      <c r="A701" t="s">
        <v>46</v>
      </c>
      <c r="B701" t="s">
        <v>49</v>
      </c>
      <c r="C701" s="2" t="str">
        <f t="shared" si="10"/>
        <v>Neutral</v>
      </c>
      <c r="D701">
        <v>0.56673710001632505</v>
      </c>
      <c r="E701" t="s">
        <v>47</v>
      </c>
      <c r="F701" t="s">
        <v>48</v>
      </c>
      <c r="G701" t="s">
        <v>50</v>
      </c>
      <c r="H701">
        <v>94</v>
      </c>
      <c r="I701">
        <v>14</v>
      </c>
      <c r="J701">
        <v>4</v>
      </c>
      <c r="K701" t="s">
        <v>50</v>
      </c>
      <c r="L701">
        <v>1</v>
      </c>
      <c r="M701">
        <v>0.83827820001169995</v>
      </c>
      <c r="N701" t="s">
        <v>51</v>
      </c>
      <c r="O701">
        <v>4</v>
      </c>
      <c r="P701">
        <v>14</v>
      </c>
      <c r="Q701">
        <v>94</v>
      </c>
      <c r="R701">
        <v>19</v>
      </c>
      <c r="S701">
        <v>132.374490400019</v>
      </c>
      <c r="X701">
        <v>132.36540140002</v>
      </c>
      <c r="Y701">
        <v>132.374490400019</v>
      </c>
      <c r="Z701">
        <v>132.87382520001799</v>
      </c>
      <c r="AA701">
        <v>132.87382520001799</v>
      </c>
      <c r="AB701">
        <v>132.87382520001799</v>
      </c>
      <c r="AC701">
        <v>133.72790970001299</v>
      </c>
      <c r="AD701" t="s">
        <v>50</v>
      </c>
      <c r="AE701">
        <v>1</v>
      </c>
      <c r="AF701">
        <v>0.83827820001169995</v>
      </c>
      <c r="AG701" t="s">
        <v>51</v>
      </c>
      <c r="AK701" t="s">
        <v>93</v>
      </c>
      <c r="AL701">
        <v>1</v>
      </c>
      <c r="AM701" t="s">
        <v>85</v>
      </c>
      <c r="AN701" t="s">
        <v>43</v>
      </c>
      <c r="AP701" t="s">
        <v>44</v>
      </c>
      <c r="AQ701">
        <v>59.992644915568597</v>
      </c>
      <c r="AR701" t="s">
        <v>86</v>
      </c>
    </row>
    <row r="702" spans="1:44" x14ac:dyDescent="0.3">
      <c r="A702" t="s">
        <v>60</v>
      </c>
      <c r="B702" t="s">
        <v>62</v>
      </c>
      <c r="C702" s="2" t="str">
        <f t="shared" si="10"/>
        <v>Emotional-C</v>
      </c>
      <c r="D702">
        <v>0.49799859995255202</v>
      </c>
      <c r="E702" t="s">
        <v>59</v>
      </c>
      <c r="F702" t="s">
        <v>61</v>
      </c>
      <c r="G702" t="s">
        <v>63</v>
      </c>
      <c r="H702">
        <v>95</v>
      </c>
      <c r="I702">
        <v>15</v>
      </c>
      <c r="J702">
        <v>4</v>
      </c>
      <c r="K702" t="s">
        <v>63</v>
      </c>
      <c r="L702">
        <v>1</v>
      </c>
      <c r="M702">
        <v>0.97618420002981998</v>
      </c>
      <c r="N702" t="s">
        <v>51</v>
      </c>
      <c r="O702">
        <v>4</v>
      </c>
      <c r="P702">
        <v>15</v>
      </c>
      <c r="Q702">
        <v>95</v>
      </c>
      <c r="R702">
        <v>0</v>
      </c>
      <c r="S702">
        <v>133.73989159998001</v>
      </c>
      <c r="X702">
        <v>133.73096170002799</v>
      </c>
      <c r="Y702">
        <v>133.73989159998001</v>
      </c>
      <c r="Z702">
        <v>134.24037810001701</v>
      </c>
      <c r="AA702">
        <v>134.24037810001701</v>
      </c>
      <c r="AB702">
        <v>134.24037810001701</v>
      </c>
      <c r="AC702">
        <v>135.226892800012</v>
      </c>
      <c r="AD702" t="s">
        <v>63</v>
      </c>
      <c r="AE702">
        <v>1</v>
      </c>
      <c r="AF702">
        <v>0.97618420002981998</v>
      </c>
      <c r="AG702" t="s">
        <v>51</v>
      </c>
      <c r="AK702" t="s">
        <v>93</v>
      </c>
      <c r="AL702">
        <v>1</v>
      </c>
      <c r="AM702" t="s">
        <v>85</v>
      </c>
      <c r="AN702" t="s">
        <v>43</v>
      </c>
      <c r="AP702" t="s">
        <v>44</v>
      </c>
      <c r="AQ702">
        <v>59.992644915568597</v>
      </c>
      <c r="AR702" t="s">
        <v>86</v>
      </c>
    </row>
    <row r="703" spans="1:44" x14ac:dyDescent="0.3">
      <c r="A703" t="s">
        <v>76</v>
      </c>
      <c r="B703" t="s">
        <v>49</v>
      </c>
      <c r="C703" s="2" t="str">
        <f t="shared" si="10"/>
        <v>Emotional-I</v>
      </c>
      <c r="D703">
        <v>0.66056620003655497</v>
      </c>
      <c r="E703" t="s">
        <v>59</v>
      </c>
      <c r="F703" t="s">
        <v>48</v>
      </c>
      <c r="G703" t="s">
        <v>50</v>
      </c>
      <c r="H703">
        <v>96</v>
      </c>
      <c r="I703">
        <v>16</v>
      </c>
      <c r="J703">
        <v>4</v>
      </c>
      <c r="K703" t="s">
        <v>50</v>
      </c>
      <c r="L703">
        <v>1</v>
      </c>
      <c r="M703">
        <v>0.67389320000074804</v>
      </c>
      <c r="N703" t="s">
        <v>51</v>
      </c>
      <c r="O703">
        <v>4</v>
      </c>
      <c r="P703">
        <v>16</v>
      </c>
      <c r="Q703">
        <v>96</v>
      </c>
      <c r="R703">
        <v>3</v>
      </c>
      <c r="S703">
        <v>135.23995509999801</v>
      </c>
      <c r="X703">
        <v>135.230043800023</v>
      </c>
      <c r="Y703">
        <v>135.23995509999801</v>
      </c>
      <c r="Z703">
        <v>135.740429500001</v>
      </c>
      <c r="AA703">
        <v>135.740429500001</v>
      </c>
      <c r="AB703">
        <v>135.740429500001</v>
      </c>
      <c r="AC703">
        <v>136.428683199977</v>
      </c>
      <c r="AD703" t="s">
        <v>50</v>
      </c>
      <c r="AE703">
        <v>1</v>
      </c>
      <c r="AF703">
        <v>0.67389320000074804</v>
      </c>
      <c r="AG703" t="s">
        <v>51</v>
      </c>
      <c r="AK703" t="s">
        <v>93</v>
      </c>
      <c r="AL703">
        <v>1</v>
      </c>
      <c r="AM703" t="s">
        <v>85</v>
      </c>
      <c r="AN703" t="s">
        <v>43</v>
      </c>
      <c r="AP703" t="s">
        <v>44</v>
      </c>
      <c r="AQ703">
        <v>59.992644915568597</v>
      </c>
      <c r="AR703" t="s">
        <v>86</v>
      </c>
    </row>
    <row r="704" spans="1:44" x14ac:dyDescent="0.3">
      <c r="A704" t="s">
        <v>70</v>
      </c>
      <c r="B704" t="s">
        <v>49</v>
      </c>
      <c r="C704" s="2" t="str">
        <f t="shared" si="10"/>
        <v>Emotional-I</v>
      </c>
      <c r="D704">
        <v>0.54139500000746899</v>
      </c>
      <c r="E704" t="s">
        <v>59</v>
      </c>
      <c r="F704" t="s">
        <v>53</v>
      </c>
      <c r="G704" t="s">
        <v>54</v>
      </c>
      <c r="H704">
        <v>97</v>
      </c>
      <c r="I704">
        <v>17</v>
      </c>
      <c r="J704">
        <v>4</v>
      </c>
      <c r="K704" t="s">
        <v>54</v>
      </c>
      <c r="L704">
        <v>1</v>
      </c>
      <c r="M704">
        <v>0.46736430004238999</v>
      </c>
      <c r="N704" t="s">
        <v>51</v>
      </c>
      <c r="O704">
        <v>4</v>
      </c>
      <c r="P704">
        <v>17</v>
      </c>
      <c r="Q704">
        <v>97</v>
      </c>
      <c r="R704">
        <v>2</v>
      </c>
      <c r="S704">
        <v>136.43963789998</v>
      </c>
      <c r="X704">
        <v>136.43204560002701</v>
      </c>
      <c r="Y704">
        <v>136.43963789998</v>
      </c>
      <c r="Z704">
        <v>136.94044049998001</v>
      </c>
      <c r="AA704">
        <v>136.94044049998001</v>
      </c>
      <c r="AB704">
        <v>136.94044049998001</v>
      </c>
      <c r="AC704">
        <v>137.41107780003199</v>
      </c>
      <c r="AD704" t="s">
        <v>54</v>
      </c>
      <c r="AE704">
        <v>1</v>
      </c>
      <c r="AF704">
        <v>0.46736430004238999</v>
      </c>
      <c r="AG704" t="s">
        <v>51</v>
      </c>
      <c r="AK704" t="s">
        <v>93</v>
      </c>
      <c r="AL704">
        <v>1</v>
      </c>
      <c r="AM704" t="s">
        <v>85</v>
      </c>
      <c r="AN704" t="s">
        <v>43</v>
      </c>
      <c r="AP704" t="s">
        <v>44</v>
      </c>
      <c r="AQ704">
        <v>59.992644915568597</v>
      </c>
      <c r="AR704" t="s">
        <v>86</v>
      </c>
    </row>
    <row r="705" spans="1:44" x14ac:dyDescent="0.3">
      <c r="A705" t="s">
        <v>55</v>
      </c>
      <c r="B705" t="s">
        <v>49</v>
      </c>
      <c r="C705" s="2" t="str">
        <f t="shared" si="10"/>
        <v>Neutral</v>
      </c>
      <c r="D705">
        <v>0.73760569997830305</v>
      </c>
      <c r="E705" t="s">
        <v>47</v>
      </c>
      <c r="F705" t="s">
        <v>56</v>
      </c>
      <c r="G705" t="s">
        <v>57</v>
      </c>
      <c r="H705">
        <v>98</v>
      </c>
      <c r="I705">
        <v>18</v>
      </c>
      <c r="J705">
        <v>4</v>
      </c>
      <c r="K705" t="s">
        <v>57</v>
      </c>
      <c r="L705">
        <v>1</v>
      </c>
      <c r="M705">
        <v>0.42361409997101801</v>
      </c>
      <c r="N705" t="s">
        <v>51</v>
      </c>
      <c r="O705">
        <v>4</v>
      </c>
      <c r="P705">
        <v>18</v>
      </c>
      <c r="Q705">
        <v>98</v>
      </c>
      <c r="R705">
        <v>13</v>
      </c>
      <c r="S705">
        <v>137.42340889997999</v>
      </c>
      <c r="X705">
        <v>137.41368430003001</v>
      </c>
      <c r="Y705">
        <v>137.42340889997999</v>
      </c>
      <c r="Z705">
        <v>137.92323770001499</v>
      </c>
      <c r="AA705">
        <v>137.92323770001499</v>
      </c>
      <c r="AB705">
        <v>137.92323770001499</v>
      </c>
      <c r="AC705">
        <v>138.36021020001499</v>
      </c>
      <c r="AD705" t="s">
        <v>57</v>
      </c>
      <c r="AE705">
        <v>1</v>
      </c>
      <c r="AF705">
        <v>0.42361409997101801</v>
      </c>
      <c r="AG705" t="s">
        <v>51</v>
      </c>
      <c r="AK705" t="s">
        <v>93</v>
      </c>
      <c r="AL705">
        <v>1</v>
      </c>
      <c r="AM705" t="s">
        <v>85</v>
      </c>
      <c r="AN705" t="s">
        <v>43</v>
      </c>
      <c r="AP705" t="s">
        <v>44</v>
      </c>
      <c r="AQ705">
        <v>59.992644915568597</v>
      </c>
      <c r="AR705" t="s">
        <v>86</v>
      </c>
    </row>
    <row r="706" spans="1:44" x14ac:dyDescent="0.3">
      <c r="A706" t="s">
        <v>75</v>
      </c>
      <c r="B706" t="s">
        <v>49</v>
      </c>
      <c r="C706" s="2" t="str">
        <f t="shared" ref="C706:C769" si="11">IF(E706="neutral","Neutral",
IF(AND(E706="emotional",B706="C"),"Emotional-C",
IF(AND(E706="emotional",B706="I"),"Emotional-I","")))</f>
        <v>Neutral</v>
      </c>
      <c r="D706">
        <v>0.56995279999682602</v>
      </c>
      <c r="E706" t="s">
        <v>47</v>
      </c>
      <c r="F706" t="s">
        <v>61</v>
      </c>
      <c r="G706" t="s">
        <v>63</v>
      </c>
      <c r="H706">
        <v>99</v>
      </c>
      <c r="I706">
        <v>19</v>
      </c>
      <c r="J706">
        <v>4</v>
      </c>
      <c r="K706" t="s">
        <v>63</v>
      </c>
      <c r="L706">
        <v>1</v>
      </c>
      <c r="M706">
        <v>0.56528869998874098</v>
      </c>
      <c r="N706" t="s">
        <v>51</v>
      </c>
      <c r="O706">
        <v>4</v>
      </c>
      <c r="P706">
        <v>19</v>
      </c>
      <c r="Q706">
        <v>99</v>
      </c>
      <c r="R706">
        <v>16</v>
      </c>
      <c r="S706">
        <v>138.3731272</v>
      </c>
      <c r="X706">
        <v>138.36269869998699</v>
      </c>
      <c r="Y706">
        <v>138.3731272</v>
      </c>
      <c r="Z706">
        <v>138.87299589999</v>
      </c>
      <c r="AA706">
        <v>138.87299589999</v>
      </c>
      <c r="AB706">
        <v>138.87299589999</v>
      </c>
      <c r="AC706">
        <v>139.444588300015</v>
      </c>
      <c r="AD706" t="s">
        <v>63</v>
      </c>
      <c r="AE706">
        <v>1</v>
      </c>
      <c r="AF706">
        <v>0.56528869998874098</v>
      </c>
      <c r="AG706" t="s">
        <v>51</v>
      </c>
      <c r="AK706" t="s">
        <v>93</v>
      </c>
      <c r="AL706">
        <v>1</v>
      </c>
      <c r="AM706" t="s">
        <v>85</v>
      </c>
      <c r="AN706" t="s">
        <v>43</v>
      </c>
      <c r="AP706" t="s">
        <v>44</v>
      </c>
      <c r="AQ706">
        <v>59.992644915568597</v>
      </c>
      <c r="AR706" t="s">
        <v>86</v>
      </c>
    </row>
    <row r="707" spans="1:44" x14ac:dyDescent="0.3">
      <c r="A707" t="s">
        <v>69</v>
      </c>
      <c r="B707" t="s">
        <v>49</v>
      </c>
      <c r="C707" s="2" t="str">
        <f t="shared" si="11"/>
        <v>Emotional-I</v>
      </c>
      <c r="D707">
        <v>1.0233076000004</v>
      </c>
      <c r="E707" t="s">
        <v>59</v>
      </c>
      <c r="F707" t="s">
        <v>56</v>
      </c>
      <c r="G707" t="s">
        <v>57</v>
      </c>
      <c r="H707">
        <v>100</v>
      </c>
      <c r="I707">
        <v>0</v>
      </c>
      <c r="J707">
        <v>5</v>
      </c>
      <c r="K707" t="s">
        <v>57</v>
      </c>
      <c r="L707">
        <v>1</v>
      </c>
      <c r="M707">
        <v>0.517036300036124</v>
      </c>
      <c r="N707" t="s">
        <v>51</v>
      </c>
      <c r="O707">
        <v>5</v>
      </c>
      <c r="P707">
        <v>0</v>
      </c>
      <c r="Q707">
        <v>100</v>
      </c>
      <c r="R707">
        <v>5</v>
      </c>
      <c r="S707">
        <v>139.456600499979</v>
      </c>
      <c r="X707">
        <v>139.44810869998699</v>
      </c>
      <c r="Y707">
        <v>139.456600499979</v>
      </c>
      <c r="Z707">
        <v>139.956332899979</v>
      </c>
      <c r="AA707">
        <v>139.956332899979</v>
      </c>
      <c r="AB707">
        <v>139.956332899979</v>
      </c>
      <c r="AC707">
        <v>140.47660910000499</v>
      </c>
      <c r="AD707" t="s">
        <v>57</v>
      </c>
      <c r="AE707">
        <v>1</v>
      </c>
      <c r="AF707">
        <v>0.517036300036124</v>
      </c>
      <c r="AG707" t="s">
        <v>51</v>
      </c>
      <c r="AK707" t="s">
        <v>93</v>
      </c>
      <c r="AL707">
        <v>1</v>
      </c>
      <c r="AM707" t="s">
        <v>85</v>
      </c>
      <c r="AN707" t="s">
        <v>43</v>
      </c>
      <c r="AP707" t="s">
        <v>44</v>
      </c>
      <c r="AQ707">
        <v>59.992644915568597</v>
      </c>
      <c r="AR707" t="s">
        <v>86</v>
      </c>
    </row>
    <row r="708" spans="1:44" x14ac:dyDescent="0.3">
      <c r="A708" t="s">
        <v>70</v>
      </c>
      <c r="B708" t="s">
        <v>49</v>
      </c>
      <c r="C708" s="2" t="str">
        <f t="shared" si="11"/>
        <v>Emotional-I</v>
      </c>
      <c r="D708">
        <v>0.49827589996857502</v>
      </c>
      <c r="E708" t="s">
        <v>59</v>
      </c>
      <c r="F708" t="s">
        <v>53</v>
      </c>
      <c r="G708" t="s">
        <v>54</v>
      </c>
      <c r="H708">
        <v>101</v>
      </c>
      <c r="I708">
        <v>1</v>
      </c>
      <c r="J708">
        <v>5</v>
      </c>
      <c r="K708" t="s">
        <v>54</v>
      </c>
      <c r="L708">
        <v>1</v>
      </c>
      <c r="M708">
        <v>0.58903390000341405</v>
      </c>
      <c r="N708" t="s">
        <v>51</v>
      </c>
      <c r="O708">
        <v>5</v>
      </c>
      <c r="P708">
        <v>1</v>
      </c>
      <c r="Q708">
        <v>101</v>
      </c>
      <c r="R708">
        <v>2</v>
      </c>
      <c r="S708">
        <v>140.48974140000001</v>
      </c>
      <c r="X708">
        <v>140.479336999997</v>
      </c>
      <c r="Y708">
        <v>140.48974140000001</v>
      </c>
      <c r="Z708">
        <v>140.99019709997799</v>
      </c>
      <c r="AA708">
        <v>140.99019709997799</v>
      </c>
      <c r="AB708">
        <v>140.99019709997799</v>
      </c>
      <c r="AC708">
        <v>141.593556999985</v>
      </c>
      <c r="AD708" t="s">
        <v>54</v>
      </c>
      <c r="AE708">
        <v>1</v>
      </c>
      <c r="AF708">
        <v>0.58903390000341405</v>
      </c>
      <c r="AG708" t="s">
        <v>51</v>
      </c>
      <c r="AK708" t="s">
        <v>93</v>
      </c>
      <c r="AL708">
        <v>1</v>
      </c>
      <c r="AM708" t="s">
        <v>85</v>
      </c>
      <c r="AN708" t="s">
        <v>43</v>
      </c>
      <c r="AP708" t="s">
        <v>44</v>
      </c>
      <c r="AQ708">
        <v>59.992644915568597</v>
      </c>
      <c r="AR708" t="s">
        <v>86</v>
      </c>
    </row>
    <row r="709" spans="1:44" x14ac:dyDescent="0.3">
      <c r="A709" t="s">
        <v>46</v>
      </c>
      <c r="B709" t="s">
        <v>49</v>
      </c>
      <c r="C709" s="2" t="str">
        <f t="shared" si="11"/>
        <v>Neutral</v>
      </c>
      <c r="D709">
        <v>0.61274730000877697</v>
      </c>
      <c r="E709" t="s">
        <v>47</v>
      </c>
      <c r="F709" t="s">
        <v>48</v>
      </c>
      <c r="G709" t="s">
        <v>50</v>
      </c>
      <c r="H709">
        <v>102</v>
      </c>
      <c r="I709">
        <v>2</v>
      </c>
      <c r="J709">
        <v>5</v>
      </c>
      <c r="K709" t="s">
        <v>50</v>
      </c>
      <c r="L709">
        <v>1</v>
      </c>
      <c r="M709">
        <v>0.503504800028167</v>
      </c>
      <c r="N709" t="s">
        <v>51</v>
      </c>
      <c r="O709">
        <v>5</v>
      </c>
      <c r="P709">
        <v>2</v>
      </c>
      <c r="Q709">
        <v>102</v>
      </c>
      <c r="R709">
        <v>19</v>
      </c>
      <c r="S709">
        <v>141.60683940001701</v>
      </c>
      <c r="X709">
        <v>141.596284999977</v>
      </c>
      <c r="Y709">
        <v>141.60683940001701</v>
      </c>
      <c r="Z709">
        <v>142.10638870002001</v>
      </c>
      <c r="AA709">
        <v>142.10638870002001</v>
      </c>
      <c r="AB709">
        <v>142.10638870002001</v>
      </c>
      <c r="AC709">
        <v>142.61084799998201</v>
      </c>
      <c r="AD709" t="s">
        <v>50</v>
      </c>
      <c r="AE709">
        <v>1</v>
      </c>
      <c r="AF709">
        <v>0.503504800028167</v>
      </c>
      <c r="AG709" t="s">
        <v>51</v>
      </c>
      <c r="AK709" t="s">
        <v>93</v>
      </c>
      <c r="AL709">
        <v>1</v>
      </c>
      <c r="AM709" t="s">
        <v>85</v>
      </c>
      <c r="AN709" t="s">
        <v>43</v>
      </c>
      <c r="AP709" t="s">
        <v>44</v>
      </c>
      <c r="AQ709">
        <v>59.992644915568597</v>
      </c>
      <c r="AR709" t="s">
        <v>86</v>
      </c>
    </row>
    <row r="710" spans="1:44" x14ac:dyDescent="0.3">
      <c r="A710" t="s">
        <v>66</v>
      </c>
      <c r="B710" t="s">
        <v>49</v>
      </c>
      <c r="C710" s="2" t="str">
        <f t="shared" si="11"/>
        <v>Neutral</v>
      </c>
      <c r="D710">
        <v>0.74859109998214901</v>
      </c>
      <c r="E710" t="s">
        <v>47</v>
      </c>
      <c r="F710" t="s">
        <v>61</v>
      </c>
      <c r="G710" t="s">
        <v>63</v>
      </c>
      <c r="H710">
        <v>103</v>
      </c>
      <c r="I710">
        <v>3</v>
      </c>
      <c r="J710">
        <v>5</v>
      </c>
      <c r="K710" t="s">
        <v>63</v>
      </c>
      <c r="L710">
        <v>1</v>
      </c>
      <c r="M710">
        <v>0.71419450000394102</v>
      </c>
      <c r="N710" t="s">
        <v>51</v>
      </c>
      <c r="O710">
        <v>5</v>
      </c>
      <c r="P710">
        <v>3</v>
      </c>
      <c r="Q710">
        <v>103</v>
      </c>
      <c r="R710">
        <v>12</v>
      </c>
      <c r="S710">
        <v>142.62299689999699</v>
      </c>
      <c r="X710">
        <v>142.61372810002601</v>
      </c>
      <c r="Y710">
        <v>142.62299689999699</v>
      </c>
      <c r="Z710">
        <v>143.12329319998301</v>
      </c>
      <c r="AA710">
        <v>143.12329319998301</v>
      </c>
      <c r="AB710">
        <v>143.12329319998301</v>
      </c>
      <c r="AC710">
        <v>143.84457050001899</v>
      </c>
      <c r="AD710" t="s">
        <v>63</v>
      </c>
      <c r="AE710">
        <v>1</v>
      </c>
      <c r="AF710">
        <v>0.71419450000394102</v>
      </c>
      <c r="AG710" t="s">
        <v>51</v>
      </c>
      <c r="AK710" t="s">
        <v>93</v>
      </c>
      <c r="AL710">
        <v>1</v>
      </c>
      <c r="AM710" t="s">
        <v>85</v>
      </c>
      <c r="AN710" t="s">
        <v>43</v>
      </c>
      <c r="AP710" t="s">
        <v>44</v>
      </c>
      <c r="AQ710">
        <v>59.992644915568597</v>
      </c>
      <c r="AR710" t="s">
        <v>86</v>
      </c>
    </row>
    <row r="711" spans="1:44" x14ac:dyDescent="0.3">
      <c r="A711" t="s">
        <v>78</v>
      </c>
      <c r="B711" t="s">
        <v>49</v>
      </c>
      <c r="C711" s="2" t="str">
        <f t="shared" si="11"/>
        <v>Neutral</v>
      </c>
      <c r="D711">
        <v>0.51781659998232499</v>
      </c>
      <c r="E711" t="s">
        <v>47</v>
      </c>
      <c r="F711" t="s">
        <v>56</v>
      </c>
      <c r="G711" t="s">
        <v>57</v>
      </c>
      <c r="H711">
        <v>104</v>
      </c>
      <c r="I711">
        <v>4</v>
      </c>
      <c r="J711">
        <v>5</v>
      </c>
      <c r="K711" t="s">
        <v>57</v>
      </c>
      <c r="L711">
        <v>1</v>
      </c>
      <c r="M711">
        <v>0.798559200018644</v>
      </c>
      <c r="N711" t="s">
        <v>51</v>
      </c>
      <c r="O711">
        <v>5</v>
      </c>
      <c r="P711">
        <v>4</v>
      </c>
      <c r="Q711">
        <v>104</v>
      </c>
      <c r="R711">
        <v>17</v>
      </c>
      <c r="S711">
        <v>143.85640540003001</v>
      </c>
      <c r="X711">
        <v>143.84784390003099</v>
      </c>
      <c r="Y711">
        <v>143.85640540003001</v>
      </c>
      <c r="Z711">
        <v>144.35650150000501</v>
      </c>
      <c r="AA711">
        <v>144.35650150000501</v>
      </c>
      <c r="AB711">
        <v>144.35650150000501</v>
      </c>
      <c r="AC711">
        <v>145.160690199991</v>
      </c>
      <c r="AD711" t="s">
        <v>57</v>
      </c>
      <c r="AE711">
        <v>1</v>
      </c>
      <c r="AF711">
        <v>0.798559200018644</v>
      </c>
      <c r="AG711" t="s">
        <v>51</v>
      </c>
      <c r="AK711" t="s">
        <v>93</v>
      </c>
      <c r="AL711">
        <v>1</v>
      </c>
      <c r="AM711" t="s">
        <v>85</v>
      </c>
      <c r="AN711" t="s">
        <v>43</v>
      </c>
      <c r="AP711" t="s">
        <v>44</v>
      </c>
      <c r="AQ711">
        <v>59.992644915568597</v>
      </c>
      <c r="AR711" t="s">
        <v>86</v>
      </c>
    </row>
    <row r="712" spans="1:44" x14ac:dyDescent="0.3">
      <c r="A712" t="s">
        <v>60</v>
      </c>
      <c r="B712" t="s">
        <v>62</v>
      </c>
      <c r="C712" s="2" t="str">
        <f t="shared" si="11"/>
        <v>Emotional-C</v>
      </c>
      <c r="D712">
        <v>0.72962380002718397</v>
      </c>
      <c r="E712" t="s">
        <v>59</v>
      </c>
      <c r="F712" t="s">
        <v>61</v>
      </c>
      <c r="G712" t="s">
        <v>63</v>
      </c>
      <c r="H712">
        <v>105</v>
      </c>
      <c r="I712">
        <v>5</v>
      </c>
      <c r="J712">
        <v>5</v>
      </c>
      <c r="K712" t="s">
        <v>63</v>
      </c>
      <c r="L712">
        <v>1</v>
      </c>
      <c r="M712">
        <v>0.74298929999349606</v>
      </c>
      <c r="N712" t="s">
        <v>51</v>
      </c>
      <c r="O712">
        <v>5</v>
      </c>
      <c r="P712">
        <v>5</v>
      </c>
      <c r="Q712">
        <v>105</v>
      </c>
      <c r="R712">
        <v>0</v>
      </c>
      <c r="S712">
        <v>145.17362299998001</v>
      </c>
      <c r="X712">
        <v>145.163317799975</v>
      </c>
      <c r="Y712">
        <v>145.17362299998001</v>
      </c>
      <c r="Z712">
        <v>145.67416900000501</v>
      </c>
      <c r="AA712">
        <v>145.67416900000501</v>
      </c>
      <c r="AB712">
        <v>145.67416900000501</v>
      </c>
      <c r="AC712">
        <v>146.42655550001601</v>
      </c>
      <c r="AD712" t="s">
        <v>63</v>
      </c>
      <c r="AE712">
        <v>1</v>
      </c>
      <c r="AF712">
        <v>0.74298929999349606</v>
      </c>
      <c r="AG712" t="s">
        <v>51</v>
      </c>
      <c r="AK712" t="s">
        <v>93</v>
      </c>
      <c r="AL712">
        <v>1</v>
      </c>
      <c r="AM712" t="s">
        <v>85</v>
      </c>
      <c r="AN712" t="s">
        <v>43</v>
      </c>
      <c r="AP712" t="s">
        <v>44</v>
      </c>
      <c r="AQ712">
        <v>59.992644915568597</v>
      </c>
      <c r="AR712" t="s">
        <v>86</v>
      </c>
    </row>
    <row r="713" spans="1:44" x14ac:dyDescent="0.3">
      <c r="A713" t="s">
        <v>74</v>
      </c>
      <c r="B713" t="s">
        <v>49</v>
      </c>
      <c r="C713" s="2" t="str">
        <f t="shared" si="11"/>
        <v>Neutral</v>
      </c>
      <c r="D713">
        <v>0.77510839997557901</v>
      </c>
      <c r="E713" t="s">
        <v>47</v>
      </c>
      <c r="F713" t="s">
        <v>48</v>
      </c>
      <c r="G713" t="s">
        <v>50</v>
      </c>
      <c r="H713">
        <v>106</v>
      </c>
      <c r="I713">
        <v>6</v>
      </c>
      <c r="J713">
        <v>5</v>
      </c>
      <c r="K713" t="s">
        <v>50</v>
      </c>
      <c r="L713">
        <v>1</v>
      </c>
      <c r="M713">
        <v>0.99858529999619305</v>
      </c>
      <c r="N713" t="s">
        <v>51</v>
      </c>
      <c r="O713">
        <v>5</v>
      </c>
      <c r="P713">
        <v>6</v>
      </c>
      <c r="Q713">
        <v>106</v>
      </c>
      <c r="R713">
        <v>11</v>
      </c>
      <c r="S713">
        <v>146.43947979999899</v>
      </c>
      <c r="X713">
        <v>146.42961450002599</v>
      </c>
      <c r="Y713">
        <v>146.43947979999899</v>
      </c>
      <c r="Z713">
        <v>146.93936389998899</v>
      </c>
      <c r="AA713">
        <v>146.93936389998899</v>
      </c>
      <c r="AB713">
        <v>146.93936389998899</v>
      </c>
      <c r="AC713">
        <v>147.944251800014</v>
      </c>
      <c r="AD713" t="s">
        <v>50</v>
      </c>
      <c r="AE713">
        <v>1</v>
      </c>
      <c r="AF713">
        <v>0.99858529999619305</v>
      </c>
      <c r="AG713" t="s">
        <v>51</v>
      </c>
      <c r="AK713" t="s">
        <v>93</v>
      </c>
      <c r="AL713">
        <v>1</v>
      </c>
      <c r="AM713" t="s">
        <v>85</v>
      </c>
      <c r="AN713" t="s">
        <v>43</v>
      </c>
      <c r="AP713" t="s">
        <v>44</v>
      </c>
      <c r="AQ713">
        <v>59.992644915568597</v>
      </c>
      <c r="AR713" t="s">
        <v>86</v>
      </c>
    </row>
    <row r="714" spans="1:44" x14ac:dyDescent="0.3">
      <c r="A714" t="s">
        <v>73</v>
      </c>
      <c r="B714" t="s">
        <v>49</v>
      </c>
      <c r="C714" s="2" t="str">
        <f t="shared" si="11"/>
        <v>Emotional-I</v>
      </c>
      <c r="D714">
        <v>1.02710319997277</v>
      </c>
      <c r="E714" t="s">
        <v>59</v>
      </c>
      <c r="F714" t="s">
        <v>56</v>
      </c>
      <c r="G714" t="s">
        <v>57</v>
      </c>
      <c r="H714">
        <v>107</v>
      </c>
      <c r="I714">
        <v>7</v>
      </c>
      <c r="J714">
        <v>5</v>
      </c>
      <c r="K714" t="s">
        <v>57</v>
      </c>
      <c r="L714">
        <v>1</v>
      </c>
      <c r="M714">
        <v>0.93180880002910205</v>
      </c>
      <c r="N714" t="s">
        <v>51</v>
      </c>
      <c r="O714">
        <v>5</v>
      </c>
      <c r="P714">
        <v>7</v>
      </c>
      <c r="Q714">
        <v>107</v>
      </c>
      <c r="R714">
        <v>1</v>
      </c>
      <c r="S714">
        <v>147.95610499999</v>
      </c>
      <c r="X714">
        <v>147.94669449998699</v>
      </c>
      <c r="Y714">
        <v>147.95610499999</v>
      </c>
      <c r="Z714">
        <v>148.45610640000001</v>
      </c>
      <c r="AA714">
        <v>148.45610640000001</v>
      </c>
      <c r="AB714">
        <v>148.45610640000001</v>
      </c>
      <c r="AC714">
        <v>149.393271700013</v>
      </c>
      <c r="AD714" t="s">
        <v>57</v>
      </c>
      <c r="AE714">
        <v>1</v>
      </c>
      <c r="AF714">
        <v>0.93180880002910205</v>
      </c>
      <c r="AG714" t="s">
        <v>51</v>
      </c>
      <c r="AK714" t="s">
        <v>93</v>
      </c>
      <c r="AL714">
        <v>1</v>
      </c>
      <c r="AM714" t="s">
        <v>85</v>
      </c>
      <c r="AN714" t="s">
        <v>43</v>
      </c>
      <c r="AP714" t="s">
        <v>44</v>
      </c>
      <c r="AQ714">
        <v>59.992644915568597</v>
      </c>
      <c r="AR714" t="s">
        <v>86</v>
      </c>
    </row>
    <row r="715" spans="1:44" x14ac:dyDescent="0.3">
      <c r="A715" t="s">
        <v>76</v>
      </c>
      <c r="B715" t="s">
        <v>49</v>
      </c>
      <c r="C715" s="2" t="str">
        <f t="shared" si="11"/>
        <v>Emotional-I</v>
      </c>
      <c r="D715">
        <v>0.62255199998617095</v>
      </c>
      <c r="E715" t="s">
        <v>59</v>
      </c>
      <c r="F715" t="s">
        <v>48</v>
      </c>
      <c r="G715" t="s">
        <v>50</v>
      </c>
      <c r="H715">
        <v>108</v>
      </c>
      <c r="I715">
        <v>8</v>
      </c>
      <c r="J715">
        <v>5</v>
      </c>
      <c r="K715" t="s">
        <v>50</v>
      </c>
      <c r="L715">
        <v>1</v>
      </c>
      <c r="M715">
        <v>0.88460189994657401</v>
      </c>
      <c r="N715" t="s">
        <v>51</v>
      </c>
      <c r="O715">
        <v>5</v>
      </c>
      <c r="P715">
        <v>8</v>
      </c>
      <c r="Q715">
        <v>108</v>
      </c>
      <c r="R715">
        <v>3</v>
      </c>
      <c r="S715">
        <v>149.40655740001199</v>
      </c>
      <c r="X715">
        <v>149.39599930000199</v>
      </c>
      <c r="Y715">
        <v>149.40655740001199</v>
      </c>
      <c r="Z715">
        <v>149.90674970002101</v>
      </c>
      <c r="AA715">
        <v>149.90674970002101</v>
      </c>
      <c r="AB715">
        <v>149.90674970002101</v>
      </c>
      <c r="AC715">
        <v>150.79291130002801</v>
      </c>
      <c r="AD715" t="s">
        <v>50</v>
      </c>
      <c r="AE715">
        <v>1</v>
      </c>
      <c r="AF715">
        <v>0.88460189994657401</v>
      </c>
      <c r="AG715" t="s">
        <v>51</v>
      </c>
      <c r="AK715" t="s">
        <v>93</v>
      </c>
      <c r="AL715">
        <v>1</v>
      </c>
      <c r="AM715" t="s">
        <v>85</v>
      </c>
      <c r="AN715" t="s">
        <v>43</v>
      </c>
      <c r="AP715" t="s">
        <v>44</v>
      </c>
      <c r="AQ715">
        <v>59.992644915568597</v>
      </c>
      <c r="AR715" t="s">
        <v>86</v>
      </c>
    </row>
    <row r="716" spans="1:44" x14ac:dyDescent="0.3">
      <c r="A716" t="s">
        <v>75</v>
      </c>
      <c r="B716" t="s">
        <v>49</v>
      </c>
      <c r="C716" s="2" t="str">
        <f t="shared" si="11"/>
        <v>Neutral</v>
      </c>
      <c r="D716">
        <v>0.58771449996856895</v>
      </c>
      <c r="E716" t="s">
        <v>47</v>
      </c>
      <c r="F716" t="s">
        <v>61</v>
      </c>
      <c r="G716" t="s">
        <v>63</v>
      </c>
      <c r="H716">
        <v>109</v>
      </c>
      <c r="I716">
        <v>9</v>
      </c>
      <c r="J716">
        <v>5</v>
      </c>
      <c r="K716" t="s">
        <v>63</v>
      </c>
      <c r="L716">
        <v>1</v>
      </c>
      <c r="M716">
        <v>0.59713770000962496</v>
      </c>
      <c r="N716" t="s">
        <v>51</v>
      </c>
      <c r="O716">
        <v>5</v>
      </c>
      <c r="P716">
        <v>9</v>
      </c>
      <c r="Q716">
        <v>109</v>
      </c>
      <c r="R716">
        <v>16</v>
      </c>
      <c r="S716">
        <v>150.80680429999401</v>
      </c>
      <c r="X716">
        <v>150.79557469999401</v>
      </c>
      <c r="Y716">
        <v>150.80680429999401</v>
      </c>
      <c r="Z716">
        <v>151.306356300017</v>
      </c>
      <c r="AA716">
        <v>151.306356300017</v>
      </c>
      <c r="AB716">
        <v>151.306356300017</v>
      </c>
      <c r="AC716">
        <v>151.909981300006</v>
      </c>
      <c r="AD716" t="s">
        <v>63</v>
      </c>
      <c r="AE716">
        <v>1</v>
      </c>
      <c r="AF716">
        <v>0.59713770000962496</v>
      </c>
      <c r="AG716" t="s">
        <v>51</v>
      </c>
      <c r="AK716" t="s">
        <v>93</v>
      </c>
      <c r="AL716">
        <v>1</v>
      </c>
      <c r="AM716" t="s">
        <v>85</v>
      </c>
      <c r="AN716" t="s">
        <v>43</v>
      </c>
      <c r="AP716" t="s">
        <v>44</v>
      </c>
      <c r="AQ716">
        <v>59.992644915568597</v>
      </c>
      <c r="AR716" t="s">
        <v>86</v>
      </c>
    </row>
    <row r="717" spans="1:44" x14ac:dyDescent="0.3">
      <c r="A717" t="s">
        <v>55</v>
      </c>
      <c r="B717" t="s">
        <v>49</v>
      </c>
      <c r="C717" s="2" t="str">
        <f t="shared" si="11"/>
        <v>Neutral</v>
      </c>
      <c r="D717">
        <v>0.76708520000101998</v>
      </c>
      <c r="E717" t="s">
        <v>47</v>
      </c>
      <c r="F717" t="s">
        <v>56</v>
      </c>
      <c r="G717" t="s">
        <v>57</v>
      </c>
      <c r="H717">
        <v>110</v>
      </c>
      <c r="I717">
        <v>10</v>
      </c>
      <c r="J717">
        <v>5</v>
      </c>
      <c r="K717" t="s">
        <v>57</v>
      </c>
      <c r="L717">
        <v>1</v>
      </c>
      <c r="M717">
        <v>0.652935199963394</v>
      </c>
      <c r="N717" t="s">
        <v>51</v>
      </c>
      <c r="O717">
        <v>5</v>
      </c>
      <c r="P717">
        <v>10</v>
      </c>
      <c r="Q717">
        <v>110</v>
      </c>
      <c r="R717">
        <v>13</v>
      </c>
      <c r="S717">
        <v>151.92264619999301</v>
      </c>
      <c r="X717">
        <v>151.91259620001</v>
      </c>
      <c r="Y717">
        <v>151.92264619999301</v>
      </c>
      <c r="Z717">
        <v>152.422626500017</v>
      </c>
      <c r="AA717">
        <v>152.422626500017</v>
      </c>
      <c r="AB717">
        <v>152.422626500017</v>
      </c>
      <c r="AC717">
        <v>153.07845640002</v>
      </c>
      <c r="AD717" t="s">
        <v>57</v>
      </c>
      <c r="AE717">
        <v>1</v>
      </c>
      <c r="AF717">
        <v>0.652935199963394</v>
      </c>
      <c r="AG717" t="s">
        <v>51</v>
      </c>
      <c r="AK717" t="s">
        <v>93</v>
      </c>
      <c r="AL717">
        <v>1</v>
      </c>
      <c r="AM717" t="s">
        <v>85</v>
      </c>
      <c r="AN717" t="s">
        <v>43</v>
      </c>
      <c r="AP717" t="s">
        <v>44</v>
      </c>
      <c r="AQ717">
        <v>59.992644915568597</v>
      </c>
      <c r="AR717" t="s">
        <v>86</v>
      </c>
    </row>
    <row r="718" spans="1:44" x14ac:dyDescent="0.3">
      <c r="A718" t="s">
        <v>52</v>
      </c>
      <c r="B718" t="s">
        <v>49</v>
      </c>
      <c r="C718" s="2" t="str">
        <f t="shared" si="11"/>
        <v>Neutral</v>
      </c>
      <c r="D718">
        <v>1.1108100999845101</v>
      </c>
      <c r="E718" t="s">
        <v>47</v>
      </c>
      <c r="F718" t="s">
        <v>53</v>
      </c>
      <c r="G718" t="s">
        <v>54</v>
      </c>
      <c r="H718">
        <v>111</v>
      </c>
      <c r="I718">
        <v>11</v>
      </c>
      <c r="J718">
        <v>5</v>
      </c>
      <c r="K718" t="s">
        <v>54</v>
      </c>
      <c r="L718">
        <v>1</v>
      </c>
      <c r="M718">
        <v>0.48822669999208301</v>
      </c>
      <c r="N718" t="s">
        <v>51</v>
      </c>
      <c r="O718">
        <v>5</v>
      </c>
      <c r="P718">
        <v>11</v>
      </c>
      <c r="Q718">
        <v>111</v>
      </c>
      <c r="R718">
        <v>14</v>
      </c>
      <c r="S718">
        <v>153.09060940000899</v>
      </c>
      <c r="X718">
        <v>153.082295400032</v>
      </c>
      <c r="Y718">
        <v>153.09060940000899</v>
      </c>
      <c r="Z718">
        <v>153.589496899978</v>
      </c>
      <c r="AA718">
        <v>153.589496899978</v>
      </c>
      <c r="AB718">
        <v>153.589496899978</v>
      </c>
      <c r="AC718">
        <v>154.09275780001099</v>
      </c>
      <c r="AD718" t="s">
        <v>54</v>
      </c>
      <c r="AE718">
        <v>1</v>
      </c>
      <c r="AF718">
        <v>0.48822669999208301</v>
      </c>
      <c r="AG718" t="s">
        <v>51</v>
      </c>
      <c r="AK718" t="s">
        <v>93</v>
      </c>
      <c r="AL718">
        <v>1</v>
      </c>
      <c r="AM718" t="s">
        <v>85</v>
      </c>
      <c r="AN718" t="s">
        <v>43</v>
      </c>
      <c r="AP718" t="s">
        <v>44</v>
      </c>
      <c r="AQ718">
        <v>59.992644915568597</v>
      </c>
      <c r="AR718" t="s">
        <v>86</v>
      </c>
    </row>
    <row r="719" spans="1:44" x14ac:dyDescent="0.3">
      <c r="A719" t="s">
        <v>58</v>
      </c>
      <c r="B719" t="s">
        <v>49</v>
      </c>
      <c r="C719" s="2" t="str">
        <f t="shared" si="11"/>
        <v>Emotional-I</v>
      </c>
      <c r="D719">
        <v>0.52850179997039903</v>
      </c>
      <c r="E719" t="s">
        <v>59</v>
      </c>
      <c r="F719" t="s">
        <v>48</v>
      </c>
      <c r="G719" t="s">
        <v>50</v>
      </c>
      <c r="H719">
        <v>112</v>
      </c>
      <c r="I719">
        <v>12</v>
      </c>
      <c r="J719">
        <v>5</v>
      </c>
      <c r="K719" t="s">
        <v>50</v>
      </c>
      <c r="L719">
        <v>1</v>
      </c>
      <c r="M719">
        <v>0.70689979998860497</v>
      </c>
      <c r="N719" t="s">
        <v>51</v>
      </c>
      <c r="O719">
        <v>5</v>
      </c>
      <c r="P719">
        <v>12</v>
      </c>
      <c r="Q719">
        <v>112</v>
      </c>
      <c r="R719">
        <v>7</v>
      </c>
      <c r="S719">
        <v>154.10574169998199</v>
      </c>
      <c r="X719">
        <v>154.09571600000999</v>
      </c>
      <c r="Y719">
        <v>154.10574169998199</v>
      </c>
      <c r="Z719">
        <v>154.605911399994</v>
      </c>
      <c r="AA719">
        <v>154.605911399994</v>
      </c>
      <c r="AB719">
        <v>154.605911399994</v>
      </c>
      <c r="AC719">
        <v>155.32601800002101</v>
      </c>
      <c r="AD719" t="s">
        <v>50</v>
      </c>
      <c r="AE719">
        <v>1</v>
      </c>
      <c r="AF719">
        <v>0.70689979998860497</v>
      </c>
      <c r="AG719" t="s">
        <v>51</v>
      </c>
      <c r="AK719" t="s">
        <v>93</v>
      </c>
      <c r="AL719">
        <v>1</v>
      </c>
      <c r="AM719" t="s">
        <v>85</v>
      </c>
      <c r="AN719" t="s">
        <v>43</v>
      </c>
      <c r="AP719" t="s">
        <v>44</v>
      </c>
      <c r="AQ719">
        <v>59.992644915568597</v>
      </c>
      <c r="AR719" t="s">
        <v>86</v>
      </c>
    </row>
    <row r="720" spans="1:44" x14ac:dyDescent="0.3">
      <c r="A720" t="s">
        <v>77</v>
      </c>
      <c r="B720" t="s">
        <v>62</v>
      </c>
      <c r="C720" s="2" t="str">
        <f t="shared" si="11"/>
        <v>Emotional-C</v>
      </c>
      <c r="D720">
        <v>0.62134900002274596</v>
      </c>
      <c r="E720" t="s">
        <v>59</v>
      </c>
      <c r="F720" t="s">
        <v>61</v>
      </c>
      <c r="G720" t="s">
        <v>63</v>
      </c>
      <c r="H720">
        <v>113</v>
      </c>
      <c r="I720">
        <v>13</v>
      </c>
      <c r="J720">
        <v>5</v>
      </c>
      <c r="K720" t="s">
        <v>63</v>
      </c>
      <c r="L720">
        <v>1</v>
      </c>
      <c r="M720">
        <v>0.86195150000276</v>
      </c>
      <c r="N720" t="s">
        <v>51</v>
      </c>
      <c r="O720">
        <v>5</v>
      </c>
      <c r="P720">
        <v>13</v>
      </c>
      <c r="Q720">
        <v>113</v>
      </c>
      <c r="R720">
        <v>4</v>
      </c>
      <c r="S720">
        <v>155.33902389998499</v>
      </c>
      <c r="X720">
        <v>155.32897000003101</v>
      </c>
      <c r="Y720">
        <v>155.33902389998499</v>
      </c>
      <c r="Z720">
        <v>155.83894980000301</v>
      </c>
      <c r="AA720">
        <v>155.83894980000301</v>
      </c>
      <c r="AB720">
        <v>155.83894980000301</v>
      </c>
      <c r="AC720">
        <v>156.709201899997</v>
      </c>
      <c r="AD720" t="s">
        <v>63</v>
      </c>
      <c r="AE720">
        <v>1</v>
      </c>
      <c r="AF720">
        <v>0.86195150000276</v>
      </c>
      <c r="AG720" t="s">
        <v>51</v>
      </c>
      <c r="AK720" t="s">
        <v>93</v>
      </c>
      <c r="AL720">
        <v>1</v>
      </c>
      <c r="AM720" t="s">
        <v>85</v>
      </c>
      <c r="AN720" t="s">
        <v>43</v>
      </c>
      <c r="AP720" t="s">
        <v>44</v>
      </c>
      <c r="AQ720">
        <v>59.992644915568597</v>
      </c>
      <c r="AR720" t="s">
        <v>86</v>
      </c>
    </row>
    <row r="721" spans="1:44" x14ac:dyDescent="0.3">
      <c r="A721" t="s">
        <v>68</v>
      </c>
      <c r="B721" t="s">
        <v>49</v>
      </c>
      <c r="C721" s="2" t="str">
        <f t="shared" si="11"/>
        <v>Emotional-I</v>
      </c>
      <c r="D721">
        <v>0.58317659999010996</v>
      </c>
      <c r="E721" t="s">
        <v>59</v>
      </c>
      <c r="F721" t="s">
        <v>53</v>
      </c>
      <c r="G721" t="s">
        <v>54</v>
      </c>
      <c r="H721">
        <v>114</v>
      </c>
      <c r="I721">
        <v>14</v>
      </c>
      <c r="J721">
        <v>5</v>
      </c>
      <c r="K721" t="s">
        <v>54</v>
      </c>
      <c r="L721">
        <v>1</v>
      </c>
      <c r="M721">
        <v>0.86312319996068199</v>
      </c>
      <c r="N721" t="s">
        <v>51</v>
      </c>
      <c r="O721">
        <v>5</v>
      </c>
      <c r="P721">
        <v>14</v>
      </c>
      <c r="Q721">
        <v>114</v>
      </c>
      <c r="R721">
        <v>6</v>
      </c>
      <c r="S721">
        <v>156.72240119997801</v>
      </c>
      <c r="X721">
        <v>156.71203960001</v>
      </c>
      <c r="Y721">
        <v>156.72240119997801</v>
      </c>
      <c r="Z721">
        <v>157.222829899983</v>
      </c>
      <c r="AA721">
        <v>157.222829899983</v>
      </c>
      <c r="AB721">
        <v>157.222829899983</v>
      </c>
      <c r="AC721">
        <v>158.09326230001099</v>
      </c>
      <c r="AD721" t="s">
        <v>54</v>
      </c>
      <c r="AE721">
        <v>1</v>
      </c>
      <c r="AF721">
        <v>0.86312319996068199</v>
      </c>
      <c r="AG721" t="s">
        <v>51</v>
      </c>
      <c r="AK721" t="s">
        <v>93</v>
      </c>
      <c r="AL721">
        <v>1</v>
      </c>
      <c r="AM721" t="s">
        <v>85</v>
      </c>
      <c r="AN721" t="s">
        <v>43</v>
      </c>
      <c r="AP721" t="s">
        <v>44</v>
      </c>
      <c r="AQ721">
        <v>59.992644915568597</v>
      </c>
      <c r="AR721" t="s">
        <v>86</v>
      </c>
    </row>
    <row r="722" spans="1:44" x14ac:dyDescent="0.3">
      <c r="A722" t="s">
        <v>72</v>
      </c>
      <c r="B722" t="s">
        <v>62</v>
      </c>
      <c r="C722" s="2" t="str">
        <f t="shared" si="11"/>
        <v>Emotional-C</v>
      </c>
      <c r="D722">
        <v>0.415267899981699</v>
      </c>
      <c r="E722" t="s">
        <v>59</v>
      </c>
      <c r="F722" t="s">
        <v>61</v>
      </c>
      <c r="G722" t="s">
        <v>63</v>
      </c>
      <c r="H722">
        <v>115</v>
      </c>
      <c r="I722">
        <v>15</v>
      </c>
      <c r="J722">
        <v>5</v>
      </c>
      <c r="K722" t="s">
        <v>63</v>
      </c>
      <c r="L722">
        <v>1</v>
      </c>
      <c r="M722">
        <v>0.702574700000695</v>
      </c>
      <c r="N722" t="s">
        <v>51</v>
      </c>
      <c r="O722">
        <v>5</v>
      </c>
      <c r="P722">
        <v>15</v>
      </c>
      <c r="Q722">
        <v>115</v>
      </c>
      <c r="R722">
        <v>8</v>
      </c>
      <c r="S722">
        <v>158.105925299983</v>
      </c>
      <c r="X722">
        <v>158.09622469998399</v>
      </c>
      <c r="Y722">
        <v>158.105925299983</v>
      </c>
      <c r="Z722">
        <v>158.60547359997801</v>
      </c>
      <c r="AA722">
        <v>158.60547359997801</v>
      </c>
      <c r="AB722">
        <v>158.60547359997801</v>
      </c>
      <c r="AC722">
        <v>159.309394099982</v>
      </c>
      <c r="AD722" t="s">
        <v>63</v>
      </c>
      <c r="AE722">
        <v>1</v>
      </c>
      <c r="AF722">
        <v>0.702574700000695</v>
      </c>
      <c r="AG722" t="s">
        <v>51</v>
      </c>
      <c r="AK722" t="s">
        <v>93</v>
      </c>
      <c r="AL722">
        <v>1</v>
      </c>
      <c r="AM722" t="s">
        <v>85</v>
      </c>
      <c r="AN722" t="s">
        <v>43</v>
      </c>
      <c r="AP722" t="s">
        <v>44</v>
      </c>
      <c r="AQ722">
        <v>59.992644915568597</v>
      </c>
      <c r="AR722" t="s">
        <v>86</v>
      </c>
    </row>
    <row r="723" spans="1:44" x14ac:dyDescent="0.3">
      <c r="A723" t="s">
        <v>71</v>
      </c>
      <c r="B723" t="s">
        <v>49</v>
      </c>
      <c r="C723" s="2" t="str">
        <f t="shared" si="11"/>
        <v>Neutral</v>
      </c>
      <c r="D723">
        <v>1.04733269999269</v>
      </c>
      <c r="E723" t="s">
        <v>47</v>
      </c>
      <c r="F723" t="s">
        <v>48</v>
      </c>
      <c r="G723" t="s">
        <v>50</v>
      </c>
      <c r="H723">
        <v>116</v>
      </c>
      <c r="I723">
        <v>16</v>
      </c>
      <c r="J723">
        <v>5</v>
      </c>
      <c r="K723" t="s">
        <v>50</v>
      </c>
      <c r="L723">
        <v>1</v>
      </c>
      <c r="M723">
        <v>0.69910920003894705</v>
      </c>
      <c r="N723" t="s">
        <v>51</v>
      </c>
      <c r="O723">
        <v>5</v>
      </c>
      <c r="P723">
        <v>16</v>
      </c>
      <c r="Q723">
        <v>116</v>
      </c>
      <c r="R723">
        <v>15</v>
      </c>
      <c r="S723">
        <v>159.32292710000101</v>
      </c>
      <c r="X723">
        <v>159.31243009999099</v>
      </c>
      <c r="Y723">
        <v>159.32292710000101</v>
      </c>
      <c r="Z723">
        <v>159.82220430002701</v>
      </c>
      <c r="AA723">
        <v>159.82220430002701</v>
      </c>
      <c r="AB723">
        <v>159.82220430002701</v>
      </c>
      <c r="AC723">
        <v>160.52642509998901</v>
      </c>
      <c r="AD723" t="s">
        <v>50</v>
      </c>
      <c r="AE723">
        <v>1</v>
      </c>
      <c r="AF723">
        <v>0.69910920003894705</v>
      </c>
      <c r="AG723" t="s">
        <v>51</v>
      </c>
      <c r="AK723" t="s">
        <v>93</v>
      </c>
      <c r="AL723">
        <v>1</v>
      </c>
      <c r="AM723" t="s">
        <v>85</v>
      </c>
      <c r="AN723" t="s">
        <v>43</v>
      </c>
      <c r="AP723" t="s">
        <v>44</v>
      </c>
      <c r="AQ723">
        <v>59.992644915568597</v>
      </c>
      <c r="AR723" t="s">
        <v>86</v>
      </c>
    </row>
    <row r="724" spans="1:44" x14ac:dyDescent="0.3">
      <c r="A724" t="s">
        <v>65</v>
      </c>
      <c r="B724" t="s">
        <v>49</v>
      </c>
      <c r="C724" s="2" t="str">
        <f t="shared" si="11"/>
        <v>Emotional-I</v>
      </c>
      <c r="D724">
        <v>0.49031189997913299</v>
      </c>
      <c r="E724" t="s">
        <v>59</v>
      </c>
      <c r="F724" t="s">
        <v>56</v>
      </c>
      <c r="G724" t="s">
        <v>57</v>
      </c>
      <c r="H724">
        <v>117</v>
      </c>
      <c r="I724">
        <v>17</v>
      </c>
      <c r="J724">
        <v>5</v>
      </c>
      <c r="K724" t="s">
        <v>57</v>
      </c>
      <c r="L724">
        <v>1</v>
      </c>
      <c r="M724">
        <v>0.81965660001151197</v>
      </c>
      <c r="N724" t="s">
        <v>51</v>
      </c>
      <c r="O724">
        <v>5</v>
      </c>
      <c r="P724">
        <v>17</v>
      </c>
      <c r="Q724">
        <v>117</v>
      </c>
      <c r="R724">
        <v>9</v>
      </c>
      <c r="S724">
        <v>160.54059400002001</v>
      </c>
      <c r="X724">
        <v>160.52916039997899</v>
      </c>
      <c r="Y724">
        <v>160.54059400002001</v>
      </c>
      <c r="Z724">
        <v>161.03918229998001</v>
      </c>
      <c r="AA724">
        <v>161.03918229998001</v>
      </c>
      <c r="AB724">
        <v>161.03918229998001</v>
      </c>
      <c r="AC724">
        <v>161.860120300028</v>
      </c>
      <c r="AD724" t="s">
        <v>57</v>
      </c>
      <c r="AE724">
        <v>1</v>
      </c>
      <c r="AF724">
        <v>0.81965660001151197</v>
      </c>
      <c r="AG724" t="s">
        <v>51</v>
      </c>
      <c r="AK724" t="s">
        <v>93</v>
      </c>
      <c r="AL724">
        <v>1</v>
      </c>
      <c r="AM724" t="s">
        <v>85</v>
      </c>
      <c r="AN724" t="s">
        <v>43</v>
      </c>
      <c r="AP724" t="s">
        <v>44</v>
      </c>
      <c r="AQ724">
        <v>59.992644915568597</v>
      </c>
      <c r="AR724" t="s">
        <v>86</v>
      </c>
    </row>
    <row r="725" spans="1:44" hidden="1" x14ac:dyDescent="0.3">
      <c r="A725" t="s">
        <v>67</v>
      </c>
      <c r="B725" t="s">
        <v>49</v>
      </c>
      <c r="C725" s="2" t="str">
        <f t="shared" si="11"/>
        <v>Neutral</v>
      </c>
      <c r="D725">
        <v>0.46427870000479698</v>
      </c>
      <c r="E725" t="s">
        <v>47</v>
      </c>
      <c r="F725" t="s">
        <v>53</v>
      </c>
      <c r="G725" t="s">
        <v>54</v>
      </c>
      <c r="H725">
        <v>118</v>
      </c>
      <c r="I725">
        <v>18</v>
      </c>
      <c r="J725">
        <v>5</v>
      </c>
      <c r="K725" t="s">
        <v>63</v>
      </c>
      <c r="L725">
        <v>0</v>
      </c>
      <c r="M725">
        <v>0.64732960000401296</v>
      </c>
      <c r="N725" t="s">
        <v>51</v>
      </c>
      <c r="O725">
        <v>5</v>
      </c>
      <c r="P725">
        <v>18</v>
      </c>
      <c r="Q725">
        <v>118</v>
      </c>
      <c r="R725">
        <v>10</v>
      </c>
      <c r="S725">
        <v>161.87309639999799</v>
      </c>
      <c r="X725">
        <v>161.863379799993</v>
      </c>
      <c r="Y725">
        <v>161.87309639999799</v>
      </c>
      <c r="Z725">
        <v>162.37275530002</v>
      </c>
      <c r="AA725">
        <v>162.37275530002</v>
      </c>
      <c r="AB725">
        <v>162.37275530002</v>
      </c>
      <c r="AC725">
        <v>163.027293200022</v>
      </c>
      <c r="AD725" t="s">
        <v>63</v>
      </c>
      <c r="AE725">
        <v>0</v>
      </c>
      <c r="AF725">
        <v>0.64732960000401296</v>
      </c>
      <c r="AG725" t="s">
        <v>51</v>
      </c>
      <c r="AK725" t="s">
        <v>93</v>
      </c>
      <c r="AL725">
        <v>1</v>
      </c>
      <c r="AM725" t="s">
        <v>85</v>
      </c>
      <c r="AN725" t="s">
        <v>43</v>
      </c>
      <c r="AP725" t="s">
        <v>44</v>
      </c>
      <c r="AQ725">
        <v>59.992644915568597</v>
      </c>
      <c r="AR725" t="s">
        <v>86</v>
      </c>
    </row>
    <row r="726" spans="1:44" x14ac:dyDescent="0.3">
      <c r="A726" t="s">
        <v>64</v>
      </c>
      <c r="B726" t="s">
        <v>49</v>
      </c>
      <c r="C726" s="2" t="str">
        <f t="shared" si="11"/>
        <v>Neutral</v>
      </c>
      <c r="D726">
        <v>0.54781700001331002</v>
      </c>
      <c r="E726" t="s">
        <v>47</v>
      </c>
      <c r="F726" t="s">
        <v>53</v>
      </c>
      <c r="G726" t="s">
        <v>54</v>
      </c>
      <c r="H726">
        <v>119</v>
      </c>
      <c r="I726">
        <v>19</v>
      </c>
      <c r="J726">
        <v>5</v>
      </c>
      <c r="K726" t="s">
        <v>54</v>
      </c>
      <c r="L726">
        <v>1</v>
      </c>
      <c r="M726">
        <v>0.89667099999496702</v>
      </c>
      <c r="N726" t="s">
        <v>51</v>
      </c>
      <c r="O726">
        <v>5</v>
      </c>
      <c r="P726">
        <v>19</v>
      </c>
      <c r="Q726">
        <v>119</v>
      </c>
      <c r="R726">
        <v>18</v>
      </c>
      <c r="S726">
        <v>163.039065100019</v>
      </c>
      <c r="X726">
        <v>163.031464600004</v>
      </c>
      <c r="Y726">
        <v>163.039065100019</v>
      </c>
      <c r="Z726">
        <v>163.538847399991</v>
      </c>
      <c r="AA726">
        <v>163.538847399991</v>
      </c>
      <c r="AB726">
        <v>163.538847399991</v>
      </c>
      <c r="AC726">
        <v>164.44325890002</v>
      </c>
      <c r="AD726" t="s">
        <v>54</v>
      </c>
      <c r="AE726">
        <v>1</v>
      </c>
      <c r="AF726">
        <v>0.89667099999496702</v>
      </c>
      <c r="AG726" t="s">
        <v>51</v>
      </c>
      <c r="AK726" t="s">
        <v>93</v>
      </c>
      <c r="AL726">
        <v>1</v>
      </c>
      <c r="AM726" t="s">
        <v>85</v>
      </c>
      <c r="AN726" t="s">
        <v>43</v>
      </c>
      <c r="AP726" t="s">
        <v>44</v>
      </c>
      <c r="AQ726">
        <v>59.992644915568597</v>
      </c>
      <c r="AR726" t="s">
        <v>86</v>
      </c>
    </row>
    <row r="727" spans="1:44" x14ac:dyDescent="0.3">
      <c r="A727" t="s">
        <v>58</v>
      </c>
      <c r="B727" t="s">
        <v>49</v>
      </c>
      <c r="C727" s="2" t="str">
        <f t="shared" si="11"/>
        <v>Emotional-I</v>
      </c>
      <c r="D727">
        <v>0.677437500038649</v>
      </c>
      <c r="E727" t="s">
        <v>59</v>
      </c>
      <c r="F727" t="s">
        <v>48</v>
      </c>
      <c r="G727" t="s">
        <v>50</v>
      </c>
      <c r="H727">
        <v>120</v>
      </c>
      <c r="I727">
        <v>0</v>
      </c>
      <c r="J727">
        <v>6</v>
      </c>
      <c r="K727" t="s">
        <v>50</v>
      </c>
      <c r="L727">
        <v>1</v>
      </c>
      <c r="M727">
        <v>0.75208359997486696</v>
      </c>
      <c r="N727" t="s">
        <v>51</v>
      </c>
      <c r="O727">
        <v>6</v>
      </c>
      <c r="P727">
        <v>0</v>
      </c>
      <c r="Q727">
        <v>120</v>
      </c>
      <c r="R727">
        <v>7</v>
      </c>
      <c r="S727">
        <v>164.45590890001</v>
      </c>
      <c r="X727">
        <v>164.445936399977</v>
      </c>
      <c r="Y727">
        <v>164.45590890001</v>
      </c>
      <c r="Z727">
        <v>164.955866099975</v>
      </c>
      <c r="AA727">
        <v>164.955866099975</v>
      </c>
      <c r="AB727">
        <v>164.955866099975</v>
      </c>
      <c r="AC727">
        <v>165.710577499994</v>
      </c>
      <c r="AD727" t="s">
        <v>50</v>
      </c>
      <c r="AE727">
        <v>1</v>
      </c>
      <c r="AF727">
        <v>0.75208359997486696</v>
      </c>
      <c r="AG727" t="s">
        <v>51</v>
      </c>
      <c r="AK727" t="s">
        <v>93</v>
      </c>
      <c r="AL727">
        <v>1</v>
      </c>
      <c r="AM727" t="s">
        <v>85</v>
      </c>
      <c r="AN727" t="s">
        <v>43</v>
      </c>
      <c r="AP727" t="s">
        <v>44</v>
      </c>
      <c r="AQ727">
        <v>59.992644915568597</v>
      </c>
      <c r="AR727" t="s">
        <v>86</v>
      </c>
    </row>
    <row r="728" spans="1:44" x14ac:dyDescent="0.3">
      <c r="A728" t="s">
        <v>72</v>
      </c>
      <c r="B728" t="s">
        <v>62</v>
      </c>
      <c r="C728" s="2" t="str">
        <f t="shared" si="11"/>
        <v>Emotional-C</v>
      </c>
      <c r="D728">
        <v>0.52257259999169003</v>
      </c>
      <c r="E728" t="s">
        <v>59</v>
      </c>
      <c r="F728" t="s">
        <v>61</v>
      </c>
      <c r="G728" t="s">
        <v>63</v>
      </c>
      <c r="H728">
        <v>121</v>
      </c>
      <c r="I728">
        <v>1</v>
      </c>
      <c r="J728">
        <v>6</v>
      </c>
      <c r="K728" t="s">
        <v>63</v>
      </c>
      <c r="L728">
        <v>1</v>
      </c>
      <c r="M728">
        <v>0.69367280002916198</v>
      </c>
      <c r="N728" t="s">
        <v>51</v>
      </c>
      <c r="O728">
        <v>6</v>
      </c>
      <c r="P728">
        <v>1</v>
      </c>
      <c r="Q728">
        <v>121</v>
      </c>
      <c r="R728">
        <v>8</v>
      </c>
      <c r="S728">
        <v>165.72229090001201</v>
      </c>
      <c r="X728">
        <v>165.71327090001401</v>
      </c>
      <c r="Y728">
        <v>165.72229090001201</v>
      </c>
      <c r="Z728">
        <v>166.22304860001799</v>
      </c>
      <c r="AA728">
        <v>166.22304860001799</v>
      </c>
      <c r="AB728">
        <v>166.22304860001799</v>
      </c>
      <c r="AC728">
        <v>166.925301800016</v>
      </c>
      <c r="AD728" t="s">
        <v>63</v>
      </c>
      <c r="AE728">
        <v>1</v>
      </c>
      <c r="AF728">
        <v>0.69367280002916198</v>
      </c>
      <c r="AG728" t="s">
        <v>51</v>
      </c>
      <c r="AK728" t="s">
        <v>93</v>
      </c>
      <c r="AL728">
        <v>1</v>
      </c>
      <c r="AM728" t="s">
        <v>85</v>
      </c>
      <c r="AN728" t="s">
        <v>43</v>
      </c>
      <c r="AP728" t="s">
        <v>44</v>
      </c>
      <c r="AQ728">
        <v>59.992644915568597</v>
      </c>
      <c r="AR728" t="s">
        <v>86</v>
      </c>
    </row>
    <row r="729" spans="1:44" x14ac:dyDescent="0.3">
      <c r="A729" t="s">
        <v>55</v>
      </c>
      <c r="B729" t="s">
        <v>49</v>
      </c>
      <c r="C729" s="2" t="str">
        <f t="shared" si="11"/>
        <v>Neutral</v>
      </c>
      <c r="D729">
        <v>1.1190617000101999</v>
      </c>
      <c r="E729" t="s">
        <v>47</v>
      </c>
      <c r="F729" t="s">
        <v>56</v>
      </c>
      <c r="G729" t="s">
        <v>57</v>
      </c>
      <c r="H729">
        <v>122</v>
      </c>
      <c r="I729">
        <v>2</v>
      </c>
      <c r="J729">
        <v>6</v>
      </c>
      <c r="K729" t="s">
        <v>57</v>
      </c>
      <c r="L729">
        <v>1</v>
      </c>
      <c r="M729">
        <v>0.90314740000758298</v>
      </c>
      <c r="N729" t="s">
        <v>51</v>
      </c>
      <c r="O729">
        <v>6</v>
      </c>
      <c r="P729">
        <v>2</v>
      </c>
      <c r="Q729">
        <v>122</v>
      </c>
      <c r="R729">
        <v>13</v>
      </c>
      <c r="S729">
        <v>166.93897840002299</v>
      </c>
      <c r="X729">
        <v>166.927922700007</v>
      </c>
      <c r="Y729">
        <v>166.93897840002299</v>
      </c>
      <c r="Z729">
        <v>167.43948160001301</v>
      </c>
      <c r="AA729">
        <v>167.43948160001301</v>
      </c>
      <c r="AB729">
        <v>167.43948160001301</v>
      </c>
      <c r="AC729">
        <v>168.34357450000201</v>
      </c>
      <c r="AD729" t="s">
        <v>57</v>
      </c>
      <c r="AE729">
        <v>1</v>
      </c>
      <c r="AF729">
        <v>0.90314740000758298</v>
      </c>
      <c r="AG729" t="s">
        <v>51</v>
      </c>
      <c r="AK729" t="s">
        <v>93</v>
      </c>
      <c r="AL729">
        <v>1</v>
      </c>
      <c r="AM729" t="s">
        <v>85</v>
      </c>
      <c r="AN729" t="s">
        <v>43</v>
      </c>
      <c r="AP729" t="s">
        <v>44</v>
      </c>
      <c r="AQ729">
        <v>59.992644915568597</v>
      </c>
      <c r="AR729" t="s">
        <v>86</v>
      </c>
    </row>
    <row r="730" spans="1:44" x14ac:dyDescent="0.3">
      <c r="A730" t="s">
        <v>75</v>
      </c>
      <c r="B730" t="s">
        <v>49</v>
      </c>
      <c r="C730" s="2" t="str">
        <f t="shared" si="11"/>
        <v>Neutral</v>
      </c>
      <c r="D730">
        <v>0.76330660004168704</v>
      </c>
      <c r="E730" t="s">
        <v>47</v>
      </c>
      <c r="F730" t="s">
        <v>61</v>
      </c>
      <c r="G730" t="s">
        <v>63</v>
      </c>
      <c r="H730">
        <v>123</v>
      </c>
      <c r="I730">
        <v>3</v>
      </c>
      <c r="J730">
        <v>6</v>
      </c>
      <c r="K730" t="s">
        <v>63</v>
      </c>
      <c r="L730">
        <v>1</v>
      </c>
      <c r="M730">
        <v>0.67433540005004</v>
      </c>
      <c r="N730" t="s">
        <v>51</v>
      </c>
      <c r="O730">
        <v>6</v>
      </c>
      <c r="P730">
        <v>3</v>
      </c>
      <c r="Q730">
        <v>123</v>
      </c>
      <c r="R730">
        <v>16</v>
      </c>
      <c r="S730">
        <v>168.35589960002099</v>
      </c>
      <c r="X730">
        <v>168.34667100000601</v>
      </c>
      <c r="Y730">
        <v>168.35589960002099</v>
      </c>
      <c r="Z730">
        <v>168.85578119999201</v>
      </c>
      <c r="AA730">
        <v>168.85578119999201</v>
      </c>
      <c r="AB730">
        <v>168.85578119999201</v>
      </c>
      <c r="AC730">
        <v>169.541646900004</v>
      </c>
      <c r="AD730" t="s">
        <v>63</v>
      </c>
      <c r="AE730">
        <v>1</v>
      </c>
      <c r="AF730">
        <v>0.67433540005004</v>
      </c>
      <c r="AG730" t="s">
        <v>51</v>
      </c>
      <c r="AK730" t="s">
        <v>93</v>
      </c>
      <c r="AL730">
        <v>1</v>
      </c>
      <c r="AM730" t="s">
        <v>85</v>
      </c>
      <c r="AN730" t="s">
        <v>43</v>
      </c>
      <c r="AP730" t="s">
        <v>44</v>
      </c>
      <c r="AQ730">
        <v>59.992644915568597</v>
      </c>
      <c r="AR730" t="s">
        <v>86</v>
      </c>
    </row>
    <row r="731" spans="1:44" x14ac:dyDescent="0.3">
      <c r="A731" t="s">
        <v>76</v>
      </c>
      <c r="B731" t="s">
        <v>49</v>
      </c>
      <c r="C731" s="2" t="str">
        <f t="shared" si="11"/>
        <v>Emotional-I</v>
      </c>
      <c r="D731">
        <v>0.50593770004343197</v>
      </c>
      <c r="E731" t="s">
        <v>59</v>
      </c>
      <c r="F731" t="s">
        <v>48</v>
      </c>
      <c r="G731" t="s">
        <v>50</v>
      </c>
      <c r="H731">
        <v>124</v>
      </c>
      <c r="I731">
        <v>4</v>
      </c>
      <c r="J731">
        <v>6</v>
      </c>
      <c r="K731" t="s">
        <v>50</v>
      </c>
      <c r="L731">
        <v>1</v>
      </c>
      <c r="M731">
        <v>1.6011296999640701</v>
      </c>
      <c r="N731" t="s">
        <v>51</v>
      </c>
      <c r="O731">
        <v>6</v>
      </c>
      <c r="P731">
        <v>4</v>
      </c>
      <c r="Q731">
        <v>124</v>
      </c>
      <c r="R731">
        <v>3</v>
      </c>
      <c r="S731">
        <v>169.55534439999599</v>
      </c>
      <c r="X731">
        <v>169.54410320002299</v>
      </c>
      <c r="Y731">
        <v>169.55534439999599</v>
      </c>
      <c r="Z731">
        <v>170.05541740002801</v>
      </c>
      <c r="AA731">
        <v>170.05541740002801</v>
      </c>
      <c r="AB731">
        <v>170.05541740002801</v>
      </c>
      <c r="AC731">
        <v>171.65884109999701</v>
      </c>
      <c r="AD731" t="s">
        <v>50</v>
      </c>
      <c r="AE731">
        <v>1</v>
      </c>
      <c r="AF731">
        <v>1.6011296999640701</v>
      </c>
      <c r="AG731" t="s">
        <v>51</v>
      </c>
      <c r="AK731" t="s">
        <v>93</v>
      </c>
      <c r="AL731">
        <v>1</v>
      </c>
      <c r="AM731" t="s">
        <v>85</v>
      </c>
      <c r="AN731" t="s">
        <v>43</v>
      </c>
      <c r="AP731" t="s">
        <v>44</v>
      </c>
      <c r="AQ731">
        <v>59.992644915568597</v>
      </c>
      <c r="AR731" t="s">
        <v>86</v>
      </c>
    </row>
    <row r="732" spans="1:44" x14ac:dyDescent="0.3">
      <c r="A732" t="s">
        <v>52</v>
      </c>
      <c r="B732" t="s">
        <v>49</v>
      </c>
      <c r="C732" s="2" t="str">
        <f t="shared" si="11"/>
        <v>Neutral</v>
      </c>
      <c r="D732">
        <v>0.64916199998697199</v>
      </c>
      <c r="E732" t="s">
        <v>47</v>
      </c>
      <c r="F732" t="s">
        <v>53</v>
      </c>
      <c r="G732" t="s">
        <v>54</v>
      </c>
      <c r="H732">
        <v>125</v>
      </c>
      <c r="I732">
        <v>5</v>
      </c>
      <c r="J732">
        <v>6</v>
      </c>
      <c r="K732" t="s">
        <v>54</v>
      </c>
      <c r="L732">
        <v>1</v>
      </c>
      <c r="M732">
        <v>0.94628159998683203</v>
      </c>
      <c r="N732" t="s">
        <v>51</v>
      </c>
      <c r="O732">
        <v>6</v>
      </c>
      <c r="P732">
        <v>5</v>
      </c>
      <c r="Q732">
        <v>125</v>
      </c>
      <c r="R732">
        <v>14</v>
      </c>
      <c r="S732">
        <v>171.67198679997799</v>
      </c>
      <c r="X732">
        <v>171.66132329998001</v>
      </c>
      <c r="Y732">
        <v>171.67198679997799</v>
      </c>
      <c r="Z732">
        <v>172.171493500005</v>
      </c>
      <c r="AA732">
        <v>172.171493500005</v>
      </c>
      <c r="AB732">
        <v>172.171493500005</v>
      </c>
      <c r="AC732">
        <v>173.12539419997401</v>
      </c>
      <c r="AD732" t="s">
        <v>54</v>
      </c>
      <c r="AE732">
        <v>1</v>
      </c>
      <c r="AF732">
        <v>0.94628159998683203</v>
      </c>
      <c r="AG732" t="s">
        <v>51</v>
      </c>
      <c r="AK732" t="s">
        <v>93</v>
      </c>
      <c r="AL732">
        <v>1</v>
      </c>
      <c r="AM732" t="s">
        <v>85</v>
      </c>
      <c r="AN732" t="s">
        <v>43</v>
      </c>
      <c r="AP732" t="s">
        <v>44</v>
      </c>
      <c r="AQ732">
        <v>59.992644915568597</v>
      </c>
      <c r="AR732" t="s">
        <v>86</v>
      </c>
    </row>
    <row r="733" spans="1:44" hidden="1" x14ac:dyDescent="0.3">
      <c r="A733" t="s">
        <v>77</v>
      </c>
      <c r="B733" t="s">
        <v>62</v>
      </c>
      <c r="C733" s="2" t="str">
        <f t="shared" si="11"/>
        <v>Emotional-C</v>
      </c>
      <c r="D733">
        <v>0.52195170003687896</v>
      </c>
      <c r="E733" t="s">
        <v>59</v>
      </c>
      <c r="F733" t="s">
        <v>61</v>
      </c>
      <c r="G733" t="s">
        <v>63</v>
      </c>
      <c r="H733">
        <v>126</v>
      </c>
      <c r="I733">
        <v>6</v>
      </c>
      <c r="J733">
        <v>6</v>
      </c>
      <c r="K733" t="s">
        <v>57</v>
      </c>
      <c r="L733">
        <v>0</v>
      </c>
      <c r="M733">
        <v>0.89250730001367595</v>
      </c>
      <c r="N733" t="s">
        <v>51</v>
      </c>
      <c r="O733">
        <v>6</v>
      </c>
      <c r="P733">
        <v>6</v>
      </c>
      <c r="Q733">
        <v>126</v>
      </c>
      <c r="R733">
        <v>4</v>
      </c>
      <c r="S733">
        <v>173.13825449999399</v>
      </c>
      <c r="X733">
        <v>173.12806080002301</v>
      </c>
      <c r="Y733">
        <v>173.13825449999399</v>
      </c>
      <c r="Z733">
        <v>173.63852610002499</v>
      </c>
      <c r="AA733">
        <v>173.63852610002499</v>
      </c>
      <c r="AB733">
        <v>173.63852610002499</v>
      </c>
      <c r="AC733">
        <v>174.54324550001101</v>
      </c>
      <c r="AD733" t="s">
        <v>57</v>
      </c>
      <c r="AE733">
        <v>0</v>
      </c>
      <c r="AF733">
        <v>0.89250730001367595</v>
      </c>
      <c r="AG733" t="s">
        <v>51</v>
      </c>
      <c r="AK733" t="s">
        <v>93</v>
      </c>
      <c r="AL733">
        <v>1</v>
      </c>
      <c r="AM733" t="s">
        <v>85</v>
      </c>
      <c r="AN733" t="s">
        <v>43</v>
      </c>
      <c r="AP733" t="s">
        <v>44</v>
      </c>
      <c r="AQ733">
        <v>59.992644915568597</v>
      </c>
      <c r="AR733" t="s">
        <v>86</v>
      </c>
    </row>
    <row r="734" spans="1:44" x14ac:dyDescent="0.3">
      <c r="A734" t="s">
        <v>71</v>
      </c>
      <c r="B734" t="s">
        <v>49</v>
      </c>
      <c r="C734" s="2" t="str">
        <f t="shared" si="11"/>
        <v>Neutral</v>
      </c>
      <c r="D734">
        <v>0.68553009995957803</v>
      </c>
      <c r="E734" t="s">
        <v>47</v>
      </c>
      <c r="F734" t="s">
        <v>48</v>
      </c>
      <c r="G734" t="s">
        <v>50</v>
      </c>
      <c r="H734">
        <v>127</v>
      </c>
      <c r="I734">
        <v>7</v>
      </c>
      <c r="J734">
        <v>6</v>
      </c>
      <c r="K734" t="s">
        <v>50</v>
      </c>
      <c r="L734">
        <v>1</v>
      </c>
      <c r="M734">
        <v>0.70783080003457099</v>
      </c>
      <c r="N734" t="s">
        <v>51</v>
      </c>
      <c r="O734">
        <v>6</v>
      </c>
      <c r="P734">
        <v>7</v>
      </c>
      <c r="Q734">
        <v>127</v>
      </c>
      <c r="R734">
        <v>15</v>
      </c>
      <c r="S734">
        <v>174.55503089999499</v>
      </c>
      <c r="X734">
        <v>174.546202600002</v>
      </c>
      <c r="Y734">
        <v>174.55503089999499</v>
      </c>
      <c r="Z734">
        <v>175.05508680001299</v>
      </c>
      <c r="AA734">
        <v>175.05508680001299</v>
      </c>
      <c r="AB734">
        <v>175.05508680001299</v>
      </c>
      <c r="AC734">
        <v>175.77560480003001</v>
      </c>
      <c r="AD734" t="s">
        <v>50</v>
      </c>
      <c r="AE734">
        <v>1</v>
      </c>
      <c r="AF734">
        <v>0.70783080003457099</v>
      </c>
      <c r="AG734" t="s">
        <v>51</v>
      </c>
      <c r="AK734" t="s">
        <v>93</v>
      </c>
      <c r="AL734">
        <v>1</v>
      </c>
      <c r="AM734" t="s">
        <v>85</v>
      </c>
      <c r="AN734" t="s">
        <v>43</v>
      </c>
      <c r="AP734" t="s">
        <v>44</v>
      </c>
      <c r="AQ734">
        <v>59.992644915568597</v>
      </c>
      <c r="AR734" t="s">
        <v>86</v>
      </c>
    </row>
    <row r="735" spans="1:44" x14ac:dyDescent="0.3">
      <c r="A735" t="s">
        <v>69</v>
      </c>
      <c r="B735" t="s">
        <v>49</v>
      </c>
      <c r="C735" s="2" t="str">
        <f t="shared" si="11"/>
        <v>Emotional-I</v>
      </c>
      <c r="D735">
        <v>0.40430430002743301</v>
      </c>
      <c r="E735" t="s">
        <v>59</v>
      </c>
      <c r="F735" t="s">
        <v>56</v>
      </c>
      <c r="G735" t="s">
        <v>57</v>
      </c>
      <c r="H735">
        <v>128</v>
      </c>
      <c r="I735">
        <v>8</v>
      </c>
      <c r="J735">
        <v>6</v>
      </c>
      <c r="K735" t="s">
        <v>57</v>
      </c>
      <c r="L735">
        <v>1</v>
      </c>
      <c r="M735">
        <v>0.98288870003307205</v>
      </c>
      <c r="N735" t="s">
        <v>51</v>
      </c>
      <c r="O735">
        <v>6</v>
      </c>
      <c r="P735">
        <v>8</v>
      </c>
      <c r="Q735">
        <v>128</v>
      </c>
      <c r="R735">
        <v>5</v>
      </c>
      <c r="S735">
        <v>175.78830409998699</v>
      </c>
      <c r="X735">
        <v>175.77904260001301</v>
      </c>
      <c r="Y735">
        <v>175.78830409998699</v>
      </c>
      <c r="Z735">
        <v>176.28916960000001</v>
      </c>
      <c r="AA735">
        <v>176.28916960000001</v>
      </c>
      <c r="AB735">
        <v>176.28916960000001</v>
      </c>
      <c r="AC735">
        <v>177.275636899983</v>
      </c>
      <c r="AD735" t="s">
        <v>57</v>
      </c>
      <c r="AE735">
        <v>1</v>
      </c>
      <c r="AF735">
        <v>0.98288870003307205</v>
      </c>
      <c r="AG735" t="s">
        <v>51</v>
      </c>
      <c r="AK735" t="s">
        <v>93</v>
      </c>
      <c r="AL735">
        <v>1</v>
      </c>
      <c r="AM735" t="s">
        <v>85</v>
      </c>
      <c r="AN735" t="s">
        <v>43</v>
      </c>
      <c r="AP735" t="s">
        <v>44</v>
      </c>
      <c r="AQ735">
        <v>59.992644915568597</v>
      </c>
      <c r="AR735" t="s">
        <v>86</v>
      </c>
    </row>
    <row r="736" spans="1:44" x14ac:dyDescent="0.3">
      <c r="A736" t="s">
        <v>64</v>
      </c>
      <c r="B736" t="s">
        <v>49</v>
      </c>
      <c r="C736" s="2" t="str">
        <f t="shared" si="11"/>
        <v>Neutral</v>
      </c>
      <c r="D736">
        <v>0.59179720003157799</v>
      </c>
      <c r="E736" t="s">
        <v>47</v>
      </c>
      <c r="F736" t="s">
        <v>53</v>
      </c>
      <c r="G736" t="s">
        <v>54</v>
      </c>
      <c r="H736">
        <v>129</v>
      </c>
      <c r="I736">
        <v>9</v>
      </c>
      <c r="J736">
        <v>6</v>
      </c>
      <c r="K736" t="s">
        <v>54</v>
      </c>
      <c r="L736">
        <v>1</v>
      </c>
      <c r="M736">
        <v>1.9289894999819801</v>
      </c>
      <c r="N736" t="s">
        <v>51</v>
      </c>
      <c r="O736">
        <v>6</v>
      </c>
      <c r="P736">
        <v>9</v>
      </c>
      <c r="Q736">
        <v>129</v>
      </c>
      <c r="R736">
        <v>18</v>
      </c>
      <c r="S736">
        <v>177.28808670001999</v>
      </c>
      <c r="X736">
        <v>177.27808820002201</v>
      </c>
      <c r="Y736">
        <v>177.28808670001999</v>
      </c>
      <c r="Z736">
        <v>177.78888439998201</v>
      </c>
      <c r="AA736">
        <v>177.78888439998201</v>
      </c>
      <c r="AB736">
        <v>177.78888439998201</v>
      </c>
      <c r="AC736">
        <v>179.725533900025</v>
      </c>
      <c r="AD736" t="s">
        <v>54</v>
      </c>
      <c r="AE736">
        <v>1</v>
      </c>
      <c r="AF736">
        <v>1.9289894999819801</v>
      </c>
      <c r="AG736" t="s">
        <v>51</v>
      </c>
      <c r="AK736" t="s">
        <v>93</v>
      </c>
      <c r="AL736">
        <v>1</v>
      </c>
      <c r="AM736" t="s">
        <v>85</v>
      </c>
      <c r="AN736" t="s">
        <v>43</v>
      </c>
      <c r="AP736" t="s">
        <v>44</v>
      </c>
      <c r="AQ736">
        <v>59.992644915568597</v>
      </c>
      <c r="AR736" t="s">
        <v>86</v>
      </c>
    </row>
    <row r="737" spans="1:44" x14ac:dyDescent="0.3">
      <c r="A737" t="s">
        <v>46</v>
      </c>
      <c r="B737" t="s">
        <v>49</v>
      </c>
      <c r="C737" s="2" t="str">
        <f t="shared" si="11"/>
        <v>Neutral</v>
      </c>
      <c r="D737">
        <v>0.78021510003600203</v>
      </c>
      <c r="E737" t="s">
        <v>47</v>
      </c>
      <c r="F737" t="s">
        <v>48</v>
      </c>
      <c r="G737" t="s">
        <v>50</v>
      </c>
      <c r="H737">
        <v>130</v>
      </c>
      <c r="I737">
        <v>10</v>
      </c>
      <c r="J737">
        <v>6</v>
      </c>
      <c r="K737" t="s">
        <v>50</v>
      </c>
      <c r="L737">
        <v>1</v>
      </c>
      <c r="M737">
        <v>1.45297590002883</v>
      </c>
      <c r="N737" t="s">
        <v>51</v>
      </c>
      <c r="O737">
        <v>6</v>
      </c>
      <c r="P737">
        <v>10</v>
      </c>
      <c r="Q737">
        <v>130</v>
      </c>
      <c r="R737">
        <v>19</v>
      </c>
      <c r="S737">
        <v>179.73810209997399</v>
      </c>
      <c r="X737">
        <v>179.72845679998801</v>
      </c>
      <c r="Y737">
        <v>179.73810209997399</v>
      </c>
      <c r="Z737">
        <v>180.23866189998799</v>
      </c>
      <c r="AA737">
        <v>180.23866189998799</v>
      </c>
      <c r="AB737">
        <v>180.23866189998799</v>
      </c>
      <c r="AC737">
        <v>181.70827559998699</v>
      </c>
      <c r="AD737" t="s">
        <v>50</v>
      </c>
      <c r="AE737">
        <v>1</v>
      </c>
      <c r="AF737">
        <v>1.45297590002883</v>
      </c>
      <c r="AG737" t="s">
        <v>51</v>
      </c>
      <c r="AK737" t="s">
        <v>93</v>
      </c>
      <c r="AL737">
        <v>1</v>
      </c>
      <c r="AM737" t="s">
        <v>85</v>
      </c>
      <c r="AN737" t="s">
        <v>43</v>
      </c>
      <c r="AP737" t="s">
        <v>44</v>
      </c>
      <c r="AQ737">
        <v>59.992644915568597</v>
      </c>
      <c r="AR737" t="s">
        <v>86</v>
      </c>
    </row>
    <row r="738" spans="1:44" x14ac:dyDescent="0.3">
      <c r="A738" t="s">
        <v>66</v>
      </c>
      <c r="B738" t="s">
        <v>49</v>
      </c>
      <c r="C738" s="2" t="str">
        <f t="shared" si="11"/>
        <v>Neutral</v>
      </c>
      <c r="D738">
        <v>0.84518180001759902</v>
      </c>
      <c r="E738" t="s">
        <v>47</v>
      </c>
      <c r="F738" t="s">
        <v>61</v>
      </c>
      <c r="G738" t="s">
        <v>63</v>
      </c>
      <c r="H738">
        <v>131</v>
      </c>
      <c r="I738">
        <v>11</v>
      </c>
      <c r="J738">
        <v>6</v>
      </c>
      <c r="K738" t="s">
        <v>63</v>
      </c>
      <c r="L738">
        <v>1</v>
      </c>
      <c r="M738">
        <v>0.73400709999259495</v>
      </c>
      <c r="N738" t="s">
        <v>51</v>
      </c>
      <c r="O738">
        <v>6</v>
      </c>
      <c r="P738">
        <v>11</v>
      </c>
      <c r="Q738">
        <v>131</v>
      </c>
      <c r="R738">
        <v>12</v>
      </c>
      <c r="S738">
        <v>181.722208800027</v>
      </c>
      <c r="X738">
        <v>181.71077330003001</v>
      </c>
      <c r="Y738">
        <v>181.722208800027</v>
      </c>
      <c r="Z738">
        <v>182.22112240001999</v>
      </c>
      <c r="AA738">
        <v>182.22112240001999</v>
      </c>
      <c r="AB738">
        <v>182.22112240001999</v>
      </c>
      <c r="AC738">
        <v>182.95893179997799</v>
      </c>
      <c r="AD738" t="s">
        <v>63</v>
      </c>
      <c r="AE738">
        <v>1</v>
      </c>
      <c r="AF738">
        <v>0.73400709999259495</v>
      </c>
      <c r="AG738" t="s">
        <v>51</v>
      </c>
      <c r="AK738" t="s">
        <v>93</v>
      </c>
      <c r="AL738">
        <v>1</v>
      </c>
      <c r="AM738" t="s">
        <v>85</v>
      </c>
      <c r="AN738" t="s">
        <v>43</v>
      </c>
      <c r="AP738" t="s">
        <v>44</v>
      </c>
      <c r="AQ738">
        <v>59.992644915568597</v>
      </c>
      <c r="AR738" t="s">
        <v>86</v>
      </c>
    </row>
    <row r="739" spans="1:44" x14ac:dyDescent="0.3">
      <c r="A739" t="s">
        <v>65</v>
      </c>
      <c r="B739" t="s">
        <v>49</v>
      </c>
      <c r="C739" s="2" t="str">
        <f t="shared" si="11"/>
        <v>Emotional-I</v>
      </c>
      <c r="D739">
        <v>0.60449650004738897</v>
      </c>
      <c r="E739" t="s">
        <v>59</v>
      </c>
      <c r="F739" t="s">
        <v>56</v>
      </c>
      <c r="G739" t="s">
        <v>57</v>
      </c>
      <c r="H739">
        <v>132</v>
      </c>
      <c r="I739">
        <v>12</v>
      </c>
      <c r="J739">
        <v>6</v>
      </c>
      <c r="K739" t="s">
        <v>57</v>
      </c>
      <c r="L739">
        <v>1</v>
      </c>
      <c r="M739">
        <v>1.2702166999806599</v>
      </c>
      <c r="N739" t="s">
        <v>51</v>
      </c>
      <c r="O739">
        <v>6</v>
      </c>
      <c r="P739">
        <v>12</v>
      </c>
      <c r="Q739">
        <v>132</v>
      </c>
      <c r="R739">
        <v>9</v>
      </c>
      <c r="S739">
        <v>182.97114490001599</v>
      </c>
      <c r="X739">
        <v>182.96203410002599</v>
      </c>
      <c r="Y739">
        <v>182.97114490001599</v>
      </c>
      <c r="Z739">
        <v>183.47242990002201</v>
      </c>
      <c r="AA739">
        <v>183.47242990002201</v>
      </c>
      <c r="AB739">
        <v>183.47242990002201</v>
      </c>
      <c r="AC739">
        <v>184.75856799998999</v>
      </c>
      <c r="AD739" t="s">
        <v>57</v>
      </c>
      <c r="AE739">
        <v>1</v>
      </c>
      <c r="AF739">
        <v>1.2702166999806599</v>
      </c>
      <c r="AG739" t="s">
        <v>51</v>
      </c>
      <c r="AK739" t="s">
        <v>93</v>
      </c>
      <c r="AL739">
        <v>1</v>
      </c>
      <c r="AM739" t="s">
        <v>85</v>
      </c>
      <c r="AN739" t="s">
        <v>43</v>
      </c>
      <c r="AP739" t="s">
        <v>44</v>
      </c>
      <c r="AQ739">
        <v>59.992644915568597</v>
      </c>
      <c r="AR739" t="s">
        <v>86</v>
      </c>
    </row>
    <row r="740" spans="1:44" x14ac:dyDescent="0.3">
      <c r="A740" t="s">
        <v>78</v>
      </c>
      <c r="B740" t="s">
        <v>49</v>
      </c>
      <c r="C740" s="2" t="str">
        <f t="shared" si="11"/>
        <v>Neutral</v>
      </c>
      <c r="D740">
        <v>0.81945999996969399</v>
      </c>
      <c r="E740" t="s">
        <v>47</v>
      </c>
      <c r="F740" t="s">
        <v>56</v>
      </c>
      <c r="G740" t="s">
        <v>57</v>
      </c>
      <c r="H740">
        <v>133</v>
      </c>
      <c r="I740">
        <v>13</v>
      </c>
      <c r="J740">
        <v>6</v>
      </c>
      <c r="K740" t="s">
        <v>57</v>
      </c>
      <c r="L740">
        <v>1</v>
      </c>
      <c r="M740">
        <v>0.56307430000742897</v>
      </c>
      <c r="N740" t="s">
        <v>51</v>
      </c>
      <c r="O740">
        <v>6</v>
      </c>
      <c r="P740">
        <v>13</v>
      </c>
      <c r="Q740">
        <v>133</v>
      </c>
      <c r="R740">
        <v>17</v>
      </c>
      <c r="S740">
        <v>184.771500599978</v>
      </c>
      <c r="X740">
        <v>184.76110960001799</v>
      </c>
      <c r="Y740">
        <v>184.771500599978</v>
      </c>
      <c r="Z740">
        <v>185.27133630000699</v>
      </c>
      <c r="AA740">
        <v>185.27133630000699</v>
      </c>
      <c r="AB740">
        <v>185.27133630000699</v>
      </c>
      <c r="AC740">
        <v>185.842478099977</v>
      </c>
      <c r="AD740" t="s">
        <v>57</v>
      </c>
      <c r="AE740">
        <v>1</v>
      </c>
      <c r="AF740">
        <v>0.56307430000742897</v>
      </c>
      <c r="AG740" t="s">
        <v>51</v>
      </c>
      <c r="AK740" t="s">
        <v>93</v>
      </c>
      <c r="AL740">
        <v>1</v>
      </c>
      <c r="AM740" t="s">
        <v>85</v>
      </c>
      <c r="AN740" t="s">
        <v>43</v>
      </c>
      <c r="AP740" t="s">
        <v>44</v>
      </c>
      <c r="AQ740">
        <v>59.992644915568597</v>
      </c>
      <c r="AR740" t="s">
        <v>86</v>
      </c>
    </row>
    <row r="741" spans="1:44" x14ac:dyDescent="0.3">
      <c r="A741" t="s">
        <v>60</v>
      </c>
      <c r="B741" t="s">
        <v>62</v>
      </c>
      <c r="C741" s="2" t="str">
        <f t="shared" si="11"/>
        <v>Emotional-C</v>
      </c>
      <c r="D741">
        <v>0.44667650002520498</v>
      </c>
      <c r="E741" t="s">
        <v>59</v>
      </c>
      <c r="F741" t="s">
        <v>61</v>
      </c>
      <c r="G741" t="s">
        <v>63</v>
      </c>
      <c r="H741">
        <v>134</v>
      </c>
      <c r="I741">
        <v>14</v>
      </c>
      <c r="J741">
        <v>6</v>
      </c>
      <c r="K741" t="s">
        <v>63</v>
      </c>
      <c r="L741">
        <v>1</v>
      </c>
      <c r="M741">
        <v>1.2469727999996301</v>
      </c>
      <c r="N741" t="s">
        <v>51</v>
      </c>
      <c r="O741">
        <v>6</v>
      </c>
      <c r="P741">
        <v>14</v>
      </c>
      <c r="Q741">
        <v>134</v>
      </c>
      <c r="R741">
        <v>0</v>
      </c>
      <c r="S741">
        <v>185.85452370002099</v>
      </c>
      <c r="X741">
        <v>185.84516550000899</v>
      </c>
      <c r="Y741">
        <v>185.85452370002099</v>
      </c>
      <c r="Z741">
        <v>186.355224300001</v>
      </c>
      <c r="AA741">
        <v>186.355224300001</v>
      </c>
      <c r="AB741">
        <v>186.355224300001</v>
      </c>
      <c r="AC741">
        <v>187.60881469998199</v>
      </c>
      <c r="AD741" t="s">
        <v>63</v>
      </c>
      <c r="AE741">
        <v>1</v>
      </c>
      <c r="AF741">
        <v>1.2469727999996301</v>
      </c>
      <c r="AG741" t="s">
        <v>51</v>
      </c>
      <c r="AK741" t="s">
        <v>93</v>
      </c>
      <c r="AL741">
        <v>1</v>
      </c>
      <c r="AM741" t="s">
        <v>85</v>
      </c>
      <c r="AN741" t="s">
        <v>43</v>
      </c>
      <c r="AP741" t="s">
        <v>44</v>
      </c>
      <c r="AQ741">
        <v>59.992644915568597</v>
      </c>
      <c r="AR741" t="s">
        <v>86</v>
      </c>
    </row>
    <row r="742" spans="1:44" x14ac:dyDescent="0.3">
      <c r="A742" t="s">
        <v>73</v>
      </c>
      <c r="B742" t="s">
        <v>49</v>
      </c>
      <c r="C742" s="2" t="str">
        <f t="shared" si="11"/>
        <v>Emotional-I</v>
      </c>
      <c r="D742">
        <v>0.99361210002098199</v>
      </c>
      <c r="E742" t="s">
        <v>59</v>
      </c>
      <c r="F742" t="s">
        <v>56</v>
      </c>
      <c r="G742" t="s">
        <v>57</v>
      </c>
      <c r="H742">
        <v>135</v>
      </c>
      <c r="I742">
        <v>15</v>
      </c>
      <c r="J742">
        <v>6</v>
      </c>
      <c r="K742" t="s">
        <v>57</v>
      </c>
      <c r="L742">
        <v>1</v>
      </c>
      <c r="M742">
        <v>0.93467079999390901</v>
      </c>
      <c r="N742" t="s">
        <v>51</v>
      </c>
      <c r="O742">
        <v>6</v>
      </c>
      <c r="P742">
        <v>15</v>
      </c>
      <c r="Q742">
        <v>135</v>
      </c>
      <c r="R742">
        <v>1</v>
      </c>
      <c r="S742">
        <v>187.62336349999501</v>
      </c>
      <c r="X742">
        <v>187.612178699986</v>
      </c>
      <c r="Y742">
        <v>187.62336349999501</v>
      </c>
      <c r="Z742">
        <v>188.12145769997699</v>
      </c>
      <c r="AA742">
        <v>188.12145769997699</v>
      </c>
      <c r="AB742">
        <v>188.12145769997699</v>
      </c>
      <c r="AC742">
        <v>189.05838010000201</v>
      </c>
      <c r="AD742" t="s">
        <v>57</v>
      </c>
      <c r="AE742">
        <v>1</v>
      </c>
      <c r="AF742">
        <v>0.93467079999390901</v>
      </c>
      <c r="AG742" t="s">
        <v>51</v>
      </c>
      <c r="AK742" t="s">
        <v>93</v>
      </c>
      <c r="AL742">
        <v>1</v>
      </c>
      <c r="AM742" t="s">
        <v>85</v>
      </c>
      <c r="AN742" t="s">
        <v>43</v>
      </c>
      <c r="AP742" t="s">
        <v>44</v>
      </c>
      <c r="AQ742">
        <v>59.992644915568597</v>
      </c>
      <c r="AR742" t="s">
        <v>86</v>
      </c>
    </row>
    <row r="743" spans="1:44" x14ac:dyDescent="0.3">
      <c r="A743" t="s">
        <v>68</v>
      </c>
      <c r="B743" t="s">
        <v>49</v>
      </c>
      <c r="C743" s="2" t="str">
        <f t="shared" si="11"/>
        <v>Emotional-I</v>
      </c>
      <c r="D743">
        <v>0.53437090001534604</v>
      </c>
      <c r="E743" t="s">
        <v>59</v>
      </c>
      <c r="F743" t="s">
        <v>53</v>
      </c>
      <c r="G743" t="s">
        <v>54</v>
      </c>
      <c r="H743">
        <v>136</v>
      </c>
      <c r="I743">
        <v>16</v>
      </c>
      <c r="J743">
        <v>6</v>
      </c>
      <c r="K743" t="s">
        <v>54</v>
      </c>
      <c r="L743">
        <v>1</v>
      </c>
      <c r="M743">
        <v>0.76330910000251595</v>
      </c>
      <c r="N743" t="s">
        <v>51</v>
      </c>
      <c r="O743">
        <v>6</v>
      </c>
      <c r="P743">
        <v>16</v>
      </c>
      <c r="Q743">
        <v>136</v>
      </c>
      <c r="R743">
        <v>6</v>
      </c>
      <c r="S743">
        <v>189.07143270003101</v>
      </c>
      <c r="X743">
        <v>189.06101990002199</v>
      </c>
      <c r="Y743">
        <v>189.07143270003101</v>
      </c>
      <c r="Z743">
        <v>189.571140200016</v>
      </c>
      <c r="AA743">
        <v>189.571140200016</v>
      </c>
      <c r="AB743">
        <v>189.571140200016</v>
      </c>
      <c r="AC743">
        <v>190.342277700023</v>
      </c>
      <c r="AD743" t="s">
        <v>54</v>
      </c>
      <c r="AE743">
        <v>1</v>
      </c>
      <c r="AF743">
        <v>0.76330910000251595</v>
      </c>
      <c r="AG743" t="s">
        <v>51</v>
      </c>
      <c r="AK743" t="s">
        <v>93</v>
      </c>
      <c r="AL743">
        <v>1</v>
      </c>
      <c r="AM743" t="s">
        <v>85</v>
      </c>
      <c r="AN743" t="s">
        <v>43</v>
      </c>
      <c r="AP743" t="s">
        <v>44</v>
      </c>
      <c r="AQ743">
        <v>59.992644915568597</v>
      </c>
      <c r="AR743" t="s">
        <v>86</v>
      </c>
    </row>
    <row r="744" spans="1:44" x14ac:dyDescent="0.3">
      <c r="A744" t="s">
        <v>70</v>
      </c>
      <c r="B744" t="s">
        <v>49</v>
      </c>
      <c r="C744" s="2" t="str">
        <f t="shared" si="11"/>
        <v>Emotional-I</v>
      </c>
      <c r="D744">
        <v>0.45794609998119901</v>
      </c>
      <c r="E744" t="s">
        <v>59</v>
      </c>
      <c r="F744" t="s">
        <v>53</v>
      </c>
      <c r="G744" t="s">
        <v>54</v>
      </c>
      <c r="H744">
        <v>137</v>
      </c>
      <c r="I744">
        <v>17</v>
      </c>
      <c r="J744">
        <v>6</v>
      </c>
      <c r="K744" t="s">
        <v>54</v>
      </c>
      <c r="L744">
        <v>1</v>
      </c>
      <c r="M744">
        <v>0.56673710001632505</v>
      </c>
      <c r="N744" t="s">
        <v>51</v>
      </c>
      <c r="O744">
        <v>6</v>
      </c>
      <c r="P744">
        <v>17</v>
      </c>
      <c r="Q744">
        <v>137</v>
      </c>
      <c r="R744">
        <v>2</v>
      </c>
      <c r="S744">
        <v>190.354858900012</v>
      </c>
      <c r="X744">
        <v>190.344883300014</v>
      </c>
      <c r="Y744">
        <v>190.354858900012</v>
      </c>
      <c r="Z744">
        <v>190.85438510001401</v>
      </c>
      <c r="AA744">
        <v>190.85438510001401</v>
      </c>
      <c r="AB744">
        <v>190.85438510001401</v>
      </c>
      <c r="AC744">
        <v>191.42485160002201</v>
      </c>
      <c r="AD744" t="s">
        <v>54</v>
      </c>
      <c r="AE744">
        <v>1</v>
      </c>
      <c r="AF744">
        <v>0.56673710001632505</v>
      </c>
      <c r="AG744" t="s">
        <v>51</v>
      </c>
      <c r="AK744" t="s">
        <v>93</v>
      </c>
      <c r="AL744">
        <v>1</v>
      </c>
      <c r="AM744" t="s">
        <v>85</v>
      </c>
      <c r="AN744" t="s">
        <v>43</v>
      </c>
      <c r="AP744" t="s">
        <v>44</v>
      </c>
      <c r="AQ744">
        <v>59.992644915568597</v>
      </c>
      <c r="AR744" t="s">
        <v>86</v>
      </c>
    </row>
    <row r="745" spans="1:44" x14ac:dyDescent="0.3">
      <c r="A745" t="s">
        <v>67</v>
      </c>
      <c r="B745" t="s">
        <v>49</v>
      </c>
      <c r="C745" s="2" t="str">
        <f t="shared" si="11"/>
        <v>Neutral</v>
      </c>
      <c r="D745">
        <v>0.636460400011856</v>
      </c>
      <c r="E745" t="s">
        <v>47</v>
      </c>
      <c r="F745" t="s">
        <v>53</v>
      </c>
      <c r="G745" t="s">
        <v>54</v>
      </c>
      <c r="H745">
        <v>138</v>
      </c>
      <c r="I745">
        <v>18</v>
      </c>
      <c r="J745">
        <v>6</v>
      </c>
      <c r="K745" t="s">
        <v>54</v>
      </c>
      <c r="L745">
        <v>1</v>
      </c>
      <c r="M745">
        <v>0.49799859995255202</v>
      </c>
      <c r="N745" t="s">
        <v>51</v>
      </c>
      <c r="O745">
        <v>6</v>
      </c>
      <c r="P745">
        <v>18</v>
      </c>
      <c r="Q745">
        <v>138</v>
      </c>
      <c r="R745">
        <v>10</v>
      </c>
      <c r="S745">
        <v>191.43761979998001</v>
      </c>
      <c r="X745">
        <v>191.42870260000899</v>
      </c>
      <c r="Y745">
        <v>191.43761979998001</v>
      </c>
      <c r="Z745">
        <v>191.93775739998</v>
      </c>
      <c r="AA745">
        <v>191.93775739998</v>
      </c>
      <c r="AB745">
        <v>191.93775739998</v>
      </c>
      <c r="AC745">
        <v>192.44196379999599</v>
      </c>
      <c r="AD745" t="s">
        <v>54</v>
      </c>
      <c r="AE745">
        <v>1</v>
      </c>
      <c r="AF745">
        <v>0.49799859995255202</v>
      </c>
      <c r="AG745" t="s">
        <v>51</v>
      </c>
      <c r="AK745" t="s">
        <v>93</v>
      </c>
      <c r="AL745">
        <v>1</v>
      </c>
      <c r="AM745" t="s">
        <v>85</v>
      </c>
      <c r="AN745" t="s">
        <v>43</v>
      </c>
      <c r="AP745" t="s">
        <v>44</v>
      </c>
      <c r="AQ745">
        <v>59.992644915568597</v>
      </c>
      <c r="AR745" t="s">
        <v>86</v>
      </c>
    </row>
    <row r="746" spans="1:44" x14ac:dyDescent="0.3">
      <c r="A746" t="s">
        <v>74</v>
      </c>
      <c r="B746" t="s">
        <v>49</v>
      </c>
      <c r="C746" s="2" t="str">
        <f t="shared" si="11"/>
        <v>Neutral</v>
      </c>
      <c r="D746">
        <v>0.78911309997783896</v>
      </c>
      <c r="E746" t="s">
        <v>47</v>
      </c>
      <c r="F746" t="s">
        <v>48</v>
      </c>
      <c r="G746" t="s">
        <v>50</v>
      </c>
      <c r="H746">
        <v>139</v>
      </c>
      <c r="I746">
        <v>19</v>
      </c>
      <c r="J746">
        <v>6</v>
      </c>
      <c r="K746" t="s">
        <v>50</v>
      </c>
      <c r="L746">
        <v>1</v>
      </c>
      <c r="M746">
        <v>0.66056620003655497</v>
      </c>
      <c r="N746" t="s">
        <v>51</v>
      </c>
      <c r="O746">
        <v>6</v>
      </c>
      <c r="P746">
        <v>19</v>
      </c>
      <c r="Q746">
        <v>139</v>
      </c>
      <c r="R746">
        <v>11</v>
      </c>
      <c r="S746">
        <v>192.45515619998301</v>
      </c>
      <c r="X746">
        <v>192.44494960002999</v>
      </c>
      <c r="Y746">
        <v>192.45515619998301</v>
      </c>
      <c r="Z746">
        <v>192.955053700017</v>
      </c>
      <c r="AA746">
        <v>192.955053700017</v>
      </c>
      <c r="AB746">
        <v>192.955053700017</v>
      </c>
      <c r="AC746">
        <v>193.624882399977</v>
      </c>
      <c r="AD746" t="s">
        <v>50</v>
      </c>
      <c r="AE746">
        <v>1</v>
      </c>
      <c r="AF746">
        <v>0.66056620003655497</v>
      </c>
      <c r="AG746" t="s">
        <v>51</v>
      </c>
      <c r="AK746" t="s">
        <v>93</v>
      </c>
      <c r="AL746">
        <v>1</v>
      </c>
      <c r="AM746" t="s">
        <v>85</v>
      </c>
      <c r="AN746" t="s">
        <v>43</v>
      </c>
      <c r="AP746" t="s">
        <v>44</v>
      </c>
      <c r="AQ746">
        <v>59.992644915568597</v>
      </c>
      <c r="AR746" t="s">
        <v>86</v>
      </c>
    </row>
    <row r="747" spans="1:44" x14ac:dyDescent="0.3">
      <c r="A747" t="s">
        <v>46</v>
      </c>
      <c r="B747" t="s">
        <v>49</v>
      </c>
      <c r="C747" s="2" t="str">
        <f t="shared" si="11"/>
        <v>Neutral</v>
      </c>
      <c r="D747">
        <v>0.74307809997117102</v>
      </c>
      <c r="E747" t="s">
        <v>47</v>
      </c>
      <c r="F747" t="s">
        <v>48</v>
      </c>
      <c r="G747" t="s">
        <v>50</v>
      </c>
      <c r="H747">
        <v>140</v>
      </c>
      <c r="I747">
        <v>0</v>
      </c>
      <c r="J747">
        <v>7</v>
      </c>
      <c r="K747" t="s">
        <v>50</v>
      </c>
      <c r="L747">
        <v>1</v>
      </c>
      <c r="M747">
        <v>0.54139500000746899</v>
      </c>
      <c r="N747" t="s">
        <v>51</v>
      </c>
      <c r="O747">
        <v>7</v>
      </c>
      <c r="P747">
        <v>0</v>
      </c>
      <c r="Q747">
        <v>140</v>
      </c>
      <c r="R747">
        <v>19</v>
      </c>
      <c r="S747">
        <v>193.638113300025</v>
      </c>
      <c r="X747">
        <v>193.627847400028</v>
      </c>
      <c r="Y747">
        <v>193.638113300025</v>
      </c>
      <c r="Z747">
        <v>194.13784999999899</v>
      </c>
      <c r="AA747">
        <v>194.13784999999899</v>
      </c>
      <c r="AB747">
        <v>194.13784999999899</v>
      </c>
      <c r="AC747">
        <v>194.69107810000401</v>
      </c>
      <c r="AD747" t="s">
        <v>50</v>
      </c>
      <c r="AE747">
        <v>1</v>
      </c>
      <c r="AF747">
        <v>0.54139500000746899</v>
      </c>
      <c r="AG747" t="s">
        <v>51</v>
      </c>
      <c r="AK747" t="s">
        <v>93</v>
      </c>
      <c r="AL747">
        <v>1</v>
      </c>
      <c r="AM747" t="s">
        <v>85</v>
      </c>
      <c r="AN747" t="s">
        <v>43</v>
      </c>
      <c r="AP747" t="s">
        <v>44</v>
      </c>
      <c r="AQ747">
        <v>59.992644915568597</v>
      </c>
      <c r="AR747" t="s">
        <v>86</v>
      </c>
    </row>
    <row r="748" spans="1:44" x14ac:dyDescent="0.3">
      <c r="A748" t="s">
        <v>55</v>
      </c>
      <c r="B748" t="s">
        <v>49</v>
      </c>
      <c r="C748" s="2" t="str">
        <f t="shared" si="11"/>
        <v>Neutral</v>
      </c>
      <c r="D748">
        <v>0.48034370003733701</v>
      </c>
      <c r="E748" t="s">
        <v>47</v>
      </c>
      <c r="F748" t="s">
        <v>56</v>
      </c>
      <c r="G748" t="s">
        <v>57</v>
      </c>
      <c r="H748">
        <v>141</v>
      </c>
      <c r="I748">
        <v>1</v>
      </c>
      <c r="J748">
        <v>7</v>
      </c>
      <c r="K748" t="s">
        <v>57</v>
      </c>
      <c r="L748">
        <v>1</v>
      </c>
      <c r="M748">
        <v>0.73760569997830305</v>
      </c>
      <c r="N748" t="s">
        <v>51</v>
      </c>
      <c r="O748">
        <v>7</v>
      </c>
      <c r="P748">
        <v>1</v>
      </c>
      <c r="Q748">
        <v>141</v>
      </c>
      <c r="R748">
        <v>13</v>
      </c>
      <c r="S748">
        <v>194.704127100005</v>
      </c>
      <c r="X748">
        <v>194.69419609999699</v>
      </c>
      <c r="Y748">
        <v>194.704127100005</v>
      </c>
      <c r="Z748">
        <v>195.20454080001201</v>
      </c>
      <c r="AA748">
        <v>195.20454080001201</v>
      </c>
      <c r="AB748">
        <v>195.20454080001201</v>
      </c>
      <c r="AC748">
        <v>195.95877419999999</v>
      </c>
      <c r="AD748" t="s">
        <v>57</v>
      </c>
      <c r="AE748">
        <v>1</v>
      </c>
      <c r="AF748">
        <v>0.73760569997830305</v>
      </c>
      <c r="AG748" t="s">
        <v>51</v>
      </c>
      <c r="AK748" t="s">
        <v>93</v>
      </c>
      <c r="AL748">
        <v>1</v>
      </c>
      <c r="AM748" t="s">
        <v>85</v>
      </c>
      <c r="AN748" t="s">
        <v>43</v>
      </c>
      <c r="AP748" t="s">
        <v>44</v>
      </c>
      <c r="AQ748">
        <v>59.992644915568597</v>
      </c>
      <c r="AR748" t="s">
        <v>86</v>
      </c>
    </row>
    <row r="749" spans="1:44" x14ac:dyDescent="0.3">
      <c r="A749" t="s">
        <v>75</v>
      </c>
      <c r="B749" t="s">
        <v>49</v>
      </c>
      <c r="C749" s="2" t="str">
        <f t="shared" si="11"/>
        <v>Neutral</v>
      </c>
      <c r="D749">
        <v>1.01978540001437</v>
      </c>
      <c r="E749" t="s">
        <v>47</v>
      </c>
      <c r="F749" t="s">
        <v>61</v>
      </c>
      <c r="G749" t="s">
        <v>63</v>
      </c>
      <c r="H749">
        <v>142</v>
      </c>
      <c r="I749">
        <v>2</v>
      </c>
      <c r="J749">
        <v>7</v>
      </c>
      <c r="K749" t="s">
        <v>63</v>
      </c>
      <c r="L749">
        <v>1</v>
      </c>
      <c r="M749">
        <v>0.56995279999682602</v>
      </c>
      <c r="N749" t="s">
        <v>51</v>
      </c>
      <c r="O749">
        <v>7</v>
      </c>
      <c r="P749">
        <v>2</v>
      </c>
      <c r="Q749">
        <v>142</v>
      </c>
      <c r="R749">
        <v>16</v>
      </c>
      <c r="S749">
        <v>195.97052620002</v>
      </c>
      <c r="X749">
        <v>195.962105099984</v>
      </c>
      <c r="Y749">
        <v>195.97052620002</v>
      </c>
      <c r="Z749">
        <v>196.47083810000899</v>
      </c>
      <c r="AA749">
        <v>196.47083810000899</v>
      </c>
      <c r="AB749">
        <v>196.47083810000899</v>
      </c>
      <c r="AC749">
        <v>197.057767299993</v>
      </c>
      <c r="AD749" t="s">
        <v>63</v>
      </c>
      <c r="AE749">
        <v>1</v>
      </c>
      <c r="AF749">
        <v>0.56995279999682602</v>
      </c>
      <c r="AG749" t="s">
        <v>51</v>
      </c>
      <c r="AK749" t="s">
        <v>93</v>
      </c>
      <c r="AL749">
        <v>1</v>
      </c>
      <c r="AM749" t="s">
        <v>85</v>
      </c>
      <c r="AN749" t="s">
        <v>43</v>
      </c>
      <c r="AP749" t="s">
        <v>44</v>
      </c>
      <c r="AQ749">
        <v>59.992644915568597</v>
      </c>
      <c r="AR749" t="s">
        <v>86</v>
      </c>
    </row>
    <row r="750" spans="1:44" x14ac:dyDescent="0.3">
      <c r="A750" t="s">
        <v>74</v>
      </c>
      <c r="B750" t="s">
        <v>49</v>
      </c>
      <c r="C750" s="2" t="str">
        <f t="shared" si="11"/>
        <v>Neutral</v>
      </c>
      <c r="D750">
        <v>0.50974629999836896</v>
      </c>
      <c r="E750" t="s">
        <v>47</v>
      </c>
      <c r="F750" t="s">
        <v>48</v>
      </c>
      <c r="G750" t="s">
        <v>50</v>
      </c>
      <c r="H750">
        <v>143</v>
      </c>
      <c r="I750">
        <v>3</v>
      </c>
      <c r="J750">
        <v>7</v>
      </c>
      <c r="K750" t="s">
        <v>50</v>
      </c>
      <c r="L750">
        <v>1</v>
      </c>
      <c r="M750">
        <v>1.0233076000004</v>
      </c>
      <c r="N750" t="s">
        <v>51</v>
      </c>
      <c r="O750">
        <v>7</v>
      </c>
      <c r="P750">
        <v>3</v>
      </c>
      <c r="Q750">
        <v>143</v>
      </c>
      <c r="R750">
        <v>11</v>
      </c>
      <c r="S750">
        <v>197.07057849998799</v>
      </c>
      <c r="X750">
        <v>197.061048400006</v>
      </c>
      <c r="Y750">
        <v>197.07057849998799</v>
      </c>
      <c r="Z750">
        <v>197.570724999997</v>
      </c>
      <c r="AA750">
        <v>197.570724999997</v>
      </c>
      <c r="AB750">
        <v>197.570724999997</v>
      </c>
      <c r="AC750">
        <v>198.607884299999</v>
      </c>
      <c r="AD750" t="s">
        <v>50</v>
      </c>
      <c r="AE750">
        <v>1</v>
      </c>
      <c r="AF750">
        <v>1.0233076000004</v>
      </c>
      <c r="AG750" t="s">
        <v>51</v>
      </c>
      <c r="AK750" t="s">
        <v>93</v>
      </c>
      <c r="AL750">
        <v>1</v>
      </c>
      <c r="AM750" t="s">
        <v>85</v>
      </c>
      <c r="AN750" t="s">
        <v>43</v>
      </c>
      <c r="AP750" t="s">
        <v>44</v>
      </c>
      <c r="AQ750">
        <v>59.992644915568597</v>
      </c>
      <c r="AR750" t="s">
        <v>86</v>
      </c>
    </row>
    <row r="751" spans="1:44" x14ac:dyDescent="0.3">
      <c r="A751" t="s">
        <v>76</v>
      </c>
      <c r="B751" t="s">
        <v>49</v>
      </c>
      <c r="C751" s="2" t="str">
        <f t="shared" si="11"/>
        <v>Emotional-I</v>
      </c>
      <c r="D751">
        <v>0.67804710002383195</v>
      </c>
      <c r="E751" t="s">
        <v>59</v>
      </c>
      <c r="F751" t="s">
        <v>48</v>
      </c>
      <c r="G751" t="s">
        <v>50</v>
      </c>
      <c r="H751">
        <v>144</v>
      </c>
      <c r="I751">
        <v>4</v>
      </c>
      <c r="J751">
        <v>7</v>
      </c>
      <c r="K751" t="s">
        <v>50</v>
      </c>
      <c r="L751">
        <v>1</v>
      </c>
      <c r="M751">
        <v>0.49827589996857502</v>
      </c>
      <c r="N751" t="s">
        <v>51</v>
      </c>
      <c r="O751">
        <v>7</v>
      </c>
      <c r="P751">
        <v>4</v>
      </c>
      <c r="Q751">
        <v>144</v>
      </c>
      <c r="R751">
        <v>3</v>
      </c>
      <c r="S751">
        <v>198.621182599978</v>
      </c>
      <c r="X751">
        <v>198.61052410001801</v>
      </c>
      <c r="Y751">
        <v>198.621182599978</v>
      </c>
      <c r="Z751">
        <v>199.12080939998799</v>
      </c>
      <c r="AA751">
        <v>199.12080939998799</v>
      </c>
      <c r="AB751">
        <v>199.12080939998799</v>
      </c>
      <c r="AC751">
        <v>199.625009100011</v>
      </c>
      <c r="AD751" t="s">
        <v>50</v>
      </c>
      <c r="AE751">
        <v>1</v>
      </c>
      <c r="AF751">
        <v>0.49827589996857502</v>
      </c>
      <c r="AG751" t="s">
        <v>51</v>
      </c>
      <c r="AK751" t="s">
        <v>93</v>
      </c>
      <c r="AL751">
        <v>1</v>
      </c>
      <c r="AM751" t="s">
        <v>85</v>
      </c>
      <c r="AN751" t="s">
        <v>43</v>
      </c>
      <c r="AP751" t="s">
        <v>44</v>
      </c>
      <c r="AQ751">
        <v>59.992644915568597</v>
      </c>
      <c r="AR751" t="s">
        <v>86</v>
      </c>
    </row>
    <row r="752" spans="1:44" x14ac:dyDescent="0.3">
      <c r="A752" t="s">
        <v>66</v>
      </c>
      <c r="B752" t="s">
        <v>49</v>
      </c>
      <c r="C752" s="2" t="str">
        <f t="shared" si="11"/>
        <v>Neutral</v>
      </c>
      <c r="D752">
        <v>0.63033779995748696</v>
      </c>
      <c r="E752" t="s">
        <v>47</v>
      </c>
      <c r="F752" t="s">
        <v>61</v>
      </c>
      <c r="G752" t="s">
        <v>63</v>
      </c>
      <c r="H752">
        <v>145</v>
      </c>
      <c r="I752">
        <v>5</v>
      </c>
      <c r="J752">
        <v>7</v>
      </c>
      <c r="K752" t="s">
        <v>63</v>
      </c>
      <c r="L752">
        <v>1</v>
      </c>
      <c r="M752">
        <v>0.61274730000877697</v>
      </c>
      <c r="N752" t="s">
        <v>51</v>
      </c>
      <c r="O752">
        <v>7</v>
      </c>
      <c r="P752">
        <v>5</v>
      </c>
      <c r="Q752">
        <v>145</v>
      </c>
      <c r="R752">
        <v>12</v>
      </c>
      <c r="S752">
        <v>199.63755290000699</v>
      </c>
      <c r="X752">
        <v>199.62775400001499</v>
      </c>
      <c r="Y752">
        <v>199.63755290000699</v>
      </c>
      <c r="Z752">
        <v>200.13786570000201</v>
      </c>
      <c r="AA752">
        <v>200.13786570000201</v>
      </c>
      <c r="AB752">
        <v>200.13786570000201</v>
      </c>
      <c r="AC752">
        <v>200.75804350001201</v>
      </c>
      <c r="AD752" t="s">
        <v>63</v>
      </c>
      <c r="AE752">
        <v>1</v>
      </c>
      <c r="AF752">
        <v>0.61274730000877697</v>
      </c>
      <c r="AG752" t="s">
        <v>51</v>
      </c>
      <c r="AK752" t="s">
        <v>93</v>
      </c>
      <c r="AL752">
        <v>1</v>
      </c>
      <c r="AM752" t="s">
        <v>85</v>
      </c>
      <c r="AN752" t="s">
        <v>43</v>
      </c>
      <c r="AP752" t="s">
        <v>44</v>
      </c>
      <c r="AQ752">
        <v>59.992644915568597</v>
      </c>
      <c r="AR752" t="s">
        <v>86</v>
      </c>
    </row>
    <row r="753" spans="1:44" x14ac:dyDescent="0.3">
      <c r="A753" t="s">
        <v>52</v>
      </c>
      <c r="B753" t="s">
        <v>49</v>
      </c>
      <c r="C753" s="2" t="str">
        <f t="shared" si="11"/>
        <v>Neutral</v>
      </c>
      <c r="D753">
        <v>0.63617099996190496</v>
      </c>
      <c r="E753" t="s">
        <v>47</v>
      </c>
      <c r="F753" t="s">
        <v>53</v>
      </c>
      <c r="G753" t="s">
        <v>54</v>
      </c>
      <c r="H753">
        <v>146</v>
      </c>
      <c r="I753">
        <v>6</v>
      </c>
      <c r="J753">
        <v>7</v>
      </c>
      <c r="K753" t="s">
        <v>54</v>
      </c>
      <c r="L753">
        <v>1</v>
      </c>
      <c r="M753">
        <v>0.74859109998214901</v>
      </c>
      <c r="N753" t="s">
        <v>51</v>
      </c>
      <c r="O753">
        <v>7</v>
      </c>
      <c r="P753">
        <v>6</v>
      </c>
      <c r="Q753">
        <v>146</v>
      </c>
      <c r="R753">
        <v>14</v>
      </c>
      <c r="S753">
        <v>200.77110710000801</v>
      </c>
      <c r="X753">
        <v>200.76092989998801</v>
      </c>
      <c r="Y753">
        <v>200.77110710000801</v>
      </c>
      <c r="Z753">
        <v>201.270890299987</v>
      </c>
      <c r="AA753">
        <v>201.270890299987</v>
      </c>
      <c r="AB753">
        <v>201.270890299987</v>
      </c>
      <c r="AC753">
        <v>202.02525960002001</v>
      </c>
      <c r="AD753" t="s">
        <v>54</v>
      </c>
      <c r="AE753">
        <v>1</v>
      </c>
      <c r="AF753">
        <v>0.74859109998214901</v>
      </c>
      <c r="AG753" t="s">
        <v>51</v>
      </c>
      <c r="AK753" t="s">
        <v>93</v>
      </c>
      <c r="AL753">
        <v>1</v>
      </c>
      <c r="AM753" t="s">
        <v>85</v>
      </c>
      <c r="AN753" t="s">
        <v>43</v>
      </c>
      <c r="AP753" t="s">
        <v>44</v>
      </c>
      <c r="AQ753">
        <v>59.992644915568597</v>
      </c>
      <c r="AR753" t="s">
        <v>86</v>
      </c>
    </row>
    <row r="754" spans="1:44" x14ac:dyDescent="0.3">
      <c r="A754" t="s">
        <v>64</v>
      </c>
      <c r="B754" t="s">
        <v>49</v>
      </c>
      <c r="C754" s="2" t="str">
        <f t="shared" si="11"/>
        <v>Neutral</v>
      </c>
      <c r="D754">
        <v>0.91785879997769304</v>
      </c>
      <c r="E754" t="s">
        <v>47</v>
      </c>
      <c r="F754" t="s">
        <v>53</v>
      </c>
      <c r="G754" t="s">
        <v>54</v>
      </c>
      <c r="H754">
        <v>147</v>
      </c>
      <c r="I754">
        <v>7</v>
      </c>
      <c r="J754">
        <v>7</v>
      </c>
      <c r="K754" t="s">
        <v>54</v>
      </c>
      <c r="L754">
        <v>1</v>
      </c>
      <c r="M754">
        <v>0.51781659998232499</v>
      </c>
      <c r="N754" t="s">
        <v>51</v>
      </c>
      <c r="O754">
        <v>7</v>
      </c>
      <c r="P754">
        <v>7</v>
      </c>
      <c r="Q754">
        <v>147</v>
      </c>
      <c r="R754">
        <v>18</v>
      </c>
      <c r="S754">
        <v>202.03723770001599</v>
      </c>
      <c r="X754">
        <v>202.02753060002499</v>
      </c>
      <c r="Y754">
        <v>202.03723770001599</v>
      </c>
      <c r="Z754">
        <v>202.537231100024</v>
      </c>
      <c r="AA754">
        <v>202.537231100024</v>
      </c>
      <c r="AB754">
        <v>202.537231100024</v>
      </c>
      <c r="AC754">
        <v>203.058526200009</v>
      </c>
      <c r="AD754" t="s">
        <v>54</v>
      </c>
      <c r="AE754">
        <v>1</v>
      </c>
      <c r="AF754">
        <v>0.51781659998232499</v>
      </c>
      <c r="AG754" t="s">
        <v>51</v>
      </c>
      <c r="AK754" t="s">
        <v>93</v>
      </c>
      <c r="AL754">
        <v>1</v>
      </c>
      <c r="AM754" t="s">
        <v>85</v>
      </c>
      <c r="AN754" t="s">
        <v>43</v>
      </c>
      <c r="AP754" t="s">
        <v>44</v>
      </c>
      <c r="AQ754">
        <v>59.992644915568597</v>
      </c>
      <c r="AR754" t="s">
        <v>86</v>
      </c>
    </row>
    <row r="755" spans="1:44" x14ac:dyDescent="0.3">
      <c r="A755" t="s">
        <v>77</v>
      </c>
      <c r="B755" t="s">
        <v>62</v>
      </c>
      <c r="C755" s="2" t="str">
        <f t="shared" si="11"/>
        <v>Emotional-C</v>
      </c>
      <c r="D755">
        <v>1.24959679995663</v>
      </c>
      <c r="E755" t="s">
        <v>59</v>
      </c>
      <c r="F755" t="s">
        <v>61</v>
      </c>
      <c r="G755" t="s">
        <v>63</v>
      </c>
      <c r="H755">
        <v>148</v>
      </c>
      <c r="I755">
        <v>8</v>
      </c>
      <c r="J755">
        <v>7</v>
      </c>
      <c r="K755" t="s">
        <v>63</v>
      </c>
      <c r="L755">
        <v>1</v>
      </c>
      <c r="M755">
        <v>0.72962380002718397</v>
      </c>
      <c r="N755" t="s">
        <v>51</v>
      </c>
      <c r="O755">
        <v>7</v>
      </c>
      <c r="P755">
        <v>8</v>
      </c>
      <c r="Q755">
        <v>148</v>
      </c>
      <c r="R755">
        <v>4</v>
      </c>
      <c r="S755">
        <v>203.07045310002201</v>
      </c>
      <c r="X755">
        <v>203.06106179999099</v>
      </c>
      <c r="Y755">
        <v>203.07045310002201</v>
      </c>
      <c r="Z755">
        <v>203.57135530002401</v>
      </c>
      <c r="AA755">
        <v>203.57135530002401</v>
      </c>
      <c r="AB755">
        <v>203.57135530002401</v>
      </c>
      <c r="AC755">
        <v>204.307622199994</v>
      </c>
      <c r="AD755" t="s">
        <v>63</v>
      </c>
      <c r="AE755">
        <v>1</v>
      </c>
      <c r="AF755">
        <v>0.72962380002718397</v>
      </c>
      <c r="AG755" t="s">
        <v>51</v>
      </c>
      <c r="AK755" t="s">
        <v>93</v>
      </c>
      <c r="AL755">
        <v>1</v>
      </c>
      <c r="AM755" t="s">
        <v>85</v>
      </c>
      <c r="AN755" t="s">
        <v>43</v>
      </c>
      <c r="AP755" t="s">
        <v>44</v>
      </c>
      <c r="AQ755">
        <v>59.992644915568597</v>
      </c>
      <c r="AR755" t="s">
        <v>86</v>
      </c>
    </row>
    <row r="756" spans="1:44" x14ac:dyDescent="0.3">
      <c r="A756" t="s">
        <v>58</v>
      </c>
      <c r="B756" t="s">
        <v>49</v>
      </c>
      <c r="C756" s="2" t="str">
        <f t="shared" si="11"/>
        <v>Emotional-I</v>
      </c>
      <c r="D756">
        <v>1.12182749999919</v>
      </c>
      <c r="E756" t="s">
        <v>59</v>
      </c>
      <c r="F756" t="s">
        <v>48</v>
      </c>
      <c r="G756" t="s">
        <v>50</v>
      </c>
      <c r="H756">
        <v>149</v>
      </c>
      <c r="I756">
        <v>9</v>
      </c>
      <c r="J756">
        <v>7</v>
      </c>
      <c r="K756" t="s">
        <v>50</v>
      </c>
      <c r="L756">
        <v>1</v>
      </c>
      <c r="M756">
        <v>0.77510839997557901</v>
      </c>
      <c r="N756" t="s">
        <v>51</v>
      </c>
      <c r="O756">
        <v>7</v>
      </c>
      <c r="P756">
        <v>9</v>
      </c>
      <c r="Q756">
        <v>149</v>
      </c>
      <c r="R756">
        <v>7</v>
      </c>
      <c r="S756">
        <v>204.32062589999899</v>
      </c>
      <c r="X756">
        <v>204.31054829998101</v>
      </c>
      <c r="Y756">
        <v>204.32062589999899</v>
      </c>
      <c r="Z756">
        <v>204.82034710003001</v>
      </c>
      <c r="AA756">
        <v>204.82034710003001</v>
      </c>
      <c r="AB756">
        <v>204.82034710003001</v>
      </c>
      <c r="AC756">
        <v>205.607801800011</v>
      </c>
      <c r="AD756" t="s">
        <v>50</v>
      </c>
      <c r="AE756">
        <v>1</v>
      </c>
      <c r="AF756">
        <v>0.77510839997557901</v>
      </c>
      <c r="AG756" t="s">
        <v>51</v>
      </c>
      <c r="AK756" t="s">
        <v>93</v>
      </c>
      <c r="AL756">
        <v>1</v>
      </c>
      <c r="AM756" t="s">
        <v>85</v>
      </c>
      <c r="AN756" t="s">
        <v>43</v>
      </c>
      <c r="AP756" t="s">
        <v>44</v>
      </c>
      <c r="AQ756">
        <v>59.992644915568597</v>
      </c>
      <c r="AR756" t="s">
        <v>86</v>
      </c>
    </row>
    <row r="757" spans="1:44" hidden="1" x14ac:dyDescent="0.3">
      <c r="A757" t="s">
        <v>69</v>
      </c>
      <c r="B757" t="s">
        <v>49</v>
      </c>
      <c r="C757" s="2" t="str">
        <f t="shared" si="11"/>
        <v>Emotional-I</v>
      </c>
      <c r="D757">
        <v>0.56700869998894599</v>
      </c>
      <c r="E757" t="s">
        <v>59</v>
      </c>
      <c r="F757" t="s">
        <v>56</v>
      </c>
      <c r="G757" t="s">
        <v>57</v>
      </c>
      <c r="H757">
        <v>150</v>
      </c>
      <c r="I757">
        <v>10</v>
      </c>
      <c r="J757">
        <v>7</v>
      </c>
      <c r="K757" t="s">
        <v>63</v>
      </c>
      <c r="L757">
        <v>0</v>
      </c>
      <c r="M757">
        <v>0.80137579998699904</v>
      </c>
      <c r="N757" t="s">
        <v>51</v>
      </c>
      <c r="O757">
        <v>7</v>
      </c>
      <c r="P757">
        <v>10</v>
      </c>
      <c r="Q757">
        <v>150</v>
      </c>
      <c r="R757">
        <v>5</v>
      </c>
      <c r="S757">
        <v>205.62054640002299</v>
      </c>
      <c r="X757">
        <v>205.610364300024</v>
      </c>
      <c r="Y757">
        <v>205.62054640002299</v>
      </c>
      <c r="Z757">
        <v>206.12035699997699</v>
      </c>
      <c r="AA757">
        <v>206.12035699997699</v>
      </c>
      <c r="AB757">
        <v>206.12035699997699</v>
      </c>
      <c r="AC757">
        <v>206.92445579997701</v>
      </c>
      <c r="AD757" t="s">
        <v>63</v>
      </c>
      <c r="AE757">
        <v>0</v>
      </c>
      <c r="AF757">
        <v>0.80137579998699904</v>
      </c>
      <c r="AG757" t="s">
        <v>51</v>
      </c>
      <c r="AK757" t="s">
        <v>93</v>
      </c>
      <c r="AL757">
        <v>1</v>
      </c>
      <c r="AM757" t="s">
        <v>85</v>
      </c>
      <c r="AN757" t="s">
        <v>43</v>
      </c>
      <c r="AP757" t="s">
        <v>44</v>
      </c>
      <c r="AQ757">
        <v>59.992644915568597</v>
      </c>
      <c r="AR757" t="s">
        <v>86</v>
      </c>
    </row>
    <row r="758" spans="1:44" x14ac:dyDescent="0.3">
      <c r="A758" t="s">
        <v>67</v>
      </c>
      <c r="B758" t="s">
        <v>49</v>
      </c>
      <c r="C758" s="2" t="str">
        <f t="shared" si="11"/>
        <v>Neutral</v>
      </c>
      <c r="D758">
        <v>0.85745190002489802</v>
      </c>
      <c r="E758" t="s">
        <v>47</v>
      </c>
      <c r="F758" t="s">
        <v>53</v>
      </c>
      <c r="G758" t="s">
        <v>54</v>
      </c>
      <c r="H758">
        <v>151</v>
      </c>
      <c r="I758">
        <v>11</v>
      </c>
      <c r="J758">
        <v>7</v>
      </c>
      <c r="K758" t="s">
        <v>54</v>
      </c>
      <c r="L758">
        <v>1</v>
      </c>
      <c r="M758">
        <v>1.02710319997277</v>
      </c>
      <c r="N758" t="s">
        <v>51</v>
      </c>
      <c r="O758">
        <v>7</v>
      </c>
      <c r="P758">
        <v>11</v>
      </c>
      <c r="Q758">
        <v>151</v>
      </c>
      <c r="R758">
        <v>10</v>
      </c>
      <c r="S758">
        <v>206.93706299998999</v>
      </c>
      <c r="X758">
        <v>206.92737360001701</v>
      </c>
      <c r="Y758">
        <v>206.93706299998999</v>
      </c>
      <c r="Z758">
        <v>207.436939599982</v>
      </c>
      <c r="AA758">
        <v>207.436939599982</v>
      </c>
      <c r="AB758">
        <v>207.436939599982</v>
      </c>
      <c r="AC758">
        <v>208.473921800032</v>
      </c>
      <c r="AD758" t="s">
        <v>54</v>
      </c>
      <c r="AE758">
        <v>1</v>
      </c>
      <c r="AF758">
        <v>1.02710319997277</v>
      </c>
      <c r="AG758" t="s">
        <v>51</v>
      </c>
      <c r="AK758" t="s">
        <v>93</v>
      </c>
      <c r="AL758">
        <v>1</v>
      </c>
      <c r="AM758" t="s">
        <v>85</v>
      </c>
      <c r="AN758" t="s">
        <v>43</v>
      </c>
      <c r="AP758" t="s">
        <v>44</v>
      </c>
      <c r="AQ758">
        <v>59.992644915568597</v>
      </c>
      <c r="AR758" t="s">
        <v>86</v>
      </c>
    </row>
    <row r="759" spans="1:44" x14ac:dyDescent="0.3">
      <c r="A759" t="s">
        <v>78</v>
      </c>
      <c r="B759" t="s">
        <v>49</v>
      </c>
      <c r="C759" s="2" t="str">
        <f t="shared" si="11"/>
        <v>Neutral</v>
      </c>
      <c r="D759">
        <v>0.73304399999324199</v>
      </c>
      <c r="E759" t="s">
        <v>47</v>
      </c>
      <c r="F759" t="s">
        <v>56</v>
      </c>
      <c r="G759" t="s">
        <v>57</v>
      </c>
      <c r="H759">
        <v>152</v>
      </c>
      <c r="I759">
        <v>12</v>
      </c>
      <c r="J759">
        <v>7</v>
      </c>
      <c r="K759" t="s">
        <v>57</v>
      </c>
      <c r="L759">
        <v>1</v>
      </c>
      <c r="M759">
        <v>0.62255199998617095</v>
      </c>
      <c r="N759" t="s">
        <v>51</v>
      </c>
      <c r="O759">
        <v>7</v>
      </c>
      <c r="P759">
        <v>12</v>
      </c>
      <c r="Q759">
        <v>152</v>
      </c>
      <c r="R759">
        <v>17</v>
      </c>
      <c r="S759">
        <v>208.486851900001</v>
      </c>
      <c r="X759">
        <v>208.47633839998099</v>
      </c>
      <c r="Y759">
        <v>208.486851900001</v>
      </c>
      <c r="Z759">
        <v>208.98670790001</v>
      </c>
      <c r="AA759">
        <v>208.98670790001</v>
      </c>
      <c r="AB759">
        <v>208.98670790001</v>
      </c>
      <c r="AC759">
        <v>209.62443080003101</v>
      </c>
      <c r="AD759" t="s">
        <v>57</v>
      </c>
      <c r="AE759">
        <v>1</v>
      </c>
      <c r="AF759">
        <v>0.62255199998617095</v>
      </c>
      <c r="AG759" t="s">
        <v>51</v>
      </c>
      <c r="AK759" t="s">
        <v>93</v>
      </c>
      <c r="AL759">
        <v>1</v>
      </c>
      <c r="AM759" t="s">
        <v>85</v>
      </c>
      <c r="AN759" t="s">
        <v>43</v>
      </c>
      <c r="AP759" t="s">
        <v>44</v>
      </c>
      <c r="AQ759">
        <v>59.992644915568597</v>
      </c>
      <c r="AR759" t="s">
        <v>86</v>
      </c>
    </row>
    <row r="760" spans="1:44" x14ac:dyDescent="0.3">
      <c r="A760" t="s">
        <v>72</v>
      </c>
      <c r="B760" t="s">
        <v>62</v>
      </c>
      <c r="C760" s="2" t="str">
        <f t="shared" si="11"/>
        <v>Emotional-C</v>
      </c>
      <c r="D760">
        <v>0.56190390000119805</v>
      </c>
      <c r="E760" t="s">
        <v>59</v>
      </c>
      <c r="F760" t="s">
        <v>61</v>
      </c>
      <c r="G760" t="s">
        <v>63</v>
      </c>
      <c r="H760">
        <v>153</v>
      </c>
      <c r="I760">
        <v>13</v>
      </c>
      <c r="J760">
        <v>7</v>
      </c>
      <c r="K760" t="s">
        <v>63</v>
      </c>
      <c r="L760">
        <v>1</v>
      </c>
      <c r="M760">
        <v>0.58771449996856895</v>
      </c>
      <c r="N760" t="s">
        <v>51</v>
      </c>
      <c r="O760">
        <v>7</v>
      </c>
      <c r="P760">
        <v>13</v>
      </c>
      <c r="Q760">
        <v>153</v>
      </c>
      <c r="R760">
        <v>8</v>
      </c>
      <c r="S760">
        <v>209.63684300001401</v>
      </c>
      <c r="X760">
        <v>209.62770250003001</v>
      </c>
      <c r="Y760">
        <v>209.63684300001401</v>
      </c>
      <c r="Z760">
        <v>210.13759270001901</v>
      </c>
      <c r="AA760">
        <v>210.13759270001901</v>
      </c>
      <c r="AB760">
        <v>210.13759270001901</v>
      </c>
      <c r="AC760">
        <v>210.740494200028</v>
      </c>
      <c r="AD760" t="s">
        <v>63</v>
      </c>
      <c r="AE760">
        <v>1</v>
      </c>
      <c r="AF760">
        <v>0.58771449996856895</v>
      </c>
      <c r="AG760" t="s">
        <v>51</v>
      </c>
      <c r="AK760" t="s">
        <v>93</v>
      </c>
      <c r="AL760">
        <v>1</v>
      </c>
      <c r="AM760" t="s">
        <v>85</v>
      </c>
      <c r="AN760" t="s">
        <v>43</v>
      </c>
      <c r="AP760" t="s">
        <v>44</v>
      </c>
      <c r="AQ760">
        <v>59.992644915568597</v>
      </c>
      <c r="AR760" t="s">
        <v>86</v>
      </c>
    </row>
    <row r="761" spans="1:44" hidden="1" x14ac:dyDescent="0.3">
      <c r="A761" t="s">
        <v>60</v>
      </c>
      <c r="B761" t="s">
        <v>62</v>
      </c>
      <c r="C761" s="2" t="str">
        <f t="shared" si="11"/>
        <v>Emotional-C</v>
      </c>
      <c r="D761">
        <v>0.95922219997737501</v>
      </c>
      <c r="E761" t="s">
        <v>59</v>
      </c>
      <c r="F761" t="s">
        <v>61</v>
      </c>
      <c r="G761" t="s">
        <v>63</v>
      </c>
      <c r="H761">
        <v>154</v>
      </c>
      <c r="I761">
        <v>14</v>
      </c>
      <c r="J761">
        <v>7</v>
      </c>
      <c r="K761" t="s">
        <v>57</v>
      </c>
      <c r="L761">
        <v>0</v>
      </c>
      <c r="M761">
        <v>0.44683650002116299</v>
      </c>
      <c r="N761" t="s">
        <v>51</v>
      </c>
      <c r="O761">
        <v>7</v>
      </c>
      <c r="P761">
        <v>14</v>
      </c>
      <c r="Q761">
        <v>154</v>
      </c>
      <c r="R761">
        <v>0</v>
      </c>
      <c r="S761">
        <v>210.75474160001599</v>
      </c>
      <c r="X761">
        <v>210.743159800011</v>
      </c>
      <c r="Y761">
        <v>210.75474160001599</v>
      </c>
      <c r="Z761">
        <v>211.253678800014</v>
      </c>
      <c r="AA761">
        <v>211.253678800014</v>
      </c>
      <c r="AB761">
        <v>211.253678800014</v>
      </c>
      <c r="AC761">
        <v>211.70725630002499</v>
      </c>
      <c r="AD761" t="s">
        <v>57</v>
      </c>
      <c r="AE761">
        <v>0</v>
      </c>
      <c r="AF761">
        <v>0.44683650002116299</v>
      </c>
      <c r="AG761" t="s">
        <v>51</v>
      </c>
      <c r="AK761" t="s">
        <v>93</v>
      </c>
      <c r="AL761">
        <v>1</v>
      </c>
      <c r="AM761" t="s">
        <v>85</v>
      </c>
      <c r="AN761" t="s">
        <v>43</v>
      </c>
      <c r="AP761" t="s">
        <v>44</v>
      </c>
      <c r="AQ761">
        <v>59.992644915568597</v>
      </c>
      <c r="AR761" t="s">
        <v>86</v>
      </c>
    </row>
    <row r="762" spans="1:44" x14ac:dyDescent="0.3">
      <c r="A762" t="s">
        <v>68</v>
      </c>
      <c r="B762" t="s">
        <v>49</v>
      </c>
      <c r="C762" s="2" t="str">
        <f t="shared" si="11"/>
        <v>Emotional-I</v>
      </c>
      <c r="D762">
        <v>0.65949200000613895</v>
      </c>
      <c r="E762" t="s">
        <v>59</v>
      </c>
      <c r="F762" t="s">
        <v>53</v>
      </c>
      <c r="G762" t="s">
        <v>54</v>
      </c>
      <c r="H762">
        <v>155</v>
      </c>
      <c r="I762">
        <v>15</v>
      </c>
      <c r="J762">
        <v>7</v>
      </c>
      <c r="K762" t="s">
        <v>54</v>
      </c>
      <c r="L762">
        <v>1</v>
      </c>
      <c r="M762">
        <v>0.76708520000101998</v>
      </c>
      <c r="N762" t="s">
        <v>51</v>
      </c>
      <c r="O762">
        <v>7</v>
      </c>
      <c r="P762">
        <v>15</v>
      </c>
      <c r="Q762">
        <v>155</v>
      </c>
      <c r="R762">
        <v>6</v>
      </c>
      <c r="S762">
        <v>211.72034509997999</v>
      </c>
      <c r="X762">
        <v>211.70984909997699</v>
      </c>
      <c r="Y762">
        <v>211.72034509997999</v>
      </c>
      <c r="Z762">
        <v>212.220146899984</v>
      </c>
      <c r="AA762">
        <v>212.220146899984</v>
      </c>
      <c r="AB762">
        <v>212.220146899984</v>
      </c>
      <c r="AC762">
        <v>212.990279900026</v>
      </c>
      <c r="AD762" t="s">
        <v>54</v>
      </c>
      <c r="AE762">
        <v>1</v>
      </c>
      <c r="AF762">
        <v>0.76708520000101998</v>
      </c>
      <c r="AG762" t="s">
        <v>51</v>
      </c>
      <c r="AK762" t="s">
        <v>93</v>
      </c>
      <c r="AL762">
        <v>1</v>
      </c>
      <c r="AM762" t="s">
        <v>85</v>
      </c>
      <c r="AN762" t="s">
        <v>43</v>
      </c>
      <c r="AP762" t="s">
        <v>44</v>
      </c>
      <c r="AQ762">
        <v>59.992644915568597</v>
      </c>
      <c r="AR762" t="s">
        <v>86</v>
      </c>
    </row>
    <row r="763" spans="1:44" x14ac:dyDescent="0.3">
      <c r="A763" t="s">
        <v>70</v>
      </c>
      <c r="B763" t="s">
        <v>49</v>
      </c>
      <c r="C763" s="2" t="str">
        <f t="shared" si="11"/>
        <v>Emotional-I</v>
      </c>
      <c r="D763">
        <v>1.0613488999661</v>
      </c>
      <c r="E763" t="s">
        <v>59</v>
      </c>
      <c r="F763" t="s">
        <v>53</v>
      </c>
      <c r="G763" t="s">
        <v>54</v>
      </c>
      <c r="H763">
        <v>156</v>
      </c>
      <c r="I763">
        <v>16</v>
      </c>
      <c r="J763">
        <v>7</v>
      </c>
      <c r="K763" t="s">
        <v>54</v>
      </c>
      <c r="L763">
        <v>1</v>
      </c>
      <c r="M763">
        <v>1.1108100999845101</v>
      </c>
      <c r="N763" t="s">
        <v>51</v>
      </c>
      <c r="O763">
        <v>7</v>
      </c>
      <c r="P763">
        <v>16</v>
      </c>
      <c r="Q763">
        <v>156</v>
      </c>
      <c r="R763">
        <v>2</v>
      </c>
      <c r="S763">
        <v>213.00322060001699</v>
      </c>
      <c r="X763">
        <v>212.993215700029</v>
      </c>
      <c r="Y763">
        <v>213.00322060001699</v>
      </c>
      <c r="Z763">
        <v>213.50387740001301</v>
      </c>
      <c r="AA763">
        <v>213.50387740001301</v>
      </c>
      <c r="AB763">
        <v>213.50387740001301</v>
      </c>
      <c r="AC763">
        <v>214.62324320000999</v>
      </c>
      <c r="AD763" t="s">
        <v>54</v>
      </c>
      <c r="AE763">
        <v>1</v>
      </c>
      <c r="AF763">
        <v>1.1108100999845101</v>
      </c>
      <c r="AG763" t="s">
        <v>51</v>
      </c>
      <c r="AK763" t="s">
        <v>93</v>
      </c>
      <c r="AL763">
        <v>1</v>
      </c>
      <c r="AM763" t="s">
        <v>85</v>
      </c>
      <c r="AN763" t="s">
        <v>43</v>
      </c>
      <c r="AP763" t="s">
        <v>44</v>
      </c>
      <c r="AQ763">
        <v>59.992644915568597</v>
      </c>
      <c r="AR763" t="s">
        <v>86</v>
      </c>
    </row>
    <row r="764" spans="1:44" x14ac:dyDescent="0.3">
      <c r="A764" t="s">
        <v>71</v>
      </c>
      <c r="B764" t="s">
        <v>49</v>
      </c>
      <c r="C764" s="2" t="str">
        <f t="shared" si="11"/>
        <v>Neutral</v>
      </c>
      <c r="D764">
        <v>0.57249809999484502</v>
      </c>
      <c r="E764" t="s">
        <v>47</v>
      </c>
      <c r="F764" t="s">
        <v>48</v>
      </c>
      <c r="G764" t="s">
        <v>50</v>
      </c>
      <c r="H764">
        <v>157</v>
      </c>
      <c r="I764">
        <v>17</v>
      </c>
      <c r="J764">
        <v>7</v>
      </c>
      <c r="K764" t="s">
        <v>50</v>
      </c>
      <c r="L764">
        <v>1</v>
      </c>
      <c r="M764">
        <v>0.52850179997039903</v>
      </c>
      <c r="N764" t="s">
        <v>51</v>
      </c>
      <c r="O764">
        <v>7</v>
      </c>
      <c r="P764">
        <v>17</v>
      </c>
      <c r="Q764">
        <v>157</v>
      </c>
      <c r="R764">
        <v>15</v>
      </c>
      <c r="S764">
        <v>214.63722440000799</v>
      </c>
      <c r="X764">
        <v>214.62587200000399</v>
      </c>
      <c r="Y764">
        <v>214.63722440000799</v>
      </c>
      <c r="Z764">
        <v>215.136564399988</v>
      </c>
      <c r="AA764">
        <v>215.136564399988</v>
      </c>
      <c r="AB764">
        <v>215.136564399988</v>
      </c>
      <c r="AC764">
        <v>215.673848200007</v>
      </c>
      <c r="AD764" t="s">
        <v>50</v>
      </c>
      <c r="AE764">
        <v>1</v>
      </c>
      <c r="AF764">
        <v>0.52850179997039903</v>
      </c>
      <c r="AG764" t="s">
        <v>51</v>
      </c>
      <c r="AK764" t="s">
        <v>93</v>
      </c>
      <c r="AL764">
        <v>1</v>
      </c>
      <c r="AM764" t="s">
        <v>85</v>
      </c>
      <c r="AN764" t="s">
        <v>43</v>
      </c>
      <c r="AP764" t="s">
        <v>44</v>
      </c>
      <c r="AQ764">
        <v>59.992644915568597</v>
      </c>
      <c r="AR764" t="s">
        <v>86</v>
      </c>
    </row>
    <row r="765" spans="1:44" x14ac:dyDescent="0.3">
      <c r="A765" t="s">
        <v>65</v>
      </c>
      <c r="B765" t="s">
        <v>49</v>
      </c>
      <c r="C765" s="2" t="str">
        <f t="shared" si="11"/>
        <v>Emotional-I</v>
      </c>
      <c r="D765">
        <v>0.93336269998690102</v>
      </c>
      <c r="E765" t="s">
        <v>59</v>
      </c>
      <c r="F765" t="s">
        <v>56</v>
      </c>
      <c r="G765" t="s">
        <v>57</v>
      </c>
      <c r="H765">
        <v>158</v>
      </c>
      <c r="I765">
        <v>18</v>
      </c>
      <c r="J765">
        <v>7</v>
      </c>
      <c r="K765" t="s">
        <v>57</v>
      </c>
      <c r="L765">
        <v>1</v>
      </c>
      <c r="M765">
        <v>0.62134900002274596</v>
      </c>
      <c r="N765" t="s">
        <v>51</v>
      </c>
      <c r="O765">
        <v>7</v>
      </c>
      <c r="P765">
        <v>18</v>
      </c>
      <c r="Q765">
        <v>158</v>
      </c>
      <c r="R765">
        <v>9</v>
      </c>
      <c r="S765">
        <v>215.686788799997</v>
      </c>
      <c r="X765">
        <v>215.676590099988</v>
      </c>
      <c r="Y765">
        <v>215.686788799997</v>
      </c>
      <c r="Z765">
        <v>216.187225100002</v>
      </c>
      <c r="AA765">
        <v>216.187225100002</v>
      </c>
      <c r="AB765">
        <v>216.187225100002</v>
      </c>
      <c r="AC765">
        <v>216.824158600007</v>
      </c>
      <c r="AD765" t="s">
        <v>57</v>
      </c>
      <c r="AE765">
        <v>1</v>
      </c>
      <c r="AF765">
        <v>0.62134900002274596</v>
      </c>
      <c r="AG765" t="s">
        <v>51</v>
      </c>
      <c r="AK765" t="s">
        <v>93</v>
      </c>
      <c r="AL765">
        <v>1</v>
      </c>
      <c r="AM765" t="s">
        <v>85</v>
      </c>
      <c r="AN765" t="s">
        <v>43</v>
      </c>
      <c r="AP765" t="s">
        <v>44</v>
      </c>
      <c r="AQ765">
        <v>59.992644915568597</v>
      </c>
      <c r="AR765" t="s">
        <v>86</v>
      </c>
    </row>
    <row r="766" spans="1:44" x14ac:dyDescent="0.3">
      <c r="A766" t="s">
        <v>73</v>
      </c>
      <c r="B766" t="s">
        <v>49</v>
      </c>
      <c r="C766" s="2" t="str">
        <f t="shared" si="11"/>
        <v>Emotional-I</v>
      </c>
      <c r="D766">
        <v>0.64907009998569198</v>
      </c>
      <c r="E766" t="s">
        <v>59</v>
      </c>
      <c r="F766" t="s">
        <v>56</v>
      </c>
      <c r="G766" t="s">
        <v>57</v>
      </c>
      <c r="H766">
        <v>159</v>
      </c>
      <c r="I766">
        <v>19</v>
      </c>
      <c r="J766">
        <v>7</v>
      </c>
      <c r="K766" t="s">
        <v>57</v>
      </c>
      <c r="L766">
        <v>1</v>
      </c>
      <c r="M766">
        <v>0.58317659999010996</v>
      </c>
      <c r="N766" t="s">
        <v>51</v>
      </c>
      <c r="O766">
        <v>7</v>
      </c>
      <c r="P766">
        <v>19</v>
      </c>
      <c r="Q766">
        <v>159</v>
      </c>
      <c r="R766">
        <v>1</v>
      </c>
      <c r="S766">
        <v>216.838254600006</v>
      </c>
      <c r="X766">
        <v>216.82671220001001</v>
      </c>
      <c r="Y766">
        <v>216.838254600006</v>
      </c>
      <c r="Z766">
        <v>217.337653100024</v>
      </c>
      <c r="AA766">
        <v>217.337653100024</v>
      </c>
      <c r="AB766">
        <v>217.337653100024</v>
      </c>
      <c r="AC766">
        <v>217.923642400011</v>
      </c>
      <c r="AD766" t="s">
        <v>57</v>
      </c>
      <c r="AE766">
        <v>1</v>
      </c>
      <c r="AF766">
        <v>0.58317659999010996</v>
      </c>
      <c r="AG766" t="s">
        <v>51</v>
      </c>
      <c r="AK766" t="s">
        <v>93</v>
      </c>
      <c r="AL766">
        <v>1</v>
      </c>
      <c r="AM766" t="s">
        <v>85</v>
      </c>
      <c r="AN766" t="s">
        <v>43</v>
      </c>
      <c r="AP766" t="s">
        <v>44</v>
      </c>
      <c r="AQ766">
        <v>59.992644915568597</v>
      </c>
      <c r="AR766" t="s">
        <v>86</v>
      </c>
    </row>
    <row r="767" spans="1:44" x14ac:dyDescent="0.3">
      <c r="A767" t="s">
        <v>65</v>
      </c>
      <c r="B767" t="s">
        <v>49</v>
      </c>
      <c r="C767" s="2" t="str">
        <f t="shared" si="11"/>
        <v>Emotional-I</v>
      </c>
      <c r="D767">
        <v>0.71423800004413296</v>
      </c>
      <c r="E767" t="s">
        <v>59</v>
      </c>
      <c r="F767" t="s">
        <v>56</v>
      </c>
      <c r="G767" t="s">
        <v>57</v>
      </c>
      <c r="H767">
        <v>160</v>
      </c>
      <c r="I767">
        <v>0</v>
      </c>
      <c r="J767">
        <v>8</v>
      </c>
      <c r="K767" t="s">
        <v>57</v>
      </c>
      <c r="L767">
        <v>1</v>
      </c>
      <c r="M767">
        <v>0.415267899981699</v>
      </c>
      <c r="N767" t="s">
        <v>51</v>
      </c>
      <c r="O767">
        <v>8</v>
      </c>
      <c r="P767">
        <v>0</v>
      </c>
      <c r="Q767">
        <v>160</v>
      </c>
      <c r="R767">
        <v>9</v>
      </c>
      <c r="S767">
        <v>217.936692200019</v>
      </c>
      <c r="X767">
        <v>217.926360499986</v>
      </c>
      <c r="Y767">
        <v>217.936692200019</v>
      </c>
      <c r="Z767">
        <v>218.437795699981</v>
      </c>
      <c r="AA767">
        <v>218.437795699981</v>
      </c>
      <c r="AB767">
        <v>218.437795699981</v>
      </c>
      <c r="AC767">
        <v>218.85743119998301</v>
      </c>
      <c r="AD767" t="s">
        <v>57</v>
      </c>
      <c r="AE767">
        <v>1</v>
      </c>
      <c r="AF767">
        <v>0.415267899981699</v>
      </c>
      <c r="AG767" t="s">
        <v>51</v>
      </c>
      <c r="AK767" t="s">
        <v>93</v>
      </c>
      <c r="AL767">
        <v>1</v>
      </c>
      <c r="AM767" t="s">
        <v>85</v>
      </c>
      <c r="AN767" t="s">
        <v>43</v>
      </c>
      <c r="AP767" t="s">
        <v>44</v>
      </c>
      <c r="AQ767">
        <v>59.992644915568597</v>
      </c>
      <c r="AR767" t="s">
        <v>86</v>
      </c>
    </row>
    <row r="768" spans="1:44" x14ac:dyDescent="0.3">
      <c r="A768" t="s">
        <v>74</v>
      </c>
      <c r="B768" t="s">
        <v>49</v>
      </c>
      <c r="C768" s="2" t="str">
        <f t="shared" si="11"/>
        <v>Neutral</v>
      </c>
      <c r="D768">
        <v>0.64960240002255798</v>
      </c>
      <c r="E768" t="s">
        <v>47</v>
      </c>
      <c r="F768" t="s">
        <v>48</v>
      </c>
      <c r="G768" t="s">
        <v>50</v>
      </c>
      <c r="H768">
        <v>161</v>
      </c>
      <c r="I768">
        <v>1</v>
      </c>
      <c r="J768">
        <v>8</v>
      </c>
      <c r="K768" t="s">
        <v>50</v>
      </c>
      <c r="L768">
        <v>1</v>
      </c>
      <c r="M768">
        <v>1.04733269999269</v>
      </c>
      <c r="N768" t="s">
        <v>51</v>
      </c>
      <c r="O768">
        <v>8</v>
      </c>
      <c r="P768">
        <v>1</v>
      </c>
      <c r="Q768">
        <v>161</v>
      </c>
      <c r="R768">
        <v>11</v>
      </c>
      <c r="S768">
        <v>218.86982070002699</v>
      </c>
      <c r="X768">
        <v>218.86169980000699</v>
      </c>
      <c r="Y768">
        <v>218.86982070002699</v>
      </c>
      <c r="Z768">
        <v>219.37036840000599</v>
      </c>
      <c r="AA768">
        <v>219.37036840000599</v>
      </c>
      <c r="AB768">
        <v>219.37036840000599</v>
      </c>
      <c r="AC768">
        <v>220.42469730001099</v>
      </c>
      <c r="AD768" t="s">
        <v>50</v>
      </c>
      <c r="AE768">
        <v>1</v>
      </c>
      <c r="AF768">
        <v>1.04733269999269</v>
      </c>
      <c r="AG768" t="s">
        <v>51</v>
      </c>
      <c r="AK768" t="s">
        <v>93</v>
      </c>
      <c r="AL768">
        <v>1</v>
      </c>
      <c r="AM768" t="s">
        <v>85</v>
      </c>
      <c r="AN768" t="s">
        <v>43</v>
      </c>
      <c r="AP768" t="s">
        <v>44</v>
      </c>
      <c r="AQ768">
        <v>59.992644915568597</v>
      </c>
      <c r="AR768" t="s">
        <v>86</v>
      </c>
    </row>
    <row r="769" spans="1:44" x14ac:dyDescent="0.3">
      <c r="A769" t="s">
        <v>64</v>
      </c>
      <c r="B769" t="s">
        <v>49</v>
      </c>
      <c r="C769" s="2" t="str">
        <f t="shared" si="11"/>
        <v>Neutral</v>
      </c>
      <c r="D769">
        <v>0.91017210000427395</v>
      </c>
      <c r="E769" t="s">
        <v>47</v>
      </c>
      <c r="F769" t="s">
        <v>53</v>
      </c>
      <c r="G769" t="s">
        <v>54</v>
      </c>
      <c r="H769">
        <v>162</v>
      </c>
      <c r="I769">
        <v>2</v>
      </c>
      <c r="J769">
        <v>8</v>
      </c>
      <c r="K769" t="s">
        <v>54</v>
      </c>
      <c r="L769">
        <v>1</v>
      </c>
      <c r="M769">
        <v>0.49031189997913299</v>
      </c>
      <c r="N769" t="s">
        <v>51</v>
      </c>
      <c r="O769">
        <v>8</v>
      </c>
      <c r="P769">
        <v>2</v>
      </c>
      <c r="Q769">
        <v>162</v>
      </c>
      <c r="R769">
        <v>18</v>
      </c>
      <c r="S769">
        <v>220.43723450001499</v>
      </c>
      <c r="X769">
        <v>220.42713879997601</v>
      </c>
      <c r="Y769">
        <v>220.43723450001499</v>
      </c>
      <c r="Z769">
        <v>220.937118500005</v>
      </c>
      <c r="AA769">
        <v>220.937118500005</v>
      </c>
      <c r="AB769">
        <v>220.937118500005</v>
      </c>
      <c r="AC769">
        <v>221.440214400005</v>
      </c>
      <c r="AD769" t="s">
        <v>54</v>
      </c>
      <c r="AE769">
        <v>1</v>
      </c>
      <c r="AF769">
        <v>0.49031189997913299</v>
      </c>
      <c r="AG769" t="s">
        <v>51</v>
      </c>
      <c r="AK769" t="s">
        <v>93</v>
      </c>
      <c r="AL769">
        <v>1</v>
      </c>
      <c r="AM769" t="s">
        <v>85</v>
      </c>
      <c r="AN769" t="s">
        <v>43</v>
      </c>
      <c r="AP769" t="s">
        <v>44</v>
      </c>
      <c r="AQ769">
        <v>59.992644915568597</v>
      </c>
      <c r="AR769" t="s">
        <v>86</v>
      </c>
    </row>
    <row r="770" spans="1:44" x14ac:dyDescent="0.3">
      <c r="A770" t="s">
        <v>70</v>
      </c>
      <c r="B770" t="s">
        <v>49</v>
      </c>
      <c r="C770" s="2" t="str">
        <f t="shared" ref="C770:C833" si="12">IF(E770="neutral","Neutral",
IF(AND(E770="emotional",B770="C"),"Emotional-C",
IF(AND(E770="emotional",B770="I"),"Emotional-I","")))</f>
        <v>Emotional-I</v>
      </c>
      <c r="D770">
        <v>0.64004160003969401</v>
      </c>
      <c r="E770" t="s">
        <v>59</v>
      </c>
      <c r="F770" t="s">
        <v>53</v>
      </c>
      <c r="G770" t="s">
        <v>54</v>
      </c>
      <c r="H770">
        <v>163</v>
      </c>
      <c r="I770">
        <v>3</v>
      </c>
      <c r="J770">
        <v>8</v>
      </c>
      <c r="K770" t="s">
        <v>54</v>
      </c>
      <c r="L770">
        <v>1</v>
      </c>
      <c r="M770">
        <v>0.46427870000479698</v>
      </c>
      <c r="N770" t="s">
        <v>51</v>
      </c>
      <c r="O770">
        <v>8</v>
      </c>
      <c r="P770">
        <v>3</v>
      </c>
      <c r="Q770">
        <v>163</v>
      </c>
      <c r="R770">
        <v>2</v>
      </c>
      <c r="S770">
        <v>221.45332620001801</v>
      </c>
      <c r="X770">
        <v>221.443682299985</v>
      </c>
      <c r="Y770">
        <v>221.45332620001801</v>
      </c>
      <c r="Z770">
        <v>221.952867400017</v>
      </c>
      <c r="AA770">
        <v>221.952867400017</v>
      </c>
      <c r="AB770">
        <v>221.952867400017</v>
      </c>
      <c r="AC770">
        <v>222.42376869998401</v>
      </c>
      <c r="AD770" t="s">
        <v>54</v>
      </c>
      <c r="AE770">
        <v>1</v>
      </c>
      <c r="AF770">
        <v>0.46427870000479698</v>
      </c>
      <c r="AG770" t="s">
        <v>51</v>
      </c>
      <c r="AK770" t="s">
        <v>93</v>
      </c>
      <c r="AL770">
        <v>1</v>
      </c>
      <c r="AM770" t="s">
        <v>85</v>
      </c>
      <c r="AN770" t="s">
        <v>43</v>
      </c>
      <c r="AP770" t="s">
        <v>44</v>
      </c>
      <c r="AQ770">
        <v>59.992644915568597</v>
      </c>
      <c r="AR770" t="s">
        <v>86</v>
      </c>
    </row>
    <row r="771" spans="1:44" x14ac:dyDescent="0.3">
      <c r="A771" t="s">
        <v>60</v>
      </c>
      <c r="B771" t="s">
        <v>62</v>
      </c>
      <c r="C771" s="2" t="str">
        <f t="shared" si="12"/>
        <v>Emotional-C</v>
      </c>
      <c r="D771">
        <v>0.812381500029005</v>
      </c>
      <c r="E771" t="s">
        <v>59</v>
      </c>
      <c r="F771" t="s">
        <v>61</v>
      </c>
      <c r="G771" t="s">
        <v>63</v>
      </c>
      <c r="H771">
        <v>164</v>
      </c>
      <c r="I771">
        <v>4</v>
      </c>
      <c r="J771">
        <v>8</v>
      </c>
      <c r="K771" t="s">
        <v>63</v>
      </c>
      <c r="L771">
        <v>1</v>
      </c>
      <c r="M771">
        <v>0.54781700001331002</v>
      </c>
      <c r="N771" t="s">
        <v>51</v>
      </c>
      <c r="O771">
        <v>8</v>
      </c>
      <c r="P771">
        <v>4</v>
      </c>
      <c r="Q771">
        <v>164</v>
      </c>
      <c r="R771">
        <v>0</v>
      </c>
      <c r="S771">
        <v>222.43618640000901</v>
      </c>
      <c r="X771">
        <v>222.426090100023</v>
      </c>
      <c r="Y771">
        <v>222.43618640000901</v>
      </c>
      <c r="Z771">
        <v>222.93575509998399</v>
      </c>
      <c r="AA771">
        <v>222.93575509998399</v>
      </c>
      <c r="AB771">
        <v>222.93575509998399</v>
      </c>
      <c r="AC771">
        <v>223.49011409998599</v>
      </c>
      <c r="AD771" t="s">
        <v>63</v>
      </c>
      <c r="AE771">
        <v>1</v>
      </c>
      <c r="AF771">
        <v>0.54781700001331002</v>
      </c>
      <c r="AG771" t="s">
        <v>51</v>
      </c>
      <c r="AK771" t="s">
        <v>93</v>
      </c>
      <c r="AL771">
        <v>1</v>
      </c>
      <c r="AM771" t="s">
        <v>85</v>
      </c>
      <c r="AN771" t="s">
        <v>43</v>
      </c>
      <c r="AP771" t="s">
        <v>44</v>
      </c>
      <c r="AQ771">
        <v>59.992644915568597</v>
      </c>
      <c r="AR771" t="s">
        <v>86</v>
      </c>
    </row>
    <row r="772" spans="1:44" x14ac:dyDescent="0.3">
      <c r="A772" t="s">
        <v>58</v>
      </c>
      <c r="B772" t="s">
        <v>49</v>
      </c>
      <c r="C772" s="2" t="str">
        <f t="shared" si="12"/>
        <v>Emotional-I</v>
      </c>
      <c r="D772">
        <v>0.557203700009267</v>
      </c>
      <c r="E772" t="s">
        <v>59</v>
      </c>
      <c r="F772" t="s">
        <v>48</v>
      </c>
      <c r="G772" t="s">
        <v>50</v>
      </c>
      <c r="H772">
        <v>165</v>
      </c>
      <c r="I772">
        <v>5</v>
      </c>
      <c r="J772">
        <v>8</v>
      </c>
      <c r="K772" t="s">
        <v>50</v>
      </c>
      <c r="L772">
        <v>1</v>
      </c>
      <c r="M772">
        <v>0.677437500038649</v>
      </c>
      <c r="N772" t="s">
        <v>51</v>
      </c>
      <c r="O772">
        <v>8</v>
      </c>
      <c r="P772">
        <v>5</v>
      </c>
      <c r="Q772">
        <v>165</v>
      </c>
      <c r="R772">
        <v>7</v>
      </c>
      <c r="S772">
        <v>223.50353530002701</v>
      </c>
      <c r="X772">
        <v>223.493242900003</v>
      </c>
      <c r="Y772">
        <v>223.50353530002701</v>
      </c>
      <c r="Z772">
        <v>224.00372149999001</v>
      </c>
      <c r="AA772">
        <v>224.00372149999001</v>
      </c>
      <c r="AB772">
        <v>224.00372149999001</v>
      </c>
      <c r="AC772">
        <v>224.68981180002399</v>
      </c>
      <c r="AD772" t="s">
        <v>50</v>
      </c>
      <c r="AE772">
        <v>1</v>
      </c>
      <c r="AF772">
        <v>0.677437500038649</v>
      </c>
      <c r="AG772" t="s">
        <v>51</v>
      </c>
      <c r="AK772" t="s">
        <v>93</v>
      </c>
      <c r="AL772">
        <v>1</v>
      </c>
      <c r="AM772" t="s">
        <v>85</v>
      </c>
      <c r="AN772" t="s">
        <v>43</v>
      </c>
      <c r="AP772" t="s">
        <v>44</v>
      </c>
      <c r="AQ772">
        <v>59.992644915568597</v>
      </c>
      <c r="AR772" t="s">
        <v>86</v>
      </c>
    </row>
    <row r="773" spans="1:44" x14ac:dyDescent="0.3">
      <c r="A773" t="s">
        <v>77</v>
      </c>
      <c r="B773" t="s">
        <v>62</v>
      </c>
      <c r="C773" s="2" t="str">
        <f t="shared" si="12"/>
        <v>Emotional-C</v>
      </c>
      <c r="D773">
        <v>0.52477189997443896</v>
      </c>
      <c r="E773" t="s">
        <v>59</v>
      </c>
      <c r="F773" t="s">
        <v>61</v>
      </c>
      <c r="G773" t="s">
        <v>63</v>
      </c>
      <c r="H773">
        <v>166</v>
      </c>
      <c r="I773">
        <v>6</v>
      </c>
      <c r="J773">
        <v>8</v>
      </c>
      <c r="K773" t="s">
        <v>63</v>
      </c>
      <c r="L773">
        <v>1</v>
      </c>
      <c r="M773">
        <v>0.52257259999169003</v>
      </c>
      <c r="N773" t="s">
        <v>51</v>
      </c>
      <c r="O773">
        <v>8</v>
      </c>
      <c r="P773">
        <v>6</v>
      </c>
      <c r="Q773">
        <v>166</v>
      </c>
      <c r="R773">
        <v>4</v>
      </c>
      <c r="S773">
        <v>224.70310510002301</v>
      </c>
      <c r="X773">
        <v>224.69263459998101</v>
      </c>
      <c r="Y773">
        <v>224.70310510002301</v>
      </c>
      <c r="Z773">
        <v>225.203216900001</v>
      </c>
      <c r="AA773">
        <v>225.203216900001</v>
      </c>
      <c r="AB773">
        <v>225.203216900001</v>
      </c>
      <c r="AC773">
        <v>225.740671199979</v>
      </c>
      <c r="AD773" t="s">
        <v>63</v>
      </c>
      <c r="AE773">
        <v>1</v>
      </c>
      <c r="AF773">
        <v>0.52257259999169003</v>
      </c>
      <c r="AG773" t="s">
        <v>51</v>
      </c>
      <c r="AK773" t="s">
        <v>93</v>
      </c>
      <c r="AL773">
        <v>1</v>
      </c>
      <c r="AM773" t="s">
        <v>85</v>
      </c>
      <c r="AN773" t="s">
        <v>43</v>
      </c>
      <c r="AP773" t="s">
        <v>44</v>
      </c>
      <c r="AQ773">
        <v>59.992644915568597</v>
      </c>
      <c r="AR773" t="s">
        <v>86</v>
      </c>
    </row>
    <row r="774" spans="1:44" x14ac:dyDescent="0.3">
      <c r="A774" t="s">
        <v>46</v>
      </c>
      <c r="B774" t="s">
        <v>49</v>
      </c>
      <c r="C774" s="2" t="str">
        <f t="shared" si="12"/>
        <v>Neutral</v>
      </c>
      <c r="D774">
        <v>0.42154820001451299</v>
      </c>
      <c r="E774" t="s">
        <v>47</v>
      </c>
      <c r="F774" t="s">
        <v>48</v>
      </c>
      <c r="G774" t="s">
        <v>50</v>
      </c>
      <c r="H774">
        <v>167</v>
      </c>
      <c r="I774">
        <v>7</v>
      </c>
      <c r="J774">
        <v>8</v>
      </c>
      <c r="K774" t="s">
        <v>50</v>
      </c>
      <c r="L774">
        <v>1</v>
      </c>
      <c r="M774">
        <v>1.1190617000101999</v>
      </c>
      <c r="N774" t="s">
        <v>51</v>
      </c>
      <c r="O774">
        <v>8</v>
      </c>
      <c r="P774">
        <v>7</v>
      </c>
      <c r="Q774">
        <v>167</v>
      </c>
      <c r="R774">
        <v>19</v>
      </c>
      <c r="S774">
        <v>225.752980899997</v>
      </c>
      <c r="X774">
        <v>225.743171699985</v>
      </c>
      <c r="Y774">
        <v>225.752980899997</v>
      </c>
      <c r="Z774">
        <v>226.253425400005</v>
      </c>
      <c r="AA774">
        <v>226.253425400005</v>
      </c>
      <c r="AB774">
        <v>226.253425400005</v>
      </c>
      <c r="AC774">
        <v>227.37380000000101</v>
      </c>
      <c r="AD774" t="s">
        <v>50</v>
      </c>
      <c r="AE774">
        <v>1</v>
      </c>
      <c r="AF774">
        <v>1.1190617000101999</v>
      </c>
      <c r="AG774" t="s">
        <v>51</v>
      </c>
      <c r="AK774" t="s">
        <v>93</v>
      </c>
      <c r="AL774">
        <v>1</v>
      </c>
      <c r="AM774" t="s">
        <v>85</v>
      </c>
      <c r="AN774" t="s">
        <v>43</v>
      </c>
      <c r="AP774" t="s">
        <v>44</v>
      </c>
      <c r="AQ774">
        <v>59.992644915568597</v>
      </c>
      <c r="AR774" t="s">
        <v>86</v>
      </c>
    </row>
    <row r="775" spans="1:44" x14ac:dyDescent="0.3">
      <c r="A775" t="s">
        <v>67</v>
      </c>
      <c r="B775" t="s">
        <v>49</v>
      </c>
      <c r="C775" s="2" t="str">
        <f t="shared" si="12"/>
        <v>Neutral</v>
      </c>
      <c r="D775">
        <v>0.40052279998781098</v>
      </c>
      <c r="E775" t="s">
        <v>47</v>
      </c>
      <c r="F775" t="s">
        <v>53</v>
      </c>
      <c r="G775" t="s">
        <v>54</v>
      </c>
      <c r="H775">
        <v>168</v>
      </c>
      <c r="I775">
        <v>8</v>
      </c>
      <c r="J775">
        <v>8</v>
      </c>
      <c r="K775" t="s">
        <v>54</v>
      </c>
      <c r="L775">
        <v>1</v>
      </c>
      <c r="M775">
        <v>0.76330660004168704</v>
      </c>
      <c r="N775" t="s">
        <v>51</v>
      </c>
      <c r="O775">
        <v>8</v>
      </c>
      <c r="P775">
        <v>8</v>
      </c>
      <c r="Q775">
        <v>168</v>
      </c>
      <c r="R775">
        <v>10</v>
      </c>
      <c r="S775">
        <v>227.38629210001</v>
      </c>
      <c r="X775">
        <v>227.37709100003099</v>
      </c>
      <c r="Y775">
        <v>227.38629210001</v>
      </c>
      <c r="Z775">
        <v>227.88645270001101</v>
      </c>
      <c r="AA775">
        <v>227.88645270001101</v>
      </c>
      <c r="AB775">
        <v>227.88645270001101</v>
      </c>
      <c r="AC775">
        <v>228.656375900027</v>
      </c>
      <c r="AD775" t="s">
        <v>54</v>
      </c>
      <c r="AE775">
        <v>1</v>
      </c>
      <c r="AF775">
        <v>0.76330660004168704</v>
      </c>
      <c r="AG775" t="s">
        <v>51</v>
      </c>
      <c r="AK775" t="s">
        <v>93</v>
      </c>
      <c r="AL775">
        <v>1</v>
      </c>
      <c r="AM775" t="s">
        <v>85</v>
      </c>
      <c r="AN775" t="s">
        <v>43</v>
      </c>
      <c r="AP775" t="s">
        <v>44</v>
      </c>
      <c r="AQ775">
        <v>59.992644915568597</v>
      </c>
      <c r="AR775" t="s">
        <v>86</v>
      </c>
    </row>
    <row r="776" spans="1:44" x14ac:dyDescent="0.3">
      <c r="A776" t="s">
        <v>68</v>
      </c>
      <c r="B776" t="s">
        <v>49</v>
      </c>
      <c r="C776" s="2" t="str">
        <f t="shared" si="12"/>
        <v>Emotional-I</v>
      </c>
      <c r="D776">
        <v>0.73955880000721597</v>
      </c>
      <c r="E776" t="s">
        <v>59</v>
      </c>
      <c r="F776" t="s">
        <v>53</v>
      </c>
      <c r="G776" t="s">
        <v>54</v>
      </c>
      <c r="H776">
        <v>169</v>
      </c>
      <c r="I776">
        <v>9</v>
      </c>
      <c r="J776">
        <v>8</v>
      </c>
      <c r="K776" t="s">
        <v>54</v>
      </c>
      <c r="L776">
        <v>1</v>
      </c>
      <c r="M776">
        <v>0.50593770004343197</v>
      </c>
      <c r="N776" t="s">
        <v>51</v>
      </c>
      <c r="O776">
        <v>8</v>
      </c>
      <c r="P776">
        <v>9</v>
      </c>
      <c r="Q776">
        <v>169</v>
      </c>
      <c r="R776">
        <v>6</v>
      </c>
      <c r="S776">
        <v>228.66977510001701</v>
      </c>
      <c r="X776">
        <v>228.65900849999099</v>
      </c>
      <c r="Y776">
        <v>228.66977510001701</v>
      </c>
      <c r="Z776">
        <v>229.16941269999299</v>
      </c>
      <c r="AA776">
        <v>229.16941269999299</v>
      </c>
      <c r="AB776">
        <v>229.16941269999299</v>
      </c>
      <c r="AC776">
        <v>229.69002739997799</v>
      </c>
      <c r="AD776" t="s">
        <v>54</v>
      </c>
      <c r="AE776">
        <v>1</v>
      </c>
      <c r="AF776">
        <v>0.50593770004343197</v>
      </c>
      <c r="AG776" t="s">
        <v>51</v>
      </c>
      <c r="AK776" t="s">
        <v>93</v>
      </c>
      <c r="AL776">
        <v>1</v>
      </c>
      <c r="AM776" t="s">
        <v>85</v>
      </c>
      <c r="AN776" t="s">
        <v>43</v>
      </c>
      <c r="AP776" t="s">
        <v>44</v>
      </c>
      <c r="AQ776">
        <v>59.992644915568597</v>
      </c>
      <c r="AR776" t="s">
        <v>86</v>
      </c>
    </row>
    <row r="777" spans="1:44" x14ac:dyDescent="0.3">
      <c r="A777" t="s">
        <v>55</v>
      </c>
      <c r="B777" t="s">
        <v>49</v>
      </c>
      <c r="C777" s="2" t="str">
        <f t="shared" si="12"/>
        <v>Neutral</v>
      </c>
      <c r="D777">
        <v>0.58785060001537204</v>
      </c>
      <c r="E777" t="s">
        <v>47</v>
      </c>
      <c r="F777" t="s">
        <v>56</v>
      </c>
      <c r="G777" t="s">
        <v>57</v>
      </c>
      <c r="H777">
        <v>170</v>
      </c>
      <c r="I777">
        <v>10</v>
      </c>
      <c r="J777">
        <v>8</v>
      </c>
      <c r="K777" t="s">
        <v>57</v>
      </c>
      <c r="L777">
        <v>1</v>
      </c>
      <c r="M777">
        <v>0.64916199998697199</v>
      </c>
      <c r="N777" t="s">
        <v>51</v>
      </c>
      <c r="O777">
        <v>8</v>
      </c>
      <c r="P777">
        <v>10</v>
      </c>
      <c r="Q777">
        <v>170</v>
      </c>
      <c r="R777">
        <v>13</v>
      </c>
      <c r="S777">
        <v>229.70303380000399</v>
      </c>
      <c r="X777">
        <v>229.69258799997601</v>
      </c>
      <c r="Y777">
        <v>229.70303380000399</v>
      </c>
      <c r="Z777">
        <v>230.20264390000301</v>
      </c>
      <c r="AA777">
        <v>230.20264390000301</v>
      </c>
      <c r="AB777">
        <v>230.20264390000301</v>
      </c>
      <c r="AC777">
        <v>230.85735210002099</v>
      </c>
      <c r="AD777" t="s">
        <v>57</v>
      </c>
      <c r="AE777">
        <v>1</v>
      </c>
      <c r="AF777">
        <v>0.64916199998697199</v>
      </c>
      <c r="AG777" t="s">
        <v>51</v>
      </c>
      <c r="AK777" t="s">
        <v>93</v>
      </c>
      <c r="AL777">
        <v>1</v>
      </c>
      <c r="AM777" t="s">
        <v>85</v>
      </c>
      <c r="AN777" t="s">
        <v>43</v>
      </c>
      <c r="AP777" t="s">
        <v>44</v>
      </c>
      <c r="AQ777">
        <v>59.992644915568597</v>
      </c>
      <c r="AR777" t="s">
        <v>86</v>
      </c>
    </row>
    <row r="778" spans="1:44" x14ac:dyDescent="0.3">
      <c r="A778" t="s">
        <v>72</v>
      </c>
      <c r="B778" t="s">
        <v>62</v>
      </c>
      <c r="C778" s="2" t="str">
        <f t="shared" si="12"/>
        <v>Emotional-C</v>
      </c>
      <c r="D778">
        <v>0.71872359997360002</v>
      </c>
      <c r="E778" t="s">
        <v>59</v>
      </c>
      <c r="F778" t="s">
        <v>61</v>
      </c>
      <c r="G778" t="s">
        <v>63</v>
      </c>
      <c r="H778">
        <v>171</v>
      </c>
      <c r="I778">
        <v>11</v>
      </c>
      <c r="J778">
        <v>8</v>
      </c>
      <c r="K778" t="s">
        <v>63</v>
      </c>
      <c r="L778">
        <v>1</v>
      </c>
      <c r="M778">
        <v>0.52195170003687896</v>
      </c>
      <c r="N778" t="s">
        <v>51</v>
      </c>
      <c r="O778">
        <v>8</v>
      </c>
      <c r="P778">
        <v>11</v>
      </c>
      <c r="Q778">
        <v>171</v>
      </c>
      <c r="R778">
        <v>8</v>
      </c>
      <c r="S778">
        <v>230.869710300001</v>
      </c>
      <c r="X778">
        <v>230.859965200012</v>
      </c>
      <c r="Y778">
        <v>230.869710300001</v>
      </c>
      <c r="Z778">
        <v>231.36950059997599</v>
      </c>
      <c r="AA778">
        <v>231.36950059997599</v>
      </c>
      <c r="AB778">
        <v>231.36950059997599</v>
      </c>
      <c r="AC778">
        <v>231.90621759998601</v>
      </c>
      <c r="AD778" t="s">
        <v>63</v>
      </c>
      <c r="AE778">
        <v>1</v>
      </c>
      <c r="AF778">
        <v>0.52195170003687896</v>
      </c>
      <c r="AG778" t="s">
        <v>51</v>
      </c>
      <c r="AK778" t="s">
        <v>93</v>
      </c>
      <c r="AL778">
        <v>1</v>
      </c>
      <c r="AM778" t="s">
        <v>85</v>
      </c>
      <c r="AN778" t="s">
        <v>43</v>
      </c>
      <c r="AP778" t="s">
        <v>44</v>
      </c>
      <c r="AQ778">
        <v>59.992644915568597</v>
      </c>
      <c r="AR778" t="s">
        <v>86</v>
      </c>
    </row>
    <row r="779" spans="1:44" x14ac:dyDescent="0.3">
      <c r="A779" t="s">
        <v>73</v>
      </c>
      <c r="B779" t="s">
        <v>49</v>
      </c>
      <c r="C779" s="2" t="str">
        <f t="shared" si="12"/>
        <v>Emotional-I</v>
      </c>
      <c r="D779">
        <v>1.2972640999942</v>
      </c>
      <c r="E779" t="s">
        <v>59</v>
      </c>
      <c r="F779" t="s">
        <v>56</v>
      </c>
      <c r="G779" t="s">
        <v>57</v>
      </c>
      <c r="H779">
        <v>172</v>
      </c>
      <c r="I779">
        <v>12</v>
      </c>
      <c r="J779">
        <v>8</v>
      </c>
      <c r="K779" t="s">
        <v>57</v>
      </c>
      <c r="L779">
        <v>1</v>
      </c>
      <c r="M779">
        <v>0.68553009995957803</v>
      </c>
      <c r="N779" t="s">
        <v>51</v>
      </c>
      <c r="O779">
        <v>8</v>
      </c>
      <c r="P779">
        <v>12</v>
      </c>
      <c r="Q779">
        <v>172</v>
      </c>
      <c r="R779">
        <v>1</v>
      </c>
      <c r="S779">
        <v>231.919116600009</v>
      </c>
      <c r="X779">
        <v>231.90862409997499</v>
      </c>
      <c r="Y779">
        <v>231.919116600009</v>
      </c>
      <c r="Z779">
        <v>232.41897910000901</v>
      </c>
      <c r="AA779">
        <v>232.41897910000901</v>
      </c>
      <c r="AB779">
        <v>232.41897910000901</v>
      </c>
      <c r="AC779">
        <v>233.10607789998099</v>
      </c>
      <c r="AD779" t="s">
        <v>57</v>
      </c>
      <c r="AE779">
        <v>1</v>
      </c>
      <c r="AF779">
        <v>0.68553009995957803</v>
      </c>
      <c r="AG779" t="s">
        <v>51</v>
      </c>
      <c r="AK779" t="s">
        <v>93</v>
      </c>
      <c r="AL779">
        <v>1</v>
      </c>
      <c r="AM779" t="s">
        <v>85</v>
      </c>
      <c r="AN779" t="s">
        <v>43</v>
      </c>
      <c r="AP779" t="s">
        <v>44</v>
      </c>
      <c r="AQ779">
        <v>59.992644915568597</v>
      </c>
      <c r="AR779" t="s">
        <v>86</v>
      </c>
    </row>
    <row r="780" spans="1:44" x14ac:dyDescent="0.3">
      <c r="A780" t="s">
        <v>66</v>
      </c>
      <c r="B780" t="s">
        <v>49</v>
      </c>
      <c r="C780" s="2" t="str">
        <f t="shared" si="12"/>
        <v>Neutral</v>
      </c>
      <c r="D780">
        <v>0.80869360000360702</v>
      </c>
      <c r="E780" t="s">
        <v>47</v>
      </c>
      <c r="F780" t="s">
        <v>61</v>
      </c>
      <c r="G780" t="s">
        <v>63</v>
      </c>
      <c r="H780">
        <v>173</v>
      </c>
      <c r="I780">
        <v>13</v>
      </c>
      <c r="J780">
        <v>8</v>
      </c>
      <c r="K780" t="s">
        <v>63</v>
      </c>
      <c r="L780">
        <v>1</v>
      </c>
      <c r="M780">
        <v>0.40430430002743301</v>
      </c>
      <c r="N780" t="s">
        <v>51</v>
      </c>
      <c r="O780">
        <v>8</v>
      </c>
      <c r="P780">
        <v>13</v>
      </c>
      <c r="Q780">
        <v>173</v>
      </c>
      <c r="R780">
        <v>12</v>
      </c>
      <c r="S780">
        <v>233.11969900003101</v>
      </c>
      <c r="X780">
        <v>233.108683100028</v>
      </c>
      <c r="Y780">
        <v>233.11969900003101</v>
      </c>
      <c r="Z780">
        <v>233.619471399986</v>
      </c>
      <c r="AA780">
        <v>233.619471399986</v>
      </c>
      <c r="AB780">
        <v>233.619471399986</v>
      </c>
      <c r="AC780">
        <v>234.03913490002699</v>
      </c>
      <c r="AD780" t="s">
        <v>63</v>
      </c>
      <c r="AE780">
        <v>1</v>
      </c>
      <c r="AF780">
        <v>0.40430430002743301</v>
      </c>
      <c r="AG780" t="s">
        <v>51</v>
      </c>
      <c r="AK780" t="s">
        <v>93</v>
      </c>
      <c r="AL780">
        <v>1</v>
      </c>
      <c r="AM780" t="s">
        <v>85</v>
      </c>
      <c r="AN780" t="s">
        <v>43</v>
      </c>
      <c r="AP780" t="s">
        <v>44</v>
      </c>
      <c r="AQ780">
        <v>59.992644915568597</v>
      </c>
      <c r="AR780" t="s">
        <v>86</v>
      </c>
    </row>
    <row r="781" spans="1:44" x14ac:dyDescent="0.3">
      <c r="A781" t="s">
        <v>75</v>
      </c>
      <c r="B781" t="s">
        <v>49</v>
      </c>
      <c r="C781" s="2" t="str">
        <f t="shared" si="12"/>
        <v>Neutral</v>
      </c>
      <c r="D781">
        <v>0.65546739997807801</v>
      </c>
      <c r="E781" t="s">
        <v>47</v>
      </c>
      <c r="F781" t="s">
        <v>61</v>
      </c>
      <c r="G781" t="s">
        <v>63</v>
      </c>
      <c r="H781">
        <v>174</v>
      </c>
      <c r="I781">
        <v>14</v>
      </c>
      <c r="J781">
        <v>8</v>
      </c>
      <c r="K781" t="s">
        <v>63</v>
      </c>
      <c r="L781">
        <v>1</v>
      </c>
      <c r="M781">
        <v>0.59179720003157799</v>
      </c>
      <c r="N781" t="s">
        <v>51</v>
      </c>
      <c r="O781">
        <v>8</v>
      </c>
      <c r="P781">
        <v>14</v>
      </c>
      <c r="Q781">
        <v>174</v>
      </c>
      <c r="R781">
        <v>16</v>
      </c>
      <c r="S781">
        <v>234.05248349998101</v>
      </c>
      <c r="X781">
        <v>234.04184030002199</v>
      </c>
      <c r="Y781">
        <v>234.05248349998101</v>
      </c>
      <c r="Z781">
        <v>234.55250520003</v>
      </c>
      <c r="AA781">
        <v>234.55250520003</v>
      </c>
      <c r="AB781">
        <v>234.55250520003</v>
      </c>
      <c r="AC781">
        <v>235.15649870003099</v>
      </c>
      <c r="AD781" t="s">
        <v>63</v>
      </c>
      <c r="AE781">
        <v>1</v>
      </c>
      <c r="AF781">
        <v>0.59179720003157799</v>
      </c>
      <c r="AG781" t="s">
        <v>51</v>
      </c>
      <c r="AK781" t="s">
        <v>93</v>
      </c>
      <c r="AL781">
        <v>1</v>
      </c>
      <c r="AM781" t="s">
        <v>85</v>
      </c>
      <c r="AN781" t="s">
        <v>43</v>
      </c>
      <c r="AP781" t="s">
        <v>44</v>
      </c>
      <c r="AQ781">
        <v>59.992644915568597</v>
      </c>
      <c r="AR781" t="s">
        <v>86</v>
      </c>
    </row>
    <row r="782" spans="1:44" hidden="1" x14ac:dyDescent="0.3">
      <c r="A782" t="s">
        <v>52</v>
      </c>
      <c r="B782" t="s">
        <v>49</v>
      </c>
      <c r="C782" s="2" t="str">
        <f t="shared" si="12"/>
        <v>Neutral</v>
      </c>
      <c r="D782">
        <v>1.1076141999801601</v>
      </c>
      <c r="E782" t="s">
        <v>47</v>
      </c>
      <c r="F782" t="s">
        <v>53</v>
      </c>
      <c r="G782" t="s">
        <v>54</v>
      </c>
      <c r="H782">
        <v>175</v>
      </c>
      <c r="I782">
        <v>15</v>
      </c>
      <c r="J782">
        <v>8</v>
      </c>
      <c r="K782" t="s">
        <v>50</v>
      </c>
      <c r="L782">
        <v>0</v>
      </c>
      <c r="M782">
        <v>0.895538899989333</v>
      </c>
      <c r="N782" t="s">
        <v>51</v>
      </c>
      <c r="O782">
        <v>8</v>
      </c>
      <c r="P782">
        <v>15</v>
      </c>
      <c r="Q782">
        <v>175</v>
      </c>
      <c r="R782">
        <v>14</v>
      </c>
      <c r="S782">
        <v>235.170122399984</v>
      </c>
      <c r="X782">
        <v>235.15921060001699</v>
      </c>
      <c r="Y782">
        <v>235.170122399984</v>
      </c>
      <c r="Z782">
        <v>235.669119699974</v>
      </c>
      <c r="AA782">
        <v>235.669119699974</v>
      </c>
      <c r="AB782">
        <v>235.669119699974</v>
      </c>
      <c r="AC782">
        <v>236.572731100022</v>
      </c>
      <c r="AD782" t="s">
        <v>50</v>
      </c>
      <c r="AE782">
        <v>0</v>
      </c>
      <c r="AF782">
        <v>0.895538899989333</v>
      </c>
      <c r="AG782" t="s">
        <v>51</v>
      </c>
      <c r="AK782" t="s">
        <v>93</v>
      </c>
      <c r="AL782">
        <v>1</v>
      </c>
      <c r="AM782" t="s">
        <v>85</v>
      </c>
      <c r="AN782" t="s">
        <v>43</v>
      </c>
      <c r="AP782" t="s">
        <v>44</v>
      </c>
      <c r="AQ782">
        <v>59.992644915568597</v>
      </c>
      <c r="AR782" t="s">
        <v>86</v>
      </c>
    </row>
    <row r="783" spans="1:44" x14ac:dyDescent="0.3">
      <c r="A783" t="s">
        <v>78</v>
      </c>
      <c r="B783" t="s">
        <v>49</v>
      </c>
      <c r="C783" s="2" t="str">
        <f t="shared" si="12"/>
        <v>Neutral</v>
      </c>
      <c r="D783">
        <v>1.0176418999908401</v>
      </c>
      <c r="E783" t="s">
        <v>47</v>
      </c>
      <c r="F783" t="s">
        <v>56</v>
      </c>
      <c r="G783" t="s">
        <v>57</v>
      </c>
      <c r="H783">
        <v>176</v>
      </c>
      <c r="I783">
        <v>16</v>
      </c>
      <c r="J783">
        <v>8</v>
      </c>
      <c r="K783" t="s">
        <v>57</v>
      </c>
      <c r="L783">
        <v>1</v>
      </c>
      <c r="M783">
        <v>0.78021510003600203</v>
      </c>
      <c r="N783" t="s">
        <v>51</v>
      </c>
      <c r="O783">
        <v>8</v>
      </c>
      <c r="P783">
        <v>16</v>
      </c>
      <c r="Q783">
        <v>176</v>
      </c>
      <c r="R783">
        <v>17</v>
      </c>
      <c r="S783">
        <v>236.585920499986</v>
      </c>
      <c r="X783">
        <v>236.575303399993</v>
      </c>
      <c r="Y783">
        <v>236.585920499986</v>
      </c>
      <c r="Z783">
        <v>237.08635579998301</v>
      </c>
      <c r="AA783">
        <v>237.08635579998301</v>
      </c>
      <c r="AB783">
        <v>237.08635579998301</v>
      </c>
      <c r="AC783">
        <v>237.873225799994</v>
      </c>
      <c r="AD783" t="s">
        <v>57</v>
      </c>
      <c r="AE783">
        <v>1</v>
      </c>
      <c r="AF783">
        <v>0.78021510003600203</v>
      </c>
      <c r="AG783" t="s">
        <v>51</v>
      </c>
      <c r="AK783" t="s">
        <v>93</v>
      </c>
      <c r="AL783">
        <v>1</v>
      </c>
      <c r="AM783" t="s">
        <v>85</v>
      </c>
      <c r="AN783" t="s">
        <v>43</v>
      </c>
      <c r="AP783" t="s">
        <v>44</v>
      </c>
      <c r="AQ783">
        <v>59.992644915568597</v>
      </c>
      <c r="AR783" t="s">
        <v>86</v>
      </c>
    </row>
    <row r="784" spans="1:44" x14ac:dyDescent="0.3">
      <c r="A784" t="s">
        <v>76</v>
      </c>
      <c r="B784" t="s">
        <v>49</v>
      </c>
      <c r="C784" s="2" t="str">
        <f t="shared" si="12"/>
        <v>Emotional-I</v>
      </c>
      <c r="D784">
        <v>0.76665229996433404</v>
      </c>
      <c r="E784" t="s">
        <v>59</v>
      </c>
      <c r="F784" t="s">
        <v>48</v>
      </c>
      <c r="G784" t="s">
        <v>50</v>
      </c>
      <c r="H784">
        <v>177</v>
      </c>
      <c r="I784">
        <v>17</v>
      </c>
      <c r="J784">
        <v>8</v>
      </c>
      <c r="K784" t="s">
        <v>50</v>
      </c>
      <c r="L784">
        <v>1</v>
      </c>
      <c r="M784">
        <v>0.84518180001759902</v>
      </c>
      <c r="N784" t="s">
        <v>51</v>
      </c>
      <c r="O784">
        <v>8</v>
      </c>
      <c r="P784">
        <v>17</v>
      </c>
      <c r="Q784">
        <v>177</v>
      </c>
      <c r="R784">
        <v>3</v>
      </c>
      <c r="S784">
        <v>237.885978800011</v>
      </c>
      <c r="X784">
        <v>237.87667570001199</v>
      </c>
      <c r="Y784">
        <v>237.885978800011</v>
      </c>
      <c r="Z784">
        <v>238.38611700001599</v>
      </c>
      <c r="AA784">
        <v>238.38611700001599</v>
      </c>
      <c r="AB784">
        <v>238.38611700001599</v>
      </c>
      <c r="AC784">
        <v>239.23890260001599</v>
      </c>
      <c r="AD784" t="s">
        <v>50</v>
      </c>
      <c r="AE784">
        <v>1</v>
      </c>
      <c r="AF784">
        <v>0.84518180001759902</v>
      </c>
      <c r="AG784" t="s">
        <v>51</v>
      </c>
      <c r="AK784" t="s">
        <v>93</v>
      </c>
      <c r="AL784">
        <v>1</v>
      </c>
      <c r="AM784" t="s">
        <v>85</v>
      </c>
      <c r="AN784" t="s">
        <v>43</v>
      </c>
      <c r="AP784" t="s">
        <v>44</v>
      </c>
      <c r="AQ784">
        <v>59.992644915568597</v>
      </c>
      <c r="AR784" t="s">
        <v>86</v>
      </c>
    </row>
    <row r="785" spans="1:44" x14ac:dyDescent="0.3">
      <c r="A785" t="s">
        <v>71</v>
      </c>
      <c r="B785" t="s">
        <v>49</v>
      </c>
      <c r="C785" s="2" t="str">
        <f t="shared" si="12"/>
        <v>Neutral</v>
      </c>
      <c r="D785">
        <v>0.67506420001154699</v>
      </c>
      <c r="E785" t="s">
        <v>47</v>
      </c>
      <c r="F785" t="s">
        <v>48</v>
      </c>
      <c r="G785" t="s">
        <v>50</v>
      </c>
      <c r="H785">
        <v>178</v>
      </c>
      <c r="I785">
        <v>18</v>
      </c>
      <c r="J785">
        <v>8</v>
      </c>
      <c r="K785" t="s">
        <v>50</v>
      </c>
      <c r="L785">
        <v>1</v>
      </c>
      <c r="M785">
        <v>0.60449650004738897</v>
      </c>
      <c r="N785" t="s">
        <v>51</v>
      </c>
      <c r="O785">
        <v>8</v>
      </c>
      <c r="P785">
        <v>18</v>
      </c>
      <c r="Q785">
        <v>178</v>
      </c>
      <c r="R785">
        <v>15</v>
      </c>
      <c r="S785">
        <v>239.25275400001499</v>
      </c>
      <c r="X785">
        <v>239.24141780001801</v>
      </c>
      <c r="Y785">
        <v>239.25275400001499</v>
      </c>
      <c r="Z785">
        <v>239.75220749998601</v>
      </c>
      <c r="AA785">
        <v>239.75220749998601</v>
      </c>
      <c r="AB785">
        <v>239.75220749998601</v>
      </c>
      <c r="AC785">
        <v>240.372582899988</v>
      </c>
      <c r="AD785" t="s">
        <v>50</v>
      </c>
      <c r="AE785">
        <v>1</v>
      </c>
      <c r="AF785">
        <v>0.60449650004738897</v>
      </c>
      <c r="AG785" t="s">
        <v>51</v>
      </c>
      <c r="AK785" t="s">
        <v>93</v>
      </c>
      <c r="AL785">
        <v>1</v>
      </c>
      <c r="AM785" t="s">
        <v>85</v>
      </c>
      <c r="AN785" t="s">
        <v>43</v>
      </c>
      <c r="AP785" t="s">
        <v>44</v>
      </c>
      <c r="AQ785">
        <v>59.992644915568597</v>
      </c>
      <c r="AR785" t="s">
        <v>86</v>
      </c>
    </row>
    <row r="786" spans="1:44" x14ac:dyDescent="0.3">
      <c r="A786" t="s">
        <v>69</v>
      </c>
      <c r="B786" t="s">
        <v>49</v>
      </c>
      <c r="C786" s="2" t="str">
        <f t="shared" si="12"/>
        <v>Emotional-I</v>
      </c>
      <c r="D786">
        <v>0.74529609997989599</v>
      </c>
      <c r="E786" t="s">
        <v>59</v>
      </c>
      <c r="F786" t="s">
        <v>56</v>
      </c>
      <c r="G786" t="s">
        <v>57</v>
      </c>
      <c r="H786">
        <v>179</v>
      </c>
      <c r="I786">
        <v>19</v>
      </c>
      <c r="J786">
        <v>8</v>
      </c>
      <c r="K786" t="s">
        <v>57</v>
      </c>
      <c r="L786">
        <v>1</v>
      </c>
      <c r="M786">
        <v>0.81945999996969399</v>
      </c>
      <c r="N786" t="s">
        <v>51</v>
      </c>
      <c r="O786">
        <v>8</v>
      </c>
      <c r="P786">
        <v>19</v>
      </c>
      <c r="Q786">
        <v>179</v>
      </c>
      <c r="R786">
        <v>5</v>
      </c>
      <c r="S786">
        <v>240.38580879999699</v>
      </c>
      <c r="X786">
        <v>240.37540949997401</v>
      </c>
      <c r="Y786">
        <v>240.38580879999699</v>
      </c>
      <c r="Z786">
        <v>240.885906199982</v>
      </c>
      <c r="AA786">
        <v>240.885906199982</v>
      </c>
      <c r="AB786">
        <v>240.885906199982</v>
      </c>
      <c r="AC786">
        <v>241.70650540001199</v>
      </c>
      <c r="AD786" t="s">
        <v>57</v>
      </c>
      <c r="AE786">
        <v>1</v>
      </c>
      <c r="AF786">
        <v>0.81945999996969399</v>
      </c>
      <c r="AG786" t="s">
        <v>51</v>
      </c>
      <c r="AK786" t="s">
        <v>93</v>
      </c>
      <c r="AL786">
        <v>1</v>
      </c>
      <c r="AM786" t="s">
        <v>85</v>
      </c>
      <c r="AN786" t="s">
        <v>43</v>
      </c>
      <c r="AP786" t="s">
        <v>44</v>
      </c>
      <c r="AQ786">
        <v>59.992644915568597</v>
      </c>
      <c r="AR786" t="s">
        <v>86</v>
      </c>
    </row>
    <row r="787" spans="1:44" x14ac:dyDescent="0.3">
      <c r="A787" t="s">
        <v>78</v>
      </c>
      <c r="B787" t="s">
        <v>49</v>
      </c>
      <c r="C787" s="2" t="str">
        <f t="shared" si="12"/>
        <v>Neutral</v>
      </c>
      <c r="D787">
        <v>0.76742280001053498</v>
      </c>
      <c r="E787" t="s">
        <v>47</v>
      </c>
      <c r="F787" t="s">
        <v>56</v>
      </c>
      <c r="G787" t="s">
        <v>57</v>
      </c>
      <c r="H787">
        <v>180</v>
      </c>
      <c r="I787">
        <v>0</v>
      </c>
      <c r="J787">
        <v>9</v>
      </c>
      <c r="K787" t="s">
        <v>57</v>
      </c>
      <c r="L787">
        <v>1</v>
      </c>
      <c r="M787">
        <v>0.44667650002520498</v>
      </c>
      <c r="N787" t="s">
        <v>51</v>
      </c>
      <c r="O787">
        <v>9</v>
      </c>
      <c r="P787">
        <v>0</v>
      </c>
      <c r="Q787">
        <v>180</v>
      </c>
      <c r="R787">
        <v>17</v>
      </c>
      <c r="S787">
        <v>241.71957170002801</v>
      </c>
      <c r="X787">
        <v>241.70893439999699</v>
      </c>
      <c r="Y787">
        <v>241.71957170002801</v>
      </c>
      <c r="Z787">
        <v>242.21925500000299</v>
      </c>
      <c r="AA787">
        <v>242.21925500000299</v>
      </c>
      <c r="AB787">
        <v>242.21925500000299</v>
      </c>
      <c r="AC787">
        <v>242.67341940000099</v>
      </c>
      <c r="AD787" t="s">
        <v>57</v>
      </c>
      <c r="AE787">
        <v>1</v>
      </c>
      <c r="AF787">
        <v>0.44667650002520498</v>
      </c>
      <c r="AG787" t="s">
        <v>51</v>
      </c>
      <c r="AK787" t="s">
        <v>93</v>
      </c>
      <c r="AL787">
        <v>1</v>
      </c>
      <c r="AM787" t="s">
        <v>85</v>
      </c>
      <c r="AN787" t="s">
        <v>43</v>
      </c>
      <c r="AP787" t="s">
        <v>44</v>
      </c>
      <c r="AQ787">
        <v>59.992644915568597</v>
      </c>
      <c r="AR787" t="s">
        <v>86</v>
      </c>
    </row>
    <row r="788" spans="1:44" x14ac:dyDescent="0.3">
      <c r="A788" t="s">
        <v>64</v>
      </c>
      <c r="B788" t="s">
        <v>49</v>
      </c>
      <c r="C788" s="2" t="str">
        <f t="shared" si="12"/>
        <v>Neutral</v>
      </c>
      <c r="D788">
        <v>0.65827650000574001</v>
      </c>
      <c r="E788" t="s">
        <v>47</v>
      </c>
      <c r="F788" t="s">
        <v>53</v>
      </c>
      <c r="G788" t="s">
        <v>54</v>
      </c>
      <c r="H788">
        <v>181</v>
      </c>
      <c r="I788">
        <v>1</v>
      </c>
      <c r="J788">
        <v>9</v>
      </c>
      <c r="K788" t="s">
        <v>54</v>
      </c>
      <c r="L788">
        <v>1</v>
      </c>
      <c r="M788">
        <v>0.99361210002098199</v>
      </c>
      <c r="N788" t="s">
        <v>51</v>
      </c>
      <c r="O788">
        <v>9</v>
      </c>
      <c r="P788">
        <v>1</v>
      </c>
      <c r="Q788">
        <v>181</v>
      </c>
      <c r="R788">
        <v>18</v>
      </c>
      <c r="S788">
        <v>242.68630110000899</v>
      </c>
      <c r="X788">
        <v>242.67669210000801</v>
      </c>
      <c r="Y788">
        <v>242.68630110000899</v>
      </c>
      <c r="Z788">
        <v>243.18630180001401</v>
      </c>
      <c r="AA788">
        <v>243.18630180001401</v>
      </c>
      <c r="AB788">
        <v>243.18630180001401</v>
      </c>
      <c r="AC788">
        <v>244.195685299986</v>
      </c>
      <c r="AD788" t="s">
        <v>54</v>
      </c>
      <c r="AE788">
        <v>1</v>
      </c>
      <c r="AF788">
        <v>0.99361210002098199</v>
      </c>
      <c r="AG788" t="s">
        <v>51</v>
      </c>
      <c r="AK788" t="s">
        <v>93</v>
      </c>
      <c r="AL788">
        <v>1</v>
      </c>
      <c r="AM788" t="s">
        <v>85</v>
      </c>
      <c r="AN788" t="s">
        <v>43</v>
      </c>
      <c r="AP788" t="s">
        <v>44</v>
      </c>
      <c r="AQ788">
        <v>59.992644915568597</v>
      </c>
      <c r="AR788" t="s">
        <v>86</v>
      </c>
    </row>
    <row r="789" spans="1:44" x14ac:dyDescent="0.3">
      <c r="A789" t="s">
        <v>75</v>
      </c>
      <c r="B789" t="s">
        <v>49</v>
      </c>
      <c r="C789" s="2" t="str">
        <f t="shared" si="12"/>
        <v>Neutral</v>
      </c>
      <c r="D789">
        <v>0.56104979995870896</v>
      </c>
      <c r="E789" t="s">
        <v>47</v>
      </c>
      <c r="F789" t="s">
        <v>61</v>
      </c>
      <c r="G789" t="s">
        <v>63</v>
      </c>
      <c r="H789">
        <v>182</v>
      </c>
      <c r="I789">
        <v>2</v>
      </c>
      <c r="J789">
        <v>9</v>
      </c>
      <c r="K789" t="s">
        <v>63</v>
      </c>
      <c r="L789">
        <v>1</v>
      </c>
      <c r="M789">
        <v>0.53437090001534604</v>
      </c>
      <c r="N789" t="s">
        <v>51</v>
      </c>
      <c r="O789">
        <v>9</v>
      </c>
      <c r="P789">
        <v>2</v>
      </c>
      <c r="Q789">
        <v>182</v>
      </c>
      <c r="R789">
        <v>16</v>
      </c>
      <c r="S789">
        <v>244.21794180001501</v>
      </c>
      <c r="X789">
        <v>244.19965030002601</v>
      </c>
      <c r="Y789">
        <v>244.21794180001501</v>
      </c>
      <c r="Z789">
        <v>244.70227800001101</v>
      </c>
      <c r="AA789">
        <v>244.70227800001101</v>
      </c>
      <c r="AB789">
        <v>244.70227800001101</v>
      </c>
      <c r="AC789">
        <v>245.24109610001301</v>
      </c>
      <c r="AD789" t="s">
        <v>63</v>
      </c>
      <c r="AE789">
        <v>1</v>
      </c>
      <c r="AF789">
        <v>0.53437090001534604</v>
      </c>
      <c r="AG789" t="s">
        <v>51</v>
      </c>
      <c r="AK789" t="s">
        <v>93</v>
      </c>
      <c r="AL789">
        <v>1</v>
      </c>
      <c r="AM789" t="s">
        <v>85</v>
      </c>
      <c r="AN789" t="s">
        <v>43</v>
      </c>
      <c r="AP789" t="s">
        <v>44</v>
      </c>
      <c r="AQ789">
        <v>59.992644915568597</v>
      </c>
      <c r="AR789" t="s">
        <v>86</v>
      </c>
    </row>
    <row r="790" spans="1:44" x14ac:dyDescent="0.3">
      <c r="A790" t="s">
        <v>77</v>
      </c>
      <c r="B790" t="s">
        <v>62</v>
      </c>
      <c r="C790" s="2" t="str">
        <f t="shared" si="12"/>
        <v>Emotional-C</v>
      </c>
      <c r="D790">
        <v>0.43190119997598198</v>
      </c>
      <c r="E790" t="s">
        <v>59</v>
      </c>
      <c r="F790" t="s">
        <v>61</v>
      </c>
      <c r="G790" t="s">
        <v>63</v>
      </c>
      <c r="H790">
        <v>183</v>
      </c>
      <c r="I790">
        <v>3</v>
      </c>
      <c r="J790">
        <v>9</v>
      </c>
      <c r="K790" t="s">
        <v>63</v>
      </c>
      <c r="L790">
        <v>1</v>
      </c>
      <c r="M790">
        <v>0.45794609998119901</v>
      </c>
      <c r="N790" t="s">
        <v>51</v>
      </c>
      <c r="O790">
        <v>9</v>
      </c>
      <c r="P790">
        <v>3</v>
      </c>
      <c r="Q790">
        <v>183</v>
      </c>
      <c r="R790">
        <v>4</v>
      </c>
      <c r="S790">
        <v>245.25209269998501</v>
      </c>
      <c r="X790">
        <v>245.24446299997999</v>
      </c>
      <c r="Y790">
        <v>245.25209269998501</v>
      </c>
      <c r="Z790">
        <v>245.75268350000201</v>
      </c>
      <c r="AA790">
        <v>245.75268350000201</v>
      </c>
      <c r="AB790">
        <v>245.75268350000201</v>
      </c>
      <c r="AC790">
        <v>246.22244590002799</v>
      </c>
      <c r="AD790" t="s">
        <v>63</v>
      </c>
      <c r="AE790">
        <v>1</v>
      </c>
      <c r="AF790">
        <v>0.45794609998119901</v>
      </c>
      <c r="AG790" t="s">
        <v>51</v>
      </c>
      <c r="AK790" t="s">
        <v>93</v>
      </c>
      <c r="AL790">
        <v>1</v>
      </c>
      <c r="AM790" t="s">
        <v>85</v>
      </c>
      <c r="AN790" t="s">
        <v>43</v>
      </c>
      <c r="AP790" t="s">
        <v>44</v>
      </c>
      <c r="AQ790">
        <v>59.992644915568597</v>
      </c>
      <c r="AR790" t="s">
        <v>86</v>
      </c>
    </row>
    <row r="791" spans="1:44" x14ac:dyDescent="0.3">
      <c r="A791" t="s">
        <v>76</v>
      </c>
      <c r="B791" t="s">
        <v>49</v>
      </c>
      <c r="C791" s="2" t="str">
        <f t="shared" si="12"/>
        <v>Emotional-I</v>
      </c>
      <c r="D791">
        <v>0.77335210004821398</v>
      </c>
      <c r="E791" t="s">
        <v>59</v>
      </c>
      <c r="F791" t="s">
        <v>48</v>
      </c>
      <c r="G791" t="s">
        <v>50</v>
      </c>
      <c r="H791">
        <v>184</v>
      </c>
      <c r="I791">
        <v>4</v>
      </c>
      <c r="J791">
        <v>9</v>
      </c>
      <c r="K791" t="s">
        <v>50</v>
      </c>
      <c r="L791">
        <v>1</v>
      </c>
      <c r="M791">
        <v>0.636460400011856</v>
      </c>
      <c r="N791" t="s">
        <v>51</v>
      </c>
      <c r="O791">
        <v>9</v>
      </c>
      <c r="P791">
        <v>4</v>
      </c>
      <c r="Q791">
        <v>184</v>
      </c>
      <c r="R791">
        <v>3</v>
      </c>
      <c r="S791">
        <v>246.23612299998001</v>
      </c>
      <c r="X791">
        <v>246.225039199984</v>
      </c>
      <c r="Y791">
        <v>246.23612299998001</v>
      </c>
      <c r="Z791">
        <v>246.73512430000099</v>
      </c>
      <c r="AA791">
        <v>246.73512430000099</v>
      </c>
      <c r="AB791">
        <v>246.73512430000099</v>
      </c>
      <c r="AC791">
        <v>247.37308699998499</v>
      </c>
      <c r="AD791" t="s">
        <v>50</v>
      </c>
      <c r="AE791">
        <v>1</v>
      </c>
      <c r="AF791">
        <v>0.636460400011856</v>
      </c>
      <c r="AG791" t="s">
        <v>51</v>
      </c>
      <c r="AK791" t="s">
        <v>93</v>
      </c>
      <c r="AL791">
        <v>1</v>
      </c>
      <c r="AM791" t="s">
        <v>85</v>
      </c>
      <c r="AN791" t="s">
        <v>43</v>
      </c>
      <c r="AP791" t="s">
        <v>44</v>
      </c>
      <c r="AQ791">
        <v>59.992644915568597</v>
      </c>
      <c r="AR791" t="s">
        <v>86</v>
      </c>
    </row>
    <row r="792" spans="1:44" x14ac:dyDescent="0.3">
      <c r="A792" t="s">
        <v>68</v>
      </c>
      <c r="B792" t="s">
        <v>49</v>
      </c>
      <c r="C792" s="2" t="str">
        <f t="shared" si="12"/>
        <v>Emotional-I</v>
      </c>
      <c r="D792">
        <v>0.58794669999042504</v>
      </c>
      <c r="E792" t="s">
        <v>59</v>
      </c>
      <c r="F792" t="s">
        <v>53</v>
      </c>
      <c r="G792" t="s">
        <v>54</v>
      </c>
      <c r="H792">
        <v>185</v>
      </c>
      <c r="I792">
        <v>5</v>
      </c>
      <c r="J792">
        <v>9</v>
      </c>
      <c r="K792" t="s">
        <v>54</v>
      </c>
      <c r="L792">
        <v>1</v>
      </c>
      <c r="M792">
        <v>0.78911309997783896</v>
      </c>
      <c r="N792" t="s">
        <v>51</v>
      </c>
      <c r="O792">
        <v>9</v>
      </c>
      <c r="P792">
        <v>5</v>
      </c>
      <c r="Q792">
        <v>185</v>
      </c>
      <c r="R792">
        <v>6</v>
      </c>
      <c r="S792">
        <v>247.38543349999199</v>
      </c>
      <c r="X792">
        <v>247.37725199997601</v>
      </c>
      <c r="Y792">
        <v>247.38543349999199</v>
      </c>
      <c r="Z792">
        <v>247.886390400002</v>
      </c>
      <c r="AA792">
        <v>247.886390400002</v>
      </c>
      <c r="AB792">
        <v>247.886390400002</v>
      </c>
      <c r="AC792">
        <v>248.68850649998001</v>
      </c>
      <c r="AD792" t="s">
        <v>54</v>
      </c>
      <c r="AE792">
        <v>1</v>
      </c>
      <c r="AF792">
        <v>0.78911309997783896</v>
      </c>
      <c r="AG792" t="s">
        <v>51</v>
      </c>
      <c r="AK792" t="s">
        <v>93</v>
      </c>
      <c r="AL792">
        <v>1</v>
      </c>
      <c r="AM792" t="s">
        <v>85</v>
      </c>
      <c r="AN792" t="s">
        <v>43</v>
      </c>
      <c r="AP792" t="s">
        <v>44</v>
      </c>
      <c r="AQ792">
        <v>59.992644915568597</v>
      </c>
      <c r="AR792" t="s">
        <v>86</v>
      </c>
    </row>
    <row r="793" spans="1:44" x14ac:dyDescent="0.3">
      <c r="A793" t="s">
        <v>46</v>
      </c>
      <c r="B793" t="s">
        <v>49</v>
      </c>
      <c r="C793" s="2" t="str">
        <f t="shared" si="12"/>
        <v>Neutral</v>
      </c>
      <c r="D793">
        <v>0.48609359998954399</v>
      </c>
      <c r="E793" t="s">
        <v>47</v>
      </c>
      <c r="F793" t="s">
        <v>48</v>
      </c>
      <c r="G793" t="s">
        <v>50</v>
      </c>
      <c r="H793">
        <v>186</v>
      </c>
      <c r="I793">
        <v>6</v>
      </c>
      <c r="J793">
        <v>9</v>
      </c>
      <c r="K793" t="s">
        <v>50</v>
      </c>
      <c r="L793">
        <v>1</v>
      </c>
      <c r="M793">
        <v>0.74307809997117102</v>
      </c>
      <c r="N793" t="s">
        <v>51</v>
      </c>
      <c r="O793">
        <v>9</v>
      </c>
      <c r="P793">
        <v>6</v>
      </c>
      <c r="Q793">
        <v>186</v>
      </c>
      <c r="R793">
        <v>19</v>
      </c>
      <c r="S793">
        <v>248.70036850002299</v>
      </c>
      <c r="X793">
        <v>248.691474999999</v>
      </c>
      <c r="Y793">
        <v>248.70036850002299</v>
      </c>
      <c r="Z793">
        <v>249.20066019997401</v>
      </c>
      <c r="AA793">
        <v>249.20066019997401</v>
      </c>
      <c r="AB793">
        <v>249.20066019997401</v>
      </c>
      <c r="AC793">
        <v>249.95573300000899</v>
      </c>
      <c r="AD793" t="s">
        <v>50</v>
      </c>
      <c r="AE793">
        <v>1</v>
      </c>
      <c r="AF793">
        <v>0.74307809997117102</v>
      </c>
      <c r="AG793" t="s">
        <v>51</v>
      </c>
      <c r="AK793" t="s">
        <v>93</v>
      </c>
      <c r="AL793">
        <v>1</v>
      </c>
      <c r="AM793" t="s">
        <v>85</v>
      </c>
      <c r="AN793" t="s">
        <v>43</v>
      </c>
      <c r="AP793" t="s">
        <v>44</v>
      </c>
      <c r="AQ793">
        <v>59.992644915568597</v>
      </c>
      <c r="AR793" t="s">
        <v>86</v>
      </c>
    </row>
    <row r="794" spans="1:44" x14ac:dyDescent="0.3">
      <c r="A794" t="s">
        <v>60</v>
      </c>
      <c r="B794" t="s">
        <v>62</v>
      </c>
      <c r="C794" s="2" t="str">
        <f t="shared" si="12"/>
        <v>Emotional-C</v>
      </c>
      <c r="D794">
        <v>0.72129140002653003</v>
      </c>
      <c r="E794" t="s">
        <v>59</v>
      </c>
      <c r="F794" t="s">
        <v>61</v>
      </c>
      <c r="G794" t="s">
        <v>63</v>
      </c>
      <c r="H794">
        <v>187</v>
      </c>
      <c r="I794">
        <v>7</v>
      </c>
      <c r="J794">
        <v>9</v>
      </c>
      <c r="K794" t="s">
        <v>63</v>
      </c>
      <c r="L794">
        <v>1</v>
      </c>
      <c r="M794">
        <v>0.48034370003733701</v>
      </c>
      <c r="N794" t="s">
        <v>51</v>
      </c>
      <c r="O794">
        <v>9</v>
      </c>
      <c r="P794">
        <v>7</v>
      </c>
      <c r="Q794">
        <v>187</v>
      </c>
      <c r="R794">
        <v>0</v>
      </c>
      <c r="S794">
        <v>249.96870630001601</v>
      </c>
      <c r="X794">
        <v>249.95818469999301</v>
      </c>
      <c r="Y794">
        <v>249.96870630001601</v>
      </c>
      <c r="Z794">
        <v>250.468379799975</v>
      </c>
      <c r="AA794">
        <v>250.468379799975</v>
      </c>
      <c r="AB794">
        <v>250.468379799975</v>
      </c>
      <c r="AC794">
        <v>250.95559299999101</v>
      </c>
      <c r="AD794" t="s">
        <v>63</v>
      </c>
      <c r="AE794">
        <v>1</v>
      </c>
      <c r="AF794">
        <v>0.48034370003733701</v>
      </c>
      <c r="AG794" t="s">
        <v>51</v>
      </c>
      <c r="AK794" t="s">
        <v>93</v>
      </c>
      <c r="AL794">
        <v>1</v>
      </c>
      <c r="AM794" t="s">
        <v>85</v>
      </c>
      <c r="AN794" t="s">
        <v>43</v>
      </c>
      <c r="AP794" t="s">
        <v>44</v>
      </c>
      <c r="AQ794">
        <v>59.992644915568597</v>
      </c>
      <c r="AR794" t="s">
        <v>86</v>
      </c>
    </row>
    <row r="795" spans="1:44" x14ac:dyDescent="0.3">
      <c r="A795" t="s">
        <v>70</v>
      </c>
      <c r="B795" t="s">
        <v>49</v>
      </c>
      <c r="C795" s="2" t="str">
        <f t="shared" si="12"/>
        <v>Emotional-I</v>
      </c>
      <c r="D795">
        <v>0.57725020003272198</v>
      </c>
      <c r="E795" t="s">
        <v>59</v>
      </c>
      <c r="F795" t="s">
        <v>53</v>
      </c>
      <c r="G795" t="s">
        <v>54</v>
      </c>
      <c r="H795">
        <v>188</v>
      </c>
      <c r="I795">
        <v>8</v>
      </c>
      <c r="J795">
        <v>9</v>
      </c>
      <c r="K795" t="s">
        <v>54</v>
      </c>
      <c r="L795">
        <v>1</v>
      </c>
      <c r="M795">
        <v>1.01978540001437</v>
      </c>
      <c r="N795" t="s">
        <v>51</v>
      </c>
      <c r="O795">
        <v>9</v>
      </c>
      <c r="P795">
        <v>8</v>
      </c>
      <c r="Q795">
        <v>188</v>
      </c>
      <c r="R795">
        <v>2</v>
      </c>
      <c r="S795">
        <v>250.96849579998499</v>
      </c>
      <c r="X795">
        <v>250.95909090002499</v>
      </c>
      <c r="Y795">
        <v>250.96849579998499</v>
      </c>
      <c r="Z795">
        <v>251.468909899995</v>
      </c>
      <c r="AA795">
        <v>251.468909899995</v>
      </c>
      <c r="AB795">
        <v>251.468909899995</v>
      </c>
      <c r="AC795">
        <v>252.506160799996</v>
      </c>
      <c r="AD795" t="s">
        <v>54</v>
      </c>
      <c r="AE795">
        <v>1</v>
      </c>
      <c r="AF795">
        <v>1.01978540001437</v>
      </c>
      <c r="AG795" t="s">
        <v>51</v>
      </c>
      <c r="AK795" t="s">
        <v>93</v>
      </c>
      <c r="AL795">
        <v>1</v>
      </c>
      <c r="AM795" t="s">
        <v>85</v>
      </c>
      <c r="AN795" t="s">
        <v>43</v>
      </c>
      <c r="AP795" t="s">
        <v>44</v>
      </c>
      <c r="AQ795">
        <v>59.992644915568597</v>
      </c>
      <c r="AR795" t="s">
        <v>86</v>
      </c>
    </row>
    <row r="796" spans="1:44" x14ac:dyDescent="0.3">
      <c r="A796" t="s">
        <v>52</v>
      </c>
      <c r="B796" t="s">
        <v>49</v>
      </c>
      <c r="C796" s="2" t="str">
        <f t="shared" si="12"/>
        <v>Neutral</v>
      </c>
      <c r="D796">
        <v>0.425274599983822</v>
      </c>
      <c r="E796" t="s">
        <v>47</v>
      </c>
      <c r="F796" t="s">
        <v>53</v>
      </c>
      <c r="G796" t="s">
        <v>54</v>
      </c>
      <c r="H796">
        <v>189</v>
      </c>
      <c r="I796">
        <v>9</v>
      </c>
      <c r="J796">
        <v>9</v>
      </c>
      <c r="K796" t="s">
        <v>54</v>
      </c>
      <c r="L796">
        <v>1</v>
      </c>
      <c r="M796">
        <v>0.50974629999836896</v>
      </c>
      <c r="N796" t="s">
        <v>51</v>
      </c>
      <c r="O796">
        <v>9</v>
      </c>
      <c r="P796">
        <v>9</v>
      </c>
      <c r="Q796">
        <v>189</v>
      </c>
      <c r="R796">
        <v>14</v>
      </c>
      <c r="S796">
        <v>252.518769800022</v>
      </c>
      <c r="X796">
        <v>252.508641100022</v>
      </c>
      <c r="Y796">
        <v>252.518769800022</v>
      </c>
      <c r="Z796">
        <v>253.01864740002199</v>
      </c>
      <c r="AA796">
        <v>253.01864740002199</v>
      </c>
      <c r="AB796">
        <v>253.01864740002199</v>
      </c>
      <c r="AC796">
        <v>253.53856130002501</v>
      </c>
      <c r="AD796" t="s">
        <v>54</v>
      </c>
      <c r="AE796">
        <v>1</v>
      </c>
      <c r="AF796">
        <v>0.50974629999836896</v>
      </c>
      <c r="AG796" t="s">
        <v>51</v>
      </c>
      <c r="AK796" t="s">
        <v>93</v>
      </c>
      <c r="AL796">
        <v>1</v>
      </c>
      <c r="AM796" t="s">
        <v>85</v>
      </c>
      <c r="AN796" t="s">
        <v>43</v>
      </c>
      <c r="AP796" t="s">
        <v>44</v>
      </c>
      <c r="AQ796">
        <v>59.992644915568597</v>
      </c>
      <c r="AR796" t="s">
        <v>86</v>
      </c>
    </row>
    <row r="797" spans="1:44" x14ac:dyDescent="0.3">
      <c r="A797" t="s">
        <v>65</v>
      </c>
      <c r="B797" t="s">
        <v>49</v>
      </c>
      <c r="C797" s="2" t="str">
        <f t="shared" si="12"/>
        <v>Emotional-I</v>
      </c>
      <c r="D797">
        <v>0.56619009998394099</v>
      </c>
      <c r="E797" t="s">
        <v>59</v>
      </c>
      <c r="F797" t="s">
        <v>56</v>
      </c>
      <c r="G797" t="s">
        <v>57</v>
      </c>
      <c r="H797">
        <v>190</v>
      </c>
      <c r="I797">
        <v>10</v>
      </c>
      <c r="J797">
        <v>9</v>
      </c>
      <c r="K797" t="s">
        <v>57</v>
      </c>
      <c r="L797">
        <v>1</v>
      </c>
      <c r="M797">
        <v>0.67804710002383195</v>
      </c>
      <c r="N797" t="s">
        <v>51</v>
      </c>
      <c r="O797">
        <v>9</v>
      </c>
      <c r="P797">
        <v>10</v>
      </c>
      <c r="Q797">
        <v>190</v>
      </c>
      <c r="R797">
        <v>9</v>
      </c>
      <c r="S797">
        <v>253.55173629999601</v>
      </c>
      <c r="X797">
        <v>253.541233299998</v>
      </c>
      <c r="Y797">
        <v>253.55173629999601</v>
      </c>
      <c r="Z797">
        <v>254.05319469998301</v>
      </c>
      <c r="AA797">
        <v>254.05319469998301</v>
      </c>
      <c r="AB797">
        <v>254.05319469998301</v>
      </c>
      <c r="AC797">
        <v>254.73868750000801</v>
      </c>
      <c r="AD797" t="s">
        <v>57</v>
      </c>
      <c r="AE797">
        <v>1</v>
      </c>
      <c r="AF797">
        <v>0.67804710002383195</v>
      </c>
      <c r="AG797" t="s">
        <v>51</v>
      </c>
      <c r="AK797" t="s">
        <v>93</v>
      </c>
      <c r="AL797">
        <v>1</v>
      </c>
      <c r="AM797" t="s">
        <v>85</v>
      </c>
      <c r="AN797" t="s">
        <v>43</v>
      </c>
      <c r="AP797" t="s">
        <v>44</v>
      </c>
      <c r="AQ797">
        <v>59.992644915568597</v>
      </c>
      <c r="AR797" t="s">
        <v>86</v>
      </c>
    </row>
    <row r="798" spans="1:44" x14ac:dyDescent="0.3">
      <c r="A798" t="s">
        <v>66</v>
      </c>
      <c r="B798" t="s">
        <v>49</v>
      </c>
      <c r="C798" s="2" t="str">
        <f t="shared" si="12"/>
        <v>Neutral</v>
      </c>
      <c r="D798">
        <v>0.88553700002375901</v>
      </c>
      <c r="E798" t="s">
        <v>47</v>
      </c>
      <c r="F798" t="s">
        <v>61</v>
      </c>
      <c r="G798" t="s">
        <v>63</v>
      </c>
      <c r="H798">
        <v>191</v>
      </c>
      <c r="I798">
        <v>11</v>
      </c>
      <c r="J798">
        <v>9</v>
      </c>
      <c r="K798" t="s">
        <v>63</v>
      </c>
      <c r="L798">
        <v>1</v>
      </c>
      <c r="M798">
        <v>0.63033779995748696</v>
      </c>
      <c r="N798" t="s">
        <v>51</v>
      </c>
      <c r="O798">
        <v>9</v>
      </c>
      <c r="P798">
        <v>11</v>
      </c>
      <c r="Q798">
        <v>191</v>
      </c>
      <c r="R798">
        <v>12</v>
      </c>
      <c r="S798">
        <v>254.751760600018</v>
      </c>
      <c r="X798">
        <v>254.741298599983</v>
      </c>
      <c r="Y798">
        <v>254.751760600018</v>
      </c>
      <c r="Z798">
        <v>255.251981400011</v>
      </c>
      <c r="AA798">
        <v>255.251981400011</v>
      </c>
      <c r="AB798">
        <v>255.251981400011</v>
      </c>
      <c r="AC798">
        <v>255.889609400008</v>
      </c>
      <c r="AD798" t="s">
        <v>63</v>
      </c>
      <c r="AE798">
        <v>1</v>
      </c>
      <c r="AF798">
        <v>0.63033779995748696</v>
      </c>
      <c r="AG798" t="s">
        <v>51</v>
      </c>
      <c r="AK798" t="s">
        <v>93</v>
      </c>
      <c r="AL798">
        <v>1</v>
      </c>
      <c r="AM798" t="s">
        <v>85</v>
      </c>
      <c r="AN798" t="s">
        <v>43</v>
      </c>
      <c r="AP798" t="s">
        <v>44</v>
      </c>
      <c r="AQ798">
        <v>59.992644915568597</v>
      </c>
      <c r="AR798" t="s">
        <v>86</v>
      </c>
    </row>
    <row r="799" spans="1:44" x14ac:dyDescent="0.3">
      <c r="A799" t="s">
        <v>67</v>
      </c>
      <c r="B799" t="s">
        <v>49</v>
      </c>
      <c r="C799" s="2" t="str">
        <f t="shared" si="12"/>
        <v>Neutral</v>
      </c>
      <c r="D799">
        <v>1.1418730999575899</v>
      </c>
      <c r="E799" t="s">
        <v>47</v>
      </c>
      <c r="F799" t="s">
        <v>53</v>
      </c>
      <c r="G799" t="s">
        <v>54</v>
      </c>
      <c r="H799">
        <v>192</v>
      </c>
      <c r="I799">
        <v>12</v>
      </c>
      <c r="J799">
        <v>9</v>
      </c>
      <c r="K799" t="s">
        <v>54</v>
      </c>
      <c r="L799">
        <v>1</v>
      </c>
      <c r="M799">
        <v>0.63617099996190496</v>
      </c>
      <c r="N799" t="s">
        <v>51</v>
      </c>
      <c r="O799">
        <v>9</v>
      </c>
      <c r="P799">
        <v>12</v>
      </c>
      <c r="Q799">
        <v>192</v>
      </c>
      <c r="R799">
        <v>10</v>
      </c>
      <c r="S799">
        <v>255.90145120001301</v>
      </c>
      <c r="X799">
        <v>255.891999199986</v>
      </c>
      <c r="Y799">
        <v>255.90145120001301</v>
      </c>
      <c r="Z799">
        <v>256.401664500008</v>
      </c>
      <c r="AA799">
        <v>256.401664500008</v>
      </c>
      <c r="AB799">
        <v>256.401664500008</v>
      </c>
      <c r="AC799">
        <v>257.03943140001502</v>
      </c>
      <c r="AD799" t="s">
        <v>54</v>
      </c>
      <c r="AE799">
        <v>1</v>
      </c>
      <c r="AF799">
        <v>0.63617099996190496</v>
      </c>
      <c r="AG799" t="s">
        <v>51</v>
      </c>
      <c r="AK799" t="s">
        <v>93</v>
      </c>
      <c r="AL799">
        <v>1</v>
      </c>
      <c r="AM799" t="s">
        <v>85</v>
      </c>
      <c r="AN799" t="s">
        <v>43</v>
      </c>
      <c r="AP799" t="s">
        <v>44</v>
      </c>
      <c r="AQ799">
        <v>59.992644915568597</v>
      </c>
      <c r="AR799" t="s">
        <v>86</v>
      </c>
    </row>
    <row r="800" spans="1:44" x14ac:dyDescent="0.3">
      <c r="A800" t="s">
        <v>71</v>
      </c>
      <c r="B800" t="s">
        <v>49</v>
      </c>
      <c r="C800" s="2" t="str">
        <f t="shared" si="12"/>
        <v>Neutral</v>
      </c>
      <c r="D800">
        <v>1.20084010000573</v>
      </c>
      <c r="E800" t="s">
        <v>47</v>
      </c>
      <c r="F800" t="s">
        <v>48</v>
      </c>
      <c r="G800" t="s">
        <v>50</v>
      </c>
      <c r="H800">
        <v>193</v>
      </c>
      <c r="I800">
        <v>13</v>
      </c>
      <c r="J800">
        <v>9</v>
      </c>
      <c r="K800" t="s">
        <v>50</v>
      </c>
      <c r="L800">
        <v>1</v>
      </c>
      <c r="M800">
        <v>0.91785879997769304</v>
      </c>
      <c r="N800" t="s">
        <v>51</v>
      </c>
      <c r="O800">
        <v>9</v>
      </c>
      <c r="P800">
        <v>13</v>
      </c>
      <c r="Q800">
        <v>193</v>
      </c>
      <c r="R800">
        <v>15</v>
      </c>
      <c r="S800">
        <v>257.05233640002501</v>
      </c>
      <c r="X800">
        <v>257.04201690002799</v>
      </c>
      <c r="Y800">
        <v>257.05233640002501</v>
      </c>
      <c r="Z800">
        <v>257.55131070001499</v>
      </c>
      <c r="AA800">
        <v>257.55131070001499</v>
      </c>
      <c r="AB800">
        <v>257.55131070001499</v>
      </c>
      <c r="AC800">
        <v>258.47203020000597</v>
      </c>
      <c r="AD800" t="s">
        <v>50</v>
      </c>
      <c r="AE800">
        <v>1</v>
      </c>
      <c r="AF800">
        <v>0.91785879997769304</v>
      </c>
      <c r="AG800" t="s">
        <v>51</v>
      </c>
      <c r="AK800" t="s">
        <v>93</v>
      </c>
      <c r="AL800">
        <v>1</v>
      </c>
      <c r="AM800" t="s">
        <v>85</v>
      </c>
      <c r="AN800" t="s">
        <v>43</v>
      </c>
      <c r="AP800" t="s">
        <v>44</v>
      </c>
      <c r="AQ800">
        <v>59.992644915568597</v>
      </c>
      <c r="AR800" t="s">
        <v>86</v>
      </c>
    </row>
    <row r="801" spans="1:44" x14ac:dyDescent="0.3">
      <c r="A801" t="s">
        <v>69</v>
      </c>
      <c r="B801" t="s">
        <v>49</v>
      </c>
      <c r="C801" s="2" t="str">
        <f t="shared" si="12"/>
        <v>Emotional-I</v>
      </c>
      <c r="D801">
        <v>0.93207470001652803</v>
      </c>
      <c r="E801" t="s">
        <v>59</v>
      </c>
      <c r="F801" t="s">
        <v>56</v>
      </c>
      <c r="G801" t="s">
        <v>57</v>
      </c>
      <c r="H801">
        <v>194</v>
      </c>
      <c r="I801">
        <v>14</v>
      </c>
      <c r="J801">
        <v>9</v>
      </c>
      <c r="K801" t="s">
        <v>57</v>
      </c>
      <c r="L801">
        <v>1</v>
      </c>
      <c r="M801">
        <v>1.24959679995663</v>
      </c>
      <c r="N801" t="s">
        <v>51</v>
      </c>
      <c r="O801">
        <v>9</v>
      </c>
      <c r="P801">
        <v>14</v>
      </c>
      <c r="Q801">
        <v>194</v>
      </c>
      <c r="R801">
        <v>5</v>
      </c>
      <c r="S801">
        <v>258.48494210001002</v>
      </c>
      <c r="X801">
        <v>258.47542799997598</v>
      </c>
      <c r="Y801">
        <v>258.48494210001002</v>
      </c>
      <c r="Z801">
        <v>258.98510879999901</v>
      </c>
      <c r="AA801">
        <v>258.98510879999901</v>
      </c>
      <c r="AB801">
        <v>258.98510879999901</v>
      </c>
      <c r="AC801">
        <v>260.23931600002101</v>
      </c>
      <c r="AD801" t="s">
        <v>57</v>
      </c>
      <c r="AE801">
        <v>1</v>
      </c>
      <c r="AF801">
        <v>1.24959679995663</v>
      </c>
      <c r="AG801" t="s">
        <v>51</v>
      </c>
      <c r="AK801" t="s">
        <v>93</v>
      </c>
      <c r="AL801">
        <v>1</v>
      </c>
      <c r="AM801" t="s">
        <v>85</v>
      </c>
      <c r="AN801" t="s">
        <v>43</v>
      </c>
      <c r="AP801" t="s">
        <v>44</v>
      </c>
      <c r="AQ801">
        <v>59.992644915568597</v>
      </c>
      <c r="AR801" t="s">
        <v>86</v>
      </c>
    </row>
    <row r="802" spans="1:44" x14ac:dyDescent="0.3">
      <c r="A802" t="s">
        <v>58</v>
      </c>
      <c r="B802" t="s">
        <v>49</v>
      </c>
      <c r="C802" s="2" t="str">
        <f t="shared" si="12"/>
        <v>Emotional-I</v>
      </c>
      <c r="D802">
        <v>0.59483429999090698</v>
      </c>
      <c r="E802" t="s">
        <v>59</v>
      </c>
      <c r="F802" t="s">
        <v>48</v>
      </c>
      <c r="G802" t="s">
        <v>50</v>
      </c>
      <c r="H802">
        <v>195</v>
      </c>
      <c r="I802">
        <v>15</v>
      </c>
      <c r="J802">
        <v>9</v>
      </c>
      <c r="K802" t="s">
        <v>50</v>
      </c>
      <c r="L802">
        <v>1</v>
      </c>
      <c r="M802">
        <v>1.12182749999919</v>
      </c>
      <c r="N802" t="s">
        <v>51</v>
      </c>
      <c r="O802">
        <v>9</v>
      </c>
      <c r="P802">
        <v>15</v>
      </c>
      <c r="Q802">
        <v>195</v>
      </c>
      <c r="R802">
        <v>7</v>
      </c>
      <c r="S802">
        <v>260.25197270000302</v>
      </c>
      <c r="X802">
        <v>260.24210859998101</v>
      </c>
      <c r="Y802">
        <v>260.25197270000302</v>
      </c>
      <c r="Z802">
        <v>260.75205730000698</v>
      </c>
      <c r="AA802">
        <v>260.75205730000698</v>
      </c>
      <c r="AB802">
        <v>260.75205730000698</v>
      </c>
      <c r="AC802">
        <v>261.89038340002298</v>
      </c>
      <c r="AD802" t="s">
        <v>50</v>
      </c>
      <c r="AE802">
        <v>1</v>
      </c>
      <c r="AF802">
        <v>1.12182749999919</v>
      </c>
      <c r="AG802" t="s">
        <v>51</v>
      </c>
      <c r="AK802" t="s">
        <v>93</v>
      </c>
      <c r="AL802">
        <v>1</v>
      </c>
      <c r="AM802" t="s">
        <v>85</v>
      </c>
      <c r="AN802" t="s">
        <v>43</v>
      </c>
      <c r="AP802" t="s">
        <v>44</v>
      </c>
      <c r="AQ802">
        <v>59.992644915568597</v>
      </c>
      <c r="AR802" t="s">
        <v>86</v>
      </c>
    </row>
    <row r="803" spans="1:44" x14ac:dyDescent="0.3">
      <c r="A803" t="s">
        <v>74</v>
      </c>
      <c r="B803" t="s">
        <v>49</v>
      </c>
      <c r="C803" s="2" t="str">
        <f t="shared" si="12"/>
        <v>Neutral</v>
      </c>
      <c r="D803">
        <v>1.24251609999919</v>
      </c>
      <c r="E803" t="s">
        <v>47</v>
      </c>
      <c r="F803" t="s">
        <v>48</v>
      </c>
      <c r="G803" t="s">
        <v>50</v>
      </c>
      <c r="H803">
        <v>196</v>
      </c>
      <c r="I803">
        <v>16</v>
      </c>
      <c r="J803">
        <v>9</v>
      </c>
      <c r="K803" t="s">
        <v>50</v>
      </c>
      <c r="L803">
        <v>1</v>
      </c>
      <c r="M803">
        <v>0.56700869998894599</v>
      </c>
      <c r="N803" t="s">
        <v>51</v>
      </c>
      <c r="O803">
        <v>9</v>
      </c>
      <c r="P803">
        <v>16</v>
      </c>
      <c r="Q803">
        <v>196</v>
      </c>
      <c r="R803">
        <v>11</v>
      </c>
      <c r="S803">
        <v>261.90109900000903</v>
      </c>
      <c r="X803">
        <v>261.89387339999598</v>
      </c>
      <c r="Y803">
        <v>261.90109900000903</v>
      </c>
      <c r="Z803">
        <v>262.40201850002597</v>
      </c>
      <c r="AA803">
        <v>262.40201850002597</v>
      </c>
      <c r="AB803">
        <v>262.40201850002597</v>
      </c>
      <c r="AC803">
        <v>262.97228159999901</v>
      </c>
      <c r="AD803" t="s">
        <v>50</v>
      </c>
      <c r="AE803">
        <v>1</v>
      </c>
      <c r="AF803">
        <v>0.56700869998894599</v>
      </c>
      <c r="AG803" t="s">
        <v>51</v>
      </c>
      <c r="AK803" t="s">
        <v>93</v>
      </c>
      <c r="AL803">
        <v>1</v>
      </c>
      <c r="AM803" t="s">
        <v>85</v>
      </c>
      <c r="AN803" t="s">
        <v>43</v>
      </c>
      <c r="AP803" t="s">
        <v>44</v>
      </c>
      <c r="AQ803">
        <v>59.992644915568597</v>
      </c>
      <c r="AR803" t="s">
        <v>86</v>
      </c>
    </row>
    <row r="804" spans="1:44" x14ac:dyDescent="0.3">
      <c r="A804" t="s">
        <v>55</v>
      </c>
      <c r="B804" t="s">
        <v>49</v>
      </c>
      <c r="C804" s="2" t="str">
        <f t="shared" si="12"/>
        <v>Neutral</v>
      </c>
      <c r="D804">
        <v>0.79261619999306199</v>
      </c>
      <c r="E804" t="s">
        <v>47</v>
      </c>
      <c r="F804" t="s">
        <v>56</v>
      </c>
      <c r="G804" t="s">
        <v>57</v>
      </c>
      <c r="H804">
        <v>197</v>
      </c>
      <c r="I804">
        <v>17</v>
      </c>
      <c r="J804">
        <v>9</v>
      </c>
      <c r="K804" t="s">
        <v>57</v>
      </c>
      <c r="L804">
        <v>1</v>
      </c>
      <c r="M804">
        <v>0.85745190002489802</v>
      </c>
      <c r="N804" t="s">
        <v>51</v>
      </c>
      <c r="O804">
        <v>9</v>
      </c>
      <c r="P804">
        <v>17</v>
      </c>
      <c r="Q804">
        <v>197</v>
      </c>
      <c r="R804">
        <v>13</v>
      </c>
      <c r="S804">
        <v>262.984783800027</v>
      </c>
      <c r="X804">
        <v>262.97504380001902</v>
      </c>
      <c r="Y804">
        <v>262.984783800027</v>
      </c>
      <c r="Z804">
        <v>263.48512800002902</v>
      </c>
      <c r="AA804">
        <v>263.48512800002902</v>
      </c>
      <c r="AB804">
        <v>263.48512800002902</v>
      </c>
      <c r="AC804">
        <v>264.355455300014</v>
      </c>
      <c r="AD804" t="s">
        <v>57</v>
      </c>
      <c r="AE804">
        <v>1</v>
      </c>
      <c r="AF804">
        <v>0.85745190002489802</v>
      </c>
      <c r="AG804" t="s">
        <v>51</v>
      </c>
      <c r="AK804" t="s">
        <v>93</v>
      </c>
      <c r="AL804">
        <v>1</v>
      </c>
      <c r="AM804" t="s">
        <v>85</v>
      </c>
      <c r="AN804" t="s">
        <v>43</v>
      </c>
      <c r="AP804" t="s">
        <v>44</v>
      </c>
      <c r="AQ804">
        <v>59.992644915568597</v>
      </c>
      <c r="AR804" t="s">
        <v>86</v>
      </c>
    </row>
    <row r="805" spans="1:44" x14ac:dyDescent="0.3">
      <c r="A805" t="s">
        <v>73</v>
      </c>
      <c r="B805" t="s">
        <v>49</v>
      </c>
      <c r="C805" s="2" t="str">
        <f t="shared" si="12"/>
        <v>Emotional-I</v>
      </c>
      <c r="D805">
        <v>0.82680799998342902</v>
      </c>
      <c r="E805" t="s">
        <v>59</v>
      </c>
      <c r="F805" t="s">
        <v>56</v>
      </c>
      <c r="G805" t="s">
        <v>57</v>
      </c>
      <c r="H805">
        <v>198</v>
      </c>
      <c r="I805">
        <v>18</v>
      </c>
      <c r="J805">
        <v>9</v>
      </c>
      <c r="K805" t="s">
        <v>57</v>
      </c>
      <c r="L805">
        <v>1</v>
      </c>
      <c r="M805">
        <v>0.73304399999324199</v>
      </c>
      <c r="N805" t="s">
        <v>51</v>
      </c>
      <c r="O805">
        <v>9</v>
      </c>
      <c r="P805">
        <v>18</v>
      </c>
      <c r="Q805">
        <v>198</v>
      </c>
      <c r="R805">
        <v>1</v>
      </c>
      <c r="S805">
        <v>264.36835669999698</v>
      </c>
      <c r="X805">
        <v>264.359171800024</v>
      </c>
      <c r="Y805">
        <v>264.36835669999698</v>
      </c>
      <c r="Z805">
        <v>264.86823830002601</v>
      </c>
      <c r="AA805">
        <v>264.86823830002601</v>
      </c>
      <c r="AB805">
        <v>264.86823830002601</v>
      </c>
      <c r="AC805">
        <v>265.60549390001597</v>
      </c>
      <c r="AD805" t="s">
        <v>57</v>
      </c>
      <c r="AE805">
        <v>1</v>
      </c>
      <c r="AF805">
        <v>0.73304399999324199</v>
      </c>
      <c r="AG805" t="s">
        <v>51</v>
      </c>
      <c r="AK805" t="s">
        <v>93</v>
      </c>
      <c r="AL805">
        <v>1</v>
      </c>
      <c r="AM805" t="s">
        <v>85</v>
      </c>
      <c r="AN805" t="s">
        <v>43</v>
      </c>
      <c r="AP805" t="s">
        <v>44</v>
      </c>
      <c r="AQ805">
        <v>59.992644915568597</v>
      </c>
      <c r="AR805" t="s">
        <v>86</v>
      </c>
    </row>
    <row r="806" spans="1:44" x14ac:dyDescent="0.3">
      <c r="A806" t="s">
        <v>72</v>
      </c>
      <c r="B806" t="s">
        <v>62</v>
      </c>
      <c r="C806" s="2" t="str">
        <f t="shared" si="12"/>
        <v>Emotional-C</v>
      </c>
      <c r="D806">
        <v>1.1483352000359399</v>
      </c>
      <c r="E806" t="s">
        <v>59</v>
      </c>
      <c r="F806" t="s">
        <v>61</v>
      </c>
      <c r="G806" t="s">
        <v>63</v>
      </c>
      <c r="H806">
        <v>199</v>
      </c>
      <c r="I806">
        <v>19</v>
      </c>
      <c r="J806">
        <v>9</v>
      </c>
      <c r="K806" t="s">
        <v>63</v>
      </c>
      <c r="L806">
        <v>1</v>
      </c>
      <c r="M806">
        <v>0.56190390000119805</v>
      </c>
      <c r="N806" t="s">
        <v>51</v>
      </c>
      <c r="O806">
        <v>9</v>
      </c>
      <c r="P806">
        <v>19</v>
      </c>
      <c r="Q806">
        <v>199</v>
      </c>
      <c r="R806">
        <v>8</v>
      </c>
      <c r="S806">
        <v>265.61765400000098</v>
      </c>
      <c r="X806">
        <v>265.608613400021</v>
      </c>
      <c r="Y806">
        <v>265.61765400000098</v>
      </c>
      <c r="Z806">
        <v>266.118366800015</v>
      </c>
      <c r="AA806">
        <v>266.118366800015</v>
      </c>
      <c r="AB806">
        <v>266.118366800015</v>
      </c>
      <c r="AC806">
        <v>266.68770940002202</v>
      </c>
      <c r="AD806" t="s">
        <v>63</v>
      </c>
      <c r="AE806">
        <v>1</v>
      </c>
      <c r="AF806">
        <v>0.56190390000119805</v>
      </c>
      <c r="AG806" t="s">
        <v>51</v>
      </c>
      <c r="AK806" t="s">
        <v>93</v>
      </c>
      <c r="AL806">
        <v>1</v>
      </c>
      <c r="AM806" t="s">
        <v>85</v>
      </c>
      <c r="AN806" t="s">
        <v>43</v>
      </c>
      <c r="AP806" t="s">
        <v>44</v>
      </c>
      <c r="AQ806">
        <v>59.992644915568597</v>
      </c>
      <c r="AR806" t="s">
        <v>86</v>
      </c>
    </row>
    <row r="807" spans="1:44" hidden="1" x14ac:dyDescent="0.3">
      <c r="C807" s="2" t="str">
        <f t="shared" si="12"/>
        <v/>
      </c>
      <c r="D807">
        <v>0.949501600000076</v>
      </c>
      <c r="AH807">
        <v>266.68784660001899</v>
      </c>
      <c r="AI807">
        <v>266.70121010002902</v>
      </c>
      <c r="AJ807">
        <v>267.68825920001802</v>
      </c>
      <c r="AK807" t="s">
        <v>93</v>
      </c>
      <c r="AL807">
        <v>1</v>
      </c>
      <c r="AM807" t="s">
        <v>85</v>
      </c>
      <c r="AN807" t="s">
        <v>43</v>
      </c>
      <c r="AP807" t="s">
        <v>44</v>
      </c>
      <c r="AQ807">
        <v>59.992644915568597</v>
      </c>
      <c r="AR807" t="s">
        <v>86</v>
      </c>
    </row>
    <row r="808" spans="1:44" hidden="1" x14ac:dyDescent="0.3">
      <c r="C808" s="2" t="str">
        <f t="shared" si="12"/>
        <v/>
      </c>
      <c r="D808">
        <v>0.60172109998529699</v>
      </c>
      <c r="U808">
        <v>2.50021000392735E-2</v>
      </c>
      <c r="V808">
        <v>3.8491000013891601E-2</v>
      </c>
      <c r="W808">
        <v>2.0080251999897798</v>
      </c>
      <c r="AK808" t="s">
        <v>94</v>
      </c>
      <c r="AL808">
        <v>1</v>
      </c>
      <c r="AM808" t="s">
        <v>87</v>
      </c>
      <c r="AN808" t="s">
        <v>43</v>
      </c>
      <c r="AP808" t="s">
        <v>44</v>
      </c>
      <c r="AQ808">
        <v>60.129904655169099</v>
      </c>
      <c r="AR808" t="s">
        <v>88</v>
      </c>
    </row>
    <row r="809" spans="1:44" x14ac:dyDescent="0.3">
      <c r="A809" t="s">
        <v>55</v>
      </c>
      <c r="B809" t="s">
        <v>49</v>
      </c>
      <c r="C809" s="2" t="str">
        <f t="shared" si="12"/>
        <v>Neutral</v>
      </c>
      <c r="D809">
        <v>0.99005289998603896</v>
      </c>
      <c r="E809" t="s">
        <v>47</v>
      </c>
      <c r="F809" t="s">
        <v>56</v>
      </c>
      <c r="G809" t="s">
        <v>57</v>
      </c>
      <c r="H809">
        <v>0</v>
      </c>
      <c r="I809">
        <v>0</v>
      </c>
      <c r="J809">
        <v>0</v>
      </c>
      <c r="K809" t="s">
        <v>57</v>
      </c>
      <c r="L809">
        <v>1</v>
      </c>
      <c r="M809">
        <v>0.95922219997737501</v>
      </c>
      <c r="N809" t="s">
        <v>51</v>
      </c>
      <c r="O809">
        <v>0</v>
      </c>
      <c r="P809">
        <v>0</v>
      </c>
      <c r="Q809">
        <v>0</v>
      </c>
      <c r="R809">
        <v>13</v>
      </c>
      <c r="S809">
        <v>2.0542469000210901</v>
      </c>
      <c r="X809">
        <v>2.03902389999711</v>
      </c>
      <c r="Y809">
        <v>2.0542469000210901</v>
      </c>
      <c r="Z809">
        <v>2.5048612999962598</v>
      </c>
      <c r="AA809">
        <v>2.5048612999962598</v>
      </c>
      <c r="AB809">
        <v>2.5048612999962598</v>
      </c>
      <c r="AC809">
        <v>3.4949879000196198</v>
      </c>
      <c r="AD809" t="s">
        <v>57</v>
      </c>
      <c r="AE809">
        <v>1</v>
      </c>
      <c r="AF809">
        <v>0.95922219997737501</v>
      </c>
      <c r="AG809" t="s">
        <v>51</v>
      </c>
      <c r="AK809" t="s">
        <v>94</v>
      </c>
      <c r="AL809">
        <v>1</v>
      </c>
      <c r="AM809" t="s">
        <v>87</v>
      </c>
      <c r="AN809" t="s">
        <v>43</v>
      </c>
      <c r="AP809" t="s">
        <v>44</v>
      </c>
      <c r="AQ809">
        <v>60.129904655169099</v>
      </c>
      <c r="AR809" t="s">
        <v>88</v>
      </c>
    </row>
    <row r="810" spans="1:44" x14ac:dyDescent="0.3">
      <c r="A810" t="s">
        <v>77</v>
      </c>
      <c r="B810" t="s">
        <v>62</v>
      </c>
      <c r="C810" s="2" t="str">
        <f t="shared" si="12"/>
        <v>Emotional-C</v>
      </c>
      <c r="D810">
        <v>0.88536060001933903</v>
      </c>
      <c r="E810" t="s">
        <v>59</v>
      </c>
      <c r="F810" t="s">
        <v>61</v>
      </c>
      <c r="G810" t="s">
        <v>63</v>
      </c>
      <c r="H810">
        <v>1</v>
      </c>
      <c r="I810">
        <v>1</v>
      </c>
      <c r="J810">
        <v>0</v>
      </c>
      <c r="K810" t="s">
        <v>63</v>
      </c>
      <c r="L810">
        <v>1</v>
      </c>
      <c r="M810">
        <v>0.65949200000613895</v>
      </c>
      <c r="N810" t="s">
        <v>51</v>
      </c>
      <c r="O810">
        <v>0</v>
      </c>
      <c r="P810">
        <v>1</v>
      </c>
      <c r="Q810">
        <v>1</v>
      </c>
      <c r="R810">
        <v>4</v>
      </c>
      <c r="S810">
        <v>3.5031902000191599</v>
      </c>
      <c r="X810">
        <v>3.49787920003291</v>
      </c>
      <c r="Y810">
        <v>3.5031902000191599</v>
      </c>
      <c r="Z810">
        <v>4.0051910000038298</v>
      </c>
      <c r="AA810">
        <v>4.0051910000038298</v>
      </c>
      <c r="AB810">
        <v>4.0051910000038298</v>
      </c>
      <c r="AC810">
        <v>4.6745334999868602</v>
      </c>
      <c r="AD810" t="s">
        <v>63</v>
      </c>
      <c r="AE810">
        <v>1</v>
      </c>
      <c r="AF810">
        <v>0.65949200000613895</v>
      </c>
      <c r="AG810" t="s">
        <v>51</v>
      </c>
      <c r="AK810" t="s">
        <v>94</v>
      </c>
      <c r="AL810">
        <v>1</v>
      </c>
      <c r="AM810" t="s">
        <v>87</v>
      </c>
      <c r="AN810" t="s">
        <v>43</v>
      </c>
      <c r="AP810" t="s">
        <v>44</v>
      </c>
      <c r="AQ810">
        <v>60.129904655169099</v>
      </c>
      <c r="AR810" t="s">
        <v>88</v>
      </c>
    </row>
    <row r="811" spans="1:44" x14ac:dyDescent="0.3">
      <c r="A811" t="s">
        <v>52</v>
      </c>
      <c r="B811" t="s">
        <v>49</v>
      </c>
      <c r="C811" s="2" t="str">
        <f t="shared" si="12"/>
        <v>Neutral</v>
      </c>
      <c r="D811">
        <v>0.87168409995501805</v>
      </c>
      <c r="E811" t="s">
        <v>47</v>
      </c>
      <c r="F811" t="s">
        <v>53</v>
      </c>
      <c r="G811" t="s">
        <v>54</v>
      </c>
      <c r="H811">
        <v>2</v>
      </c>
      <c r="I811">
        <v>2</v>
      </c>
      <c r="J811">
        <v>0</v>
      </c>
      <c r="K811" t="s">
        <v>54</v>
      </c>
      <c r="L811">
        <v>1</v>
      </c>
      <c r="M811">
        <v>1.0613488999661</v>
      </c>
      <c r="N811" t="s">
        <v>51</v>
      </c>
      <c r="O811">
        <v>0</v>
      </c>
      <c r="P811">
        <v>2</v>
      </c>
      <c r="Q811">
        <v>2</v>
      </c>
      <c r="R811">
        <v>14</v>
      </c>
      <c r="S811">
        <v>4.6879064000095196</v>
      </c>
      <c r="X811">
        <v>4.6773801000090298</v>
      </c>
      <c r="Y811">
        <v>4.6879064000095196</v>
      </c>
      <c r="Z811">
        <v>5.1879944000393099</v>
      </c>
      <c r="AA811">
        <v>5.1879944000393099</v>
      </c>
      <c r="AB811">
        <v>5.1879944000393099</v>
      </c>
      <c r="AC811">
        <v>6.2574811000376904</v>
      </c>
      <c r="AD811" t="s">
        <v>54</v>
      </c>
      <c r="AE811">
        <v>1</v>
      </c>
      <c r="AF811">
        <v>1.0613488999661</v>
      </c>
      <c r="AG811" t="s">
        <v>51</v>
      </c>
      <c r="AK811" t="s">
        <v>94</v>
      </c>
      <c r="AL811">
        <v>1</v>
      </c>
      <c r="AM811" t="s">
        <v>87</v>
      </c>
      <c r="AN811" t="s">
        <v>43</v>
      </c>
      <c r="AP811" t="s">
        <v>44</v>
      </c>
      <c r="AQ811">
        <v>60.129904655169099</v>
      </c>
      <c r="AR811" t="s">
        <v>88</v>
      </c>
    </row>
    <row r="812" spans="1:44" x14ac:dyDescent="0.3">
      <c r="A812" t="s">
        <v>74</v>
      </c>
      <c r="B812" t="s">
        <v>49</v>
      </c>
      <c r="C812" s="2" t="str">
        <f t="shared" si="12"/>
        <v>Neutral</v>
      </c>
      <c r="D812">
        <v>0.93327919999137499</v>
      </c>
      <c r="E812" t="s">
        <v>47</v>
      </c>
      <c r="F812" t="s">
        <v>48</v>
      </c>
      <c r="G812" t="s">
        <v>50</v>
      </c>
      <c r="H812">
        <v>3</v>
      </c>
      <c r="I812">
        <v>3</v>
      </c>
      <c r="J812">
        <v>0</v>
      </c>
      <c r="K812" t="s">
        <v>50</v>
      </c>
      <c r="L812">
        <v>1</v>
      </c>
      <c r="M812">
        <v>0.57249809999484502</v>
      </c>
      <c r="N812" t="s">
        <v>51</v>
      </c>
      <c r="O812">
        <v>0</v>
      </c>
      <c r="P812">
        <v>3</v>
      </c>
      <c r="Q812">
        <v>3</v>
      </c>
      <c r="R812">
        <v>11</v>
      </c>
      <c r="S812">
        <v>6.2709097000188097</v>
      </c>
      <c r="X812">
        <v>6.2613487000344303</v>
      </c>
      <c r="Y812">
        <v>6.2709097000188097</v>
      </c>
      <c r="Z812">
        <v>6.7720646000234401</v>
      </c>
      <c r="AA812">
        <v>6.7720646000234401</v>
      </c>
      <c r="AB812">
        <v>6.7720646000234401</v>
      </c>
      <c r="AC812">
        <v>7.3582190999877604</v>
      </c>
      <c r="AD812" t="s">
        <v>50</v>
      </c>
      <c r="AE812">
        <v>1</v>
      </c>
      <c r="AF812">
        <v>0.57249809999484502</v>
      </c>
      <c r="AG812" t="s">
        <v>51</v>
      </c>
      <c r="AK812" t="s">
        <v>94</v>
      </c>
      <c r="AL812">
        <v>1</v>
      </c>
      <c r="AM812" t="s">
        <v>87</v>
      </c>
      <c r="AN812" t="s">
        <v>43</v>
      </c>
      <c r="AP812" t="s">
        <v>44</v>
      </c>
      <c r="AQ812">
        <v>60.129904655169099</v>
      </c>
      <c r="AR812" t="s">
        <v>88</v>
      </c>
    </row>
    <row r="813" spans="1:44" x14ac:dyDescent="0.3">
      <c r="A813" t="s">
        <v>73</v>
      </c>
      <c r="B813" t="s">
        <v>49</v>
      </c>
      <c r="C813" s="2" t="str">
        <f t="shared" si="12"/>
        <v>Emotional-I</v>
      </c>
      <c r="D813">
        <v>0.72952230001101204</v>
      </c>
      <c r="E813" t="s">
        <v>59</v>
      </c>
      <c r="F813" t="s">
        <v>56</v>
      </c>
      <c r="G813" t="s">
        <v>57</v>
      </c>
      <c r="H813">
        <v>4</v>
      </c>
      <c r="I813">
        <v>4</v>
      </c>
      <c r="J813">
        <v>0</v>
      </c>
      <c r="K813" t="s">
        <v>57</v>
      </c>
      <c r="L813">
        <v>1</v>
      </c>
      <c r="M813">
        <v>0.93336269998690102</v>
      </c>
      <c r="N813" t="s">
        <v>51</v>
      </c>
      <c r="O813">
        <v>0</v>
      </c>
      <c r="P813">
        <v>4</v>
      </c>
      <c r="Q813">
        <v>4</v>
      </c>
      <c r="R813">
        <v>1</v>
      </c>
      <c r="S813">
        <v>7.37152819999028</v>
      </c>
      <c r="X813">
        <v>7.3608248000382401</v>
      </c>
      <c r="Y813">
        <v>7.37152819999028</v>
      </c>
      <c r="Z813">
        <v>7.8714808000368004</v>
      </c>
      <c r="AA813">
        <v>7.8714808000368004</v>
      </c>
      <c r="AB813">
        <v>7.8714808000368004</v>
      </c>
      <c r="AC813">
        <v>8.8087199000292404</v>
      </c>
      <c r="AD813" t="s">
        <v>57</v>
      </c>
      <c r="AE813">
        <v>1</v>
      </c>
      <c r="AF813">
        <v>0.93336269998690102</v>
      </c>
      <c r="AG813" t="s">
        <v>51</v>
      </c>
      <c r="AK813" t="s">
        <v>94</v>
      </c>
      <c r="AL813">
        <v>1</v>
      </c>
      <c r="AM813" t="s">
        <v>87</v>
      </c>
      <c r="AN813" t="s">
        <v>43</v>
      </c>
      <c r="AP813" t="s">
        <v>44</v>
      </c>
      <c r="AQ813">
        <v>60.129904655169099</v>
      </c>
      <c r="AR813" t="s">
        <v>88</v>
      </c>
    </row>
    <row r="814" spans="1:44" x14ac:dyDescent="0.3">
      <c r="A814" t="s">
        <v>64</v>
      </c>
      <c r="B814" t="s">
        <v>49</v>
      </c>
      <c r="C814" s="2" t="str">
        <f t="shared" si="12"/>
        <v>Neutral</v>
      </c>
      <c r="D814">
        <v>0.92975250002928</v>
      </c>
      <c r="E814" t="s">
        <v>47</v>
      </c>
      <c r="F814" t="s">
        <v>53</v>
      </c>
      <c r="G814" t="s">
        <v>54</v>
      </c>
      <c r="H814">
        <v>5</v>
      </c>
      <c r="I814">
        <v>5</v>
      </c>
      <c r="J814">
        <v>0</v>
      </c>
      <c r="K814" t="s">
        <v>54</v>
      </c>
      <c r="L814">
        <v>1</v>
      </c>
      <c r="M814">
        <v>0.64907009998569198</v>
      </c>
      <c r="N814" t="s">
        <v>51</v>
      </c>
      <c r="O814">
        <v>0</v>
      </c>
      <c r="P814">
        <v>5</v>
      </c>
      <c r="Q814">
        <v>5</v>
      </c>
      <c r="R814">
        <v>18</v>
      </c>
      <c r="S814">
        <v>8.8213951000361703</v>
      </c>
      <c r="X814">
        <v>8.8111923999967896</v>
      </c>
      <c r="Y814">
        <v>8.8213951000361703</v>
      </c>
      <c r="Z814">
        <v>9.3206375000299797</v>
      </c>
      <c r="AA814">
        <v>9.3206375000299797</v>
      </c>
      <c r="AB814">
        <v>9.3206375000299797</v>
      </c>
      <c r="AC814">
        <v>9.9748429000028391</v>
      </c>
      <c r="AD814" t="s">
        <v>54</v>
      </c>
      <c r="AE814">
        <v>1</v>
      </c>
      <c r="AF814">
        <v>0.64907009998569198</v>
      </c>
      <c r="AG814" t="s">
        <v>51</v>
      </c>
      <c r="AK814" t="s">
        <v>94</v>
      </c>
      <c r="AL814">
        <v>1</v>
      </c>
      <c r="AM814" t="s">
        <v>87</v>
      </c>
      <c r="AN814" t="s">
        <v>43</v>
      </c>
      <c r="AP814" t="s">
        <v>44</v>
      </c>
      <c r="AQ814">
        <v>60.129904655169099</v>
      </c>
      <c r="AR814" t="s">
        <v>88</v>
      </c>
    </row>
    <row r="815" spans="1:44" x14ac:dyDescent="0.3">
      <c r="A815" t="s">
        <v>66</v>
      </c>
      <c r="B815" t="s">
        <v>49</v>
      </c>
      <c r="C815" s="2" t="str">
        <f t="shared" si="12"/>
        <v>Neutral</v>
      </c>
      <c r="D815">
        <v>0.71451730001717795</v>
      </c>
      <c r="E815" t="s">
        <v>47</v>
      </c>
      <c r="F815" t="s">
        <v>61</v>
      </c>
      <c r="G815" t="s">
        <v>63</v>
      </c>
      <c r="H815">
        <v>6</v>
      </c>
      <c r="I815">
        <v>6</v>
      </c>
      <c r="J815">
        <v>0</v>
      </c>
      <c r="K815" t="s">
        <v>63</v>
      </c>
      <c r="L815">
        <v>1</v>
      </c>
      <c r="M815">
        <v>0.71423800004413296</v>
      </c>
      <c r="N815" t="s">
        <v>51</v>
      </c>
      <c r="O815">
        <v>0</v>
      </c>
      <c r="P815">
        <v>6</v>
      </c>
      <c r="Q815">
        <v>6</v>
      </c>
      <c r="R815">
        <v>12</v>
      </c>
      <c r="S815">
        <v>9.9878524999949096</v>
      </c>
      <c r="X815">
        <v>9.9774800000013695</v>
      </c>
      <c r="Y815">
        <v>9.9878524999949096</v>
      </c>
      <c r="Z815">
        <v>10.487211800005699</v>
      </c>
      <c r="AA815">
        <v>10.487211800005699</v>
      </c>
      <c r="AB815">
        <v>10.487211800005699</v>
      </c>
      <c r="AC815">
        <v>11.2077537000295</v>
      </c>
      <c r="AD815" t="s">
        <v>63</v>
      </c>
      <c r="AE815">
        <v>1</v>
      </c>
      <c r="AF815">
        <v>0.71423800004413296</v>
      </c>
      <c r="AG815" t="s">
        <v>51</v>
      </c>
      <c r="AK815" t="s">
        <v>94</v>
      </c>
      <c r="AL815">
        <v>1</v>
      </c>
      <c r="AM815" t="s">
        <v>87</v>
      </c>
      <c r="AN815" t="s">
        <v>43</v>
      </c>
      <c r="AP815" t="s">
        <v>44</v>
      </c>
      <c r="AQ815">
        <v>60.129904655169099</v>
      </c>
      <c r="AR815" t="s">
        <v>88</v>
      </c>
    </row>
    <row r="816" spans="1:44" x14ac:dyDescent="0.3">
      <c r="A816" t="s">
        <v>72</v>
      </c>
      <c r="B816" t="s">
        <v>62</v>
      </c>
      <c r="C816" s="2" t="str">
        <f t="shared" si="12"/>
        <v>Emotional-C</v>
      </c>
      <c r="D816">
        <v>0.48893940000561997</v>
      </c>
      <c r="E816" t="s">
        <v>59</v>
      </c>
      <c r="F816" t="s">
        <v>61</v>
      </c>
      <c r="G816" t="s">
        <v>63</v>
      </c>
      <c r="H816">
        <v>7</v>
      </c>
      <c r="I816">
        <v>7</v>
      </c>
      <c r="J816">
        <v>0</v>
      </c>
      <c r="K816" t="s">
        <v>63</v>
      </c>
      <c r="L816">
        <v>1</v>
      </c>
      <c r="M816">
        <v>0.64960240002255798</v>
      </c>
      <c r="N816" t="s">
        <v>51</v>
      </c>
      <c r="O816">
        <v>0</v>
      </c>
      <c r="P816">
        <v>7</v>
      </c>
      <c r="Q816">
        <v>7</v>
      </c>
      <c r="R816">
        <v>8</v>
      </c>
      <c r="S816">
        <v>11.2207200000411</v>
      </c>
      <c r="X816">
        <v>11.2102288000169</v>
      </c>
      <c r="Y816">
        <v>11.2207200000411</v>
      </c>
      <c r="Z816">
        <v>11.7216258000116</v>
      </c>
      <c r="AA816">
        <v>11.7216258000116</v>
      </c>
      <c r="AB816">
        <v>11.7216258000116</v>
      </c>
      <c r="AC816">
        <v>12.374445600027601</v>
      </c>
      <c r="AD816" t="s">
        <v>63</v>
      </c>
      <c r="AE816">
        <v>1</v>
      </c>
      <c r="AF816">
        <v>0.64960240002255798</v>
      </c>
      <c r="AG816" t="s">
        <v>51</v>
      </c>
      <c r="AK816" t="s">
        <v>94</v>
      </c>
      <c r="AL816">
        <v>1</v>
      </c>
      <c r="AM816" t="s">
        <v>87</v>
      </c>
      <c r="AN816" t="s">
        <v>43</v>
      </c>
      <c r="AP816" t="s">
        <v>44</v>
      </c>
      <c r="AQ816">
        <v>60.129904655169099</v>
      </c>
      <c r="AR816" t="s">
        <v>88</v>
      </c>
    </row>
    <row r="817" spans="1:44" x14ac:dyDescent="0.3">
      <c r="A817" t="s">
        <v>65</v>
      </c>
      <c r="B817" t="s">
        <v>49</v>
      </c>
      <c r="C817" s="2" t="str">
        <f t="shared" si="12"/>
        <v>Emotional-I</v>
      </c>
      <c r="D817">
        <v>0.41223529999842801</v>
      </c>
      <c r="E817" t="s">
        <v>59</v>
      </c>
      <c r="F817" t="s">
        <v>56</v>
      </c>
      <c r="G817" t="s">
        <v>57</v>
      </c>
      <c r="H817">
        <v>8</v>
      </c>
      <c r="I817">
        <v>8</v>
      </c>
      <c r="J817">
        <v>0</v>
      </c>
      <c r="K817" t="s">
        <v>57</v>
      </c>
      <c r="L817">
        <v>1</v>
      </c>
      <c r="M817">
        <v>0.91017210000427395</v>
      </c>
      <c r="N817" t="s">
        <v>51</v>
      </c>
      <c r="O817">
        <v>0</v>
      </c>
      <c r="P817">
        <v>8</v>
      </c>
      <c r="Q817">
        <v>8</v>
      </c>
      <c r="R817">
        <v>9</v>
      </c>
      <c r="S817">
        <v>12.3871415000176</v>
      </c>
      <c r="X817">
        <v>12.379280299995999</v>
      </c>
      <c r="Y817">
        <v>12.3871415000176</v>
      </c>
      <c r="Z817">
        <v>12.887580499984301</v>
      </c>
      <c r="AA817">
        <v>12.887580499984301</v>
      </c>
      <c r="AB817">
        <v>12.887580499984301</v>
      </c>
      <c r="AC817">
        <v>13.8082193000009</v>
      </c>
      <c r="AD817" t="s">
        <v>57</v>
      </c>
      <c r="AE817">
        <v>1</v>
      </c>
      <c r="AF817">
        <v>0.91017210000427395</v>
      </c>
      <c r="AG817" t="s">
        <v>51</v>
      </c>
      <c r="AK817" t="s">
        <v>94</v>
      </c>
      <c r="AL817">
        <v>1</v>
      </c>
      <c r="AM817" t="s">
        <v>87</v>
      </c>
      <c r="AN817" t="s">
        <v>43</v>
      </c>
      <c r="AP817" t="s">
        <v>44</v>
      </c>
      <c r="AQ817">
        <v>60.129904655169099</v>
      </c>
      <c r="AR817" t="s">
        <v>88</v>
      </c>
    </row>
    <row r="818" spans="1:44" x14ac:dyDescent="0.3">
      <c r="A818" t="s">
        <v>78</v>
      </c>
      <c r="B818" t="s">
        <v>49</v>
      </c>
      <c r="C818" s="2" t="str">
        <f t="shared" si="12"/>
        <v>Neutral</v>
      </c>
      <c r="D818">
        <v>0.41847119998419602</v>
      </c>
      <c r="E818" t="s">
        <v>47</v>
      </c>
      <c r="F818" t="s">
        <v>56</v>
      </c>
      <c r="G818" t="s">
        <v>57</v>
      </c>
      <c r="H818">
        <v>9</v>
      </c>
      <c r="I818">
        <v>9</v>
      </c>
      <c r="J818">
        <v>0</v>
      </c>
      <c r="K818" t="s">
        <v>57</v>
      </c>
      <c r="L818">
        <v>1</v>
      </c>
      <c r="M818">
        <v>0.64004160003969401</v>
      </c>
      <c r="N818" t="s">
        <v>51</v>
      </c>
      <c r="O818">
        <v>0</v>
      </c>
      <c r="P818">
        <v>9</v>
      </c>
      <c r="Q818">
        <v>9</v>
      </c>
      <c r="R818">
        <v>17</v>
      </c>
      <c r="S818">
        <v>13.8214597000041</v>
      </c>
      <c r="X818">
        <v>13.8111452999874</v>
      </c>
      <c r="Y818">
        <v>13.8214597000041</v>
      </c>
      <c r="Z818">
        <v>14.320920100028101</v>
      </c>
      <c r="AA818">
        <v>14.320920100028101</v>
      </c>
      <c r="AB818">
        <v>14.320920100028101</v>
      </c>
      <c r="AC818">
        <v>14.9743966000387</v>
      </c>
      <c r="AD818" t="s">
        <v>57</v>
      </c>
      <c r="AE818">
        <v>1</v>
      </c>
      <c r="AF818">
        <v>0.64004160003969401</v>
      </c>
      <c r="AG818" t="s">
        <v>51</v>
      </c>
      <c r="AK818" t="s">
        <v>94</v>
      </c>
      <c r="AL818">
        <v>1</v>
      </c>
      <c r="AM818" t="s">
        <v>87</v>
      </c>
      <c r="AN818" t="s">
        <v>43</v>
      </c>
      <c r="AP818" t="s">
        <v>44</v>
      </c>
      <c r="AQ818">
        <v>60.129904655169099</v>
      </c>
      <c r="AR818" t="s">
        <v>88</v>
      </c>
    </row>
    <row r="819" spans="1:44" x14ac:dyDescent="0.3">
      <c r="A819" t="s">
        <v>68</v>
      </c>
      <c r="B819" t="s">
        <v>49</v>
      </c>
      <c r="C819" s="2" t="str">
        <f t="shared" si="12"/>
        <v>Emotional-I</v>
      </c>
      <c r="D819">
        <v>0.68561610003234796</v>
      </c>
      <c r="E819" t="s">
        <v>59</v>
      </c>
      <c r="F819" t="s">
        <v>53</v>
      </c>
      <c r="G819" t="s">
        <v>54</v>
      </c>
      <c r="H819">
        <v>10</v>
      </c>
      <c r="I819">
        <v>10</v>
      </c>
      <c r="J819">
        <v>0</v>
      </c>
      <c r="K819" t="s">
        <v>54</v>
      </c>
      <c r="L819">
        <v>1</v>
      </c>
      <c r="M819">
        <v>0.812381500029005</v>
      </c>
      <c r="N819" t="s">
        <v>51</v>
      </c>
      <c r="O819">
        <v>0</v>
      </c>
      <c r="P819">
        <v>10</v>
      </c>
      <c r="Q819">
        <v>10</v>
      </c>
      <c r="R819">
        <v>6</v>
      </c>
      <c r="S819">
        <v>14.987020500004199</v>
      </c>
      <c r="X819">
        <v>14.980214000039201</v>
      </c>
      <c r="Y819">
        <v>14.987020500004199</v>
      </c>
      <c r="Z819">
        <v>15.487383200030299</v>
      </c>
      <c r="AA819">
        <v>15.487383200030299</v>
      </c>
      <c r="AB819">
        <v>15.487383200030299</v>
      </c>
      <c r="AC819">
        <v>16.3075877000228</v>
      </c>
      <c r="AD819" t="s">
        <v>54</v>
      </c>
      <c r="AE819">
        <v>1</v>
      </c>
      <c r="AF819">
        <v>0.812381500029005</v>
      </c>
      <c r="AG819" t="s">
        <v>51</v>
      </c>
      <c r="AK819" t="s">
        <v>94</v>
      </c>
      <c r="AL819">
        <v>1</v>
      </c>
      <c r="AM819" t="s">
        <v>87</v>
      </c>
      <c r="AN819" t="s">
        <v>43</v>
      </c>
      <c r="AP819" t="s">
        <v>44</v>
      </c>
      <c r="AQ819">
        <v>60.129904655169099</v>
      </c>
      <c r="AR819" t="s">
        <v>88</v>
      </c>
    </row>
    <row r="820" spans="1:44" x14ac:dyDescent="0.3">
      <c r="A820" t="s">
        <v>67</v>
      </c>
      <c r="B820" t="s">
        <v>49</v>
      </c>
      <c r="C820" s="2" t="str">
        <f t="shared" si="12"/>
        <v>Neutral</v>
      </c>
      <c r="D820">
        <v>0.62058359995717105</v>
      </c>
      <c r="E820" t="s">
        <v>47</v>
      </c>
      <c r="F820" t="s">
        <v>53</v>
      </c>
      <c r="G820" t="s">
        <v>54</v>
      </c>
      <c r="H820">
        <v>11</v>
      </c>
      <c r="I820">
        <v>11</v>
      </c>
      <c r="J820">
        <v>0</v>
      </c>
      <c r="K820" t="s">
        <v>54</v>
      </c>
      <c r="L820">
        <v>1</v>
      </c>
      <c r="M820">
        <v>0.557203700009267</v>
      </c>
      <c r="N820" t="s">
        <v>51</v>
      </c>
      <c r="O820">
        <v>0</v>
      </c>
      <c r="P820">
        <v>11</v>
      </c>
      <c r="Q820">
        <v>11</v>
      </c>
      <c r="R820">
        <v>10</v>
      </c>
      <c r="S820">
        <v>16.3204114999971</v>
      </c>
      <c r="X820">
        <v>16.310246400011199</v>
      </c>
      <c r="Y820">
        <v>16.3204114999971</v>
      </c>
      <c r="Z820">
        <v>16.820418799994499</v>
      </c>
      <c r="AA820">
        <v>16.820418799994499</v>
      </c>
      <c r="AB820">
        <v>16.820418799994499</v>
      </c>
      <c r="AC820">
        <v>17.390763000002998</v>
      </c>
      <c r="AD820" t="s">
        <v>54</v>
      </c>
      <c r="AE820">
        <v>1</v>
      </c>
      <c r="AF820">
        <v>0.557203700009267</v>
      </c>
      <c r="AG820" t="s">
        <v>51</v>
      </c>
      <c r="AK820" t="s">
        <v>94</v>
      </c>
      <c r="AL820">
        <v>1</v>
      </c>
      <c r="AM820" t="s">
        <v>87</v>
      </c>
      <c r="AN820" t="s">
        <v>43</v>
      </c>
      <c r="AP820" t="s">
        <v>44</v>
      </c>
      <c r="AQ820">
        <v>60.129904655169099</v>
      </c>
      <c r="AR820" t="s">
        <v>88</v>
      </c>
    </row>
    <row r="821" spans="1:44" x14ac:dyDescent="0.3">
      <c r="A821" t="s">
        <v>71</v>
      </c>
      <c r="B821" t="s">
        <v>49</v>
      </c>
      <c r="C821" s="2" t="str">
        <f t="shared" si="12"/>
        <v>Neutral</v>
      </c>
      <c r="D821">
        <v>0.60547459998633701</v>
      </c>
      <c r="E821" t="s">
        <v>47</v>
      </c>
      <c r="F821" t="s">
        <v>48</v>
      </c>
      <c r="G821" t="s">
        <v>50</v>
      </c>
      <c r="H821">
        <v>12</v>
      </c>
      <c r="I821">
        <v>12</v>
      </c>
      <c r="J821">
        <v>0</v>
      </c>
      <c r="K821" t="s">
        <v>50</v>
      </c>
      <c r="L821">
        <v>1</v>
      </c>
      <c r="M821">
        <v>0.52477189997443896</v>
      </c>
      <c r="N821" t="s">
        <v>51</v>
      </c>
      <c r="O821">
        <v>0</v>
      </c>
      <c r="P821">
        <v>12</v>
      </c>
      <c r="Q821">
        <v>12</v>
      </c>
      <c r="R821">
        <v>15</v>
      </c>
      <c r="S821">
        <v>17.4037788999849</v>
      </c>
      <c r="X821">
        <v>17.3940136000164</v>
      </c>
      <c r="Y821">
        <v>17.4037788999849</v>
      </c>
      <c r="Z821">
        <v>17.904157000011701</v>
      </c>
      <c r="AA821">
        <v>17.904157000011701</v>
      </c>
      <c r="AB821">
        <v>17.904157000011701</v>
      </c>
      <c r="AC821">
        <v>18.441171200014601</v>
      </c>
      <c r="AD821" t="s">
        <v>50</v>
      </c>
      <c r="AE821">
        <v>1</v>
      </c>
      <c r="AF821">
        <v>0.52477189997443896</v>
      </c>
      <c r="AG821" t="s">
        <v>51</v>
      </c>
      <c r="AK821" t="s">
        <v>94</v>
      </c>
      <c r="AL821">
        <v>1</v>
      </c>
      <c r="AM821" t="s">
        <v>87</v>
      </c>
      <c r="AN821" t="s">
        <v>43</v>
      </c>
      <c r="AP821" t="s">
        <v>44</v>
      </c>
      <c r="AQ821">
        <v>60.129904655169099</v>
      </c>
      <c r="AR821" t="s">
        <v>88</v>
      </c>
    </row>
    <row r="822" spans="1:44" x14ac:dyDescent="0.3">
      <c r="A822" t="s">
        <v>58</v>
      </c>
      <c r="B822" t="s">
        <v>49</v>
      </c>
      <c r="C822" s="2" t="str">
        <f t="shared" si="12"/>
        <v>Emotional-I</v>
      </c>
      <c r="D822">
        <v>0.64799759996822104</v>
      </c>
      <c r="E822" t="s">
        <v>59</v>
      </c>
      <c r="F822" t="s">
        <v>48</v>
      </c>
      <c r="G822" t="s">
        <v>50</v>
      </c>
      <c r="H822">
        <v>13</v>
      </c>
      <c r="I822">
        <v>13</v>
      </c>
      <c r="J822">
        <v>0</v>
      </c>
      <c r="K822" t="s">
        <v>50</v>
      </c>
      <c r="L822">
        <v>1</v>
      </c>
      <c r="M822">
        <v>0.42154820001451299</v>
      </c>
      <c r="N822" t="s">
        <v>51</v>
      </c>
      <c r="O822">
        <v>0</v>
      </c>
      <c r="P822">
        <v>13</v>
      </c>
      <c r="Q822">
        <v>13</v>
      </c>
      <c r="R822">
        <v>7</v>
      </c>
      <c r="S822">
        <v>18.4552322000381</v>
      </c>
      <c r="X822">
        <v>18.444047900033102</v>
      </c>
      <c r="Y822">
        <v>18.4552322000381</v>
      </c>
      <c r="Z822">
        <v>18.954103900003201</v>
      </c>
      <c r="AA822">
        <v>18.954103900003201</v>
      </c>
      <c r="AB822">
        <v>18.954103900003201</v>
      </c>
      <c r="AC822">
        <v>19.391473499999801</v>
      </c>
      <c r="AD822" t="s">
        <v>50</v>
      </c>
      <c r="AE822">
        <v>1</v>
      </c>
      <c r="AF822">
        <v>0.42154820001451299</v>
      </c>
      <c r="AG822" t="s">
        <v>51</v>
      </c>
      <c r="AK822" t="s">
        <v>94</v>
      </c>
      <c r="AL822">
        <v>1</v>
      </c>
      <c r="AM822" t="s">
        <v>87</v>
      </c>
      <c r="AN822" t="s">
        <v>43</v>
      </c>
      <c r="AP822" t="s">
        <v>44</v>
      </c>
      <c r="AQ822">
        <v>60.129904655169099</v>
      </c>
      <c r="AR822" t="s">
        <v>88</v>
      </c>
    </row>
    <row r="823" spans="1:44" x14ac:dyDescent="0.3">
      <c r="A823" t="s">
        <v>46</v>
      </c>
      <c r="B823" t="s">
        <v>49</v>
      </c>
      <c r="C823" s="2" t="str">
        <f t="shared" si="12"/>
        <v>Neutral</v>
      </c>
      <c r="D823">
        <v>0.578986099979374</v>
      </c>
      <c r="E823" t="s">
        <v>47</v>
      </c>
      <c r="F823" t="s">
        <v>48</v>
      </c>
      <c r="G823" t="s">
        <v>50</v>
      </c>
      <c r="H823">
        <v>14</v>
      </c>
      <c r="I823">
        <v>14</v>
      </c>
      <c r="J823">
        <v>0</v>
      </c>
      <c r="K823" t="s">
        <v>50</v>
      </c>
      <c r="L823">
        <v>1</v>
      </c>
      <c r="M823">
        <v>0.40052279998781098</v>
      </c>
      <c r="N823" t="s">
        <v>51</v>
      </c>
      <c r="O823">
        <v>0</v>
      </c>
      <c r="P823">
        <v>14</v>
      </c>
      <c r="Q823">
        <v>14</v>
      </c>
      <c r="R823">
        <v>19</v>
      </c>
      <c r="S823">
        <v>19.4037749000126</v>
      </c>
      <c r="X823">
        <v>19.3941622999846</v>
      </c>
      <c r="Y823">
        <v>19.4037749000126</v>
      </c>
      <c r="Z823">
        <v>19.904406399989899</v>
      </c>
      <c r="AA823">
        <v>19.904406399989899</v>
      </c>
      <c r="AB823">
        <v>19.904406399989899</v>
      </c>
      <c r="AC823">
        <v>20.308146500028599</v>
      </c>
      <c r="AD823" t="s">
        <v>50</v>
      </c>
      <c r="AE823">
        <v>1</v>
      </c>
      <c r="AF823">
        <v>0.40052279998781098</v>
      </c>
      <c r="AG823" t="s">
        <v>51</v>
      </c>
      <c r="AK823" t="s">
        <v>94</v>
      </c>
      <c r="AL823">
        <v>1</v>
      </c>
      <c r="AM823" t="s">
        <v>87</v>
      </c>
      <c r="AN823" t="s">
        <v>43</v>
      </c>
      <c r="AP823" t="s">
        <v>44</v>
      </c>
      <c r="AQ823">
        <v>60.129904655169099</v>
      </c>
      <c r="AR823" t="s">
        <v>88</v>
      </c>
    </row>
    <row r="824" spans="1:44" x14ac:dyDescent="0.3">
      <c r="A824" t="s">
        <v>70</v>
      </c>
      <c r="B824" t="s">
        <v>49</v>
      </c>
      <c r="C824" s="2" t="str">
        <f t="shared" si="12"/>
        <v>Emotional-I</v>
      </c>
      <c r="D824">
        <v>0.58805439999559805</v>
      </c>
      <c r="E824" t="s">
        <v>59</v>
      </c>
      <c r="F824" t="s">
        <v>53</v>
      </c>
      <c r="G824" t="s">
        <v>54</v>
      </c>
      <c r="H824">
        <v>15</v>
      </c>
      <c r="I824">
        <v>15</v>
      </c>
      <c r="J824">
        <v>0</v>
      </c>
      <c r="K824" t="s">
        <v>54</v>
      </c>
      <c r="L824">
        <v>1</v>
      </c>
      <c r="M824">
        <v>0.73955880000721597</v>
      </c>
      <c r="N824" t="s">
        <v>51</v>
      </c>
      <c r="O824">
        <v>0</v>
      </c>
      <c r="P824">
        <v>15</v>
      </c>
      <c r="Q824">
        <v>15</v>
      </c>
      <c r="R824">
        <v>2</v>
      </c>
      <c r="S824">
        <v>20.320653900038401</v>
      </c>
      <c r="X824">
        <v>20.313536500034299</v>
      </c>
      <c r="Y824">
        <v>20.320653900038401</v>
      </c>
      <c r="Z824">
        <v>20.820861899992401</v>
      </c>
      <c r="AA824">
        <v>20.820861899992401</v>
      </c>
      <c r="AB824">
        <v>20.820861899992401</v>
      </c>
      <c r="AC824">
        <v>21.574019099993102</v>
      </c>
      <c r="AD824" t="s">
        <v>54</v>
      </c>
      <c r="AE824">
        <v>1</v>
      </c>
      <c r="AF824">
        <v>0.73955880000721597</v>
      </c>
      <c r="AG824" t="s">
        <v>51</v>
      </c>
      <c r="AK824" t="s">
        <v>94</v>
      </c>
      <c r="AL824">
        <v>1</v>
      </c>
      <c r="AM824" t="s">
        <v>87</v>
      </c>
      <c r="AN824" t="s">
        <v>43</v>
      </c>
      <c r="AP824" t="s">
        <v>44</v>
      </c>
      <c r="AQ824">
        <v>60.129904655169099</v>
      </c>
      <c r="AR824" t="s">
        <v>88</v>
      </c>
    </row>
    <row r="825" spans="1:44" x14ac:dyDescent="0.3">
      <c r="A825" t="s">
        <v>75</v>
      </c>
      <c r="B825" t="s">
        <v>49</v>
      </c>
      <c r="C825" s="2" t="str">
        <f t="shared" si="12"/>
        <v>Neutral</v>
      </c>
      <c r="D825">
        <v>1.1273412000155001</v>
      </c>
      <c r="E825" t="s">
        <v>47</v>
      </c>
      <c r="F825" t="s">
        <v>61</v>
      </c>
      <c r="G825" t="s">
        <v>63</v>
      </c>
      <c r="H825">
        <v>16</v>
      </c>
      <c r="I825">
        <v>16</v>
      </c>
      <c r="J825">
        <v>0</v>
      </c>
      <c r="K825" t="s">
        <v>63</v>
      </c>
      <c r="L825">
        <v>1</v>
      </c>
      <c r="M825">
        <v>0.58785060001537204</v>
      </c>
      <c r="N825" t="s">
        <v>51</v>
      </c>
      <c r="O825">
        <v>0</v>
      </c>
      <c r="P825">
        <v>16</v>
      </c>
      <c r="Q825">
        <v>16</v>
      </c>
      <c r="R825">
        <v>16</v>
      </c>
      <c r="S825">
        <v>21.587047900015001</v>
      </c>
      <c r="X825">
        <v>21.5764983000117</v>
      </c>
      <c r="Y825">
        <v>21.587047900015001</v>
      </c>
      <c r="Z825">
        <v>22.087422200012899</v>
      </c>
      <c r="AA825">
        <v>22.087422200012899</v>
      </c>
      <c r="AB825">
        <v>22.087422200012899</v>
      </c>
      <c r="AC825">
        <v>22.691410500032301</v>
      </c>
      <c r="AD825" t="s">
        <v>63</v>
      </c>
      <c r="AE825">
        <v>1</v>
      </c>
      <c r="AF825">
        <v>0.58785060001537204</v>
      </c>
      <c r="AG825" t="s">
        <v>51</v>
      </c>
      <c r="AK825" t="s">
        <v>94</v>
      </c>
      <c r="AL825">
        <v>1</v>
      </c>
      <c r="AM825" t="s">
        <v>87</v>
      </c>
      <c r="AN825" t="s">
        <v>43</v>
      </c>
      <c r="AP825" t="s">
        <v>44</v>
      </c>
      <c r="AQ825">
        <v>60.129904655169099</v>
      </c>
      <c r="AR825" t="s">
        <v>88</v>
      </c>
    </row>
    <row r="826" spans="1:44" x14ac:dyDescent="0.3">
      <c r="A826" t="s">
        <v>60</v>
      </c>
      <c r="B826" t="s">
        <v>62</v>
      </c>
      <c r="C826" s="2" t="str">
        <f t="shared" si="12"/>
        <v>Emotional-C</v>
      </c>
      <c r="D826">
        <v>0.729228700045496</v>
      </c>
      <c r="E826" t="s">
        <v>59</v>
      </c>
      <c r="F826" t="s">
        <v>61</v>
      </c>
      <c r="G826" t="s">
        <v>63</v>
      </c>
      <c r="H826">
        <v>17</v>
      </c>
      <c r="I826">
        <v>17</v>
      </c>
      <c r="J826">
        <v>0</v>
      </c>
      <c r="K826" t="s">
        <v>63</v>
      </c>
      <c r="L826">
        <v>1</v>
      </c>
      <c r="M826">
        <v>0.71872359997360002</v>
      </c>
      <c r="N826" t="s">
        <v>51</v>
      </c>
      <c r="O826">
        <v>0</v>
      </c>
      <c r="P826">
        <v>17</v>
      </c>
      <c r="Q826">
        <v>17</v>
      </c>
      <c r="R826">
        <v>0</v>
      </c>
      <c r="S826">
        <v>22.7037193999858</v>
      </c>
      <c r="X826">
        <v>22.696199700003401</v>
      </c>
      <c r="Y826">
        <v>22.7037193999858</v>
      </c>
      <c r="Z826">
        <v>23.204114400024899</v>
      </c>
      <c r="AA826">
        <v>23.204114400024899</v>
      </c>
      <c r="AB826">
        <v>23.204114400024899</v>
      </c>
      <c r="AC826">
        <v>23.9267569000367</v>
      </c>
      <c r="AD826" t="s">
        <v>63</v>
      </c>
      <c r="AE826">
        <v>1</v>
      </c>
      <c r="AF826">
        <v>0.71872359997360002</v>
      </c>
      <c r="AG826" t="s">
        <v>51</v>
      </c>
      <c r="AK826" t="s">
        <v>94</v>
      </c>
      <c r="AL826">
        <v>1</v>
      </c>
      <c r="AM826" t="s">
        <v>87</v>
      </c>
      <c r="AN826" t="s">
        <v>43</v>
      </c>
      <c r="AP826" t="s">
        <v>44</v>
      </c>
      <c r="AQ826">
        <v>60.129904655169099</v>
      </c>
      <c r="AR826" t="s">
        <v>88</v>
      </c>
    </row>
    <row r="827" spans="1:44" x14ac:dyDescent="0.3">
      <c r="A827" t="s">
        <v>69</v>
      </c>
      <c r="B827" t="s">
        <v>49</v>
      </c>
      <c r="C827" s="2" t="str">
        <f t="shared" si="12"/>
        <v>Emotional-I</v>
      </c>
      <c r="D827">
        <v>0.47972689999733098</v>
      </c>
      <c r="E827" t="s">
        <v>59</v>
      </c>
      <c r="F827" t="s">
        <v>56</v>
      </c>
      <c r="G827" t="s">
        <v>57</v>
      </c>
      <c r="H827">
        <v>18</v>
      </c>
      <c r="I827">
        <v>18</v>
      </c>
      <c r="J827">
        <v>0</v>
      </c>
      <c r="K827" t="s">
        <v>57</v>
      </c>
      <c r="L827">
        <v>1</v>
      </c>
      <c r="M827">
        <v>1.2972640999942</v>
      </c>
      <c r="N827" t="s">
        <v>51</v>
      </c>
      <c r="O827">
        <v>0</v>
      </c>
      <c r="P827">
        <v>18</v>
      </c>
      <c r="Q827">
        <v>18</v>
      </c>
      <c r="R827">
        <v>5</v>
      </c>
      <c r="S827">
        <v>23.936789100000102</v>
      </c>
      <c r="X827">
        <v>23.929260100005099</v>
      </c>
      <c r="Y827">
        <v>23.936789100000102</v>
      </c>
      <c r="Z827">
        <v>24.437303100014098</v>
      </c>
      <c r="AA827">
        <v>24.437303100014098</v>
      </c>
      <c r="AB827">
        <v>24.437303100014098</v>
      </c>
      <c r="AC827">
        <v>25.741512400039898</v>
      </c>
      <c r="AD827" t="s">
        <v>57</v>
      </c>
      <c r="AE827">
        <v>1</v>
      </c>
      <c r="AF827">
        <v>1.2972640999942</v>
      </c>
      <c r="AG827" t="s">
        <v>51</v>
      </c>
      <c r="AK827" t="s">
        <v>94</v>
      </c>
      <c r="AL827">
        <v>1</v>
      </c>
      <c r="AM827" t="s">
        <v>87</v>
      </c>
      <c r="AN827" t="s">
        <v>43</v>
      </c>
      <c r="AP827" t="s">
        <v>44</v>
      </c>
      <c r="AQ827">
        <v>60.129904655169099</v>
      </c>
      <c r="AR827" t="s">
        <v>88</v>
      </c>
    </row>
    <row r="828" spans="1:44" x14ac:dyDescent="0.3">
      <c r="A828" t="s">
        <v>76</v>
      </c>
      <c r="B828" t="s">
        <v>49</v>
      </c>
      <c r="C828" s="2" t="str">
        <f t="shared" si="12"/>
        <v>Emotional-I</v>
      </c>
      <c r="D828">
        <v>0.68389479996403602</v>
      </c>
      <c r="E828" t="s">
        <v>59</v>
      </c>
      <c r="F828" t="s">
        <v>48</v>
      </c>
      <c r="G828" t="s">
        <v>50</v>
      </c>
      <c r="H828">
        <v>19</v>
      </c>
      <c r="I828">
        <v>19</v>
      </c>
      <c r="J828">
        <v>0</v>
      </c>
      <c r="K828" t="s">
        <v>50</v>
      </c>
      <c r="L828">
        <v>1</v>
      </c>
      <c r="M828">
        <v>0.80869360000360702</v>
      </c>
      <c r="N828" t="s">
        <v>51</v>
      </c>
      <c r="O828">
        <v>0</v>
      </c>
      <c r="P828">
        <v>19</v>
      </c>
      <c r="Q828">
        <v>19</v>
      </c>
      <c r="R828">
        <v>3</v>
      </c>
      <c r="S828">
        <v>25.7538113000337</v>
      </c>
      <c r="X828">
        <v>25.7449655000236</v>
      </c>
      <c r="Y828">
        <v>25.7538113000337</v>
      </c>
      <c r="Z828">
        <v>26.253509000001898</v>
      </c>
      <c r="AA828">
        <v>26.253509000001898</v>
      </c>
      <c r="AB828">
        <v>26.253509000001898</v>
      </c>
      <c r="AC828">
        <v>27.074818900029602</v>
      </c>
      <c r="AD828" t="s">
        <v>50</v>
      </c>
      <c r="AE828">
        <v>1</v>
      </c>
      <c r="AF828">
        <v>0.80869360000360702</v>
      </c>
      <c r="AG828" t="s">
        <v>51</v>
      </c>
      <c r="AK828" t="s">
        <v>94</v>
      </c>
      <c r="AL828">
        <v>1</v>
      </c>
      <c r="AM828" t="s">
        <v>87</v>
      </c>
      <c r="AN828" t="s">
        <v>43</v>
      </c>
      <c r="AP828" t="s">
        <v>44</v>
      </c>
      <c r="AQ828">
        <v>60.129904655169099</v>
      </c>
      <c r="AR828" t="s">
        <v>88</v>
      </c>
    </row>
    <row r="829" spans="1:44" x14ac:dyDescent="0.3">
      <c r="A829" t="s">
        <v>69</v>
      </c>
      <c r="B829" t="s">
        <v>49</v>
      </c>
      <c r="C829" s="2" t="str">
        <f t="shared" si="12"/>
        <v>Emotional-I</v>
      </c>
      <c r="D829">
        <v>0.85615960002178304</v>
      </c>
      <c r="E829" t="s">
        <v>59</v>
      </c>
      <c r="F829" t="s">
        <v>56</v>
      </c>
      <c r="G829" t="s">
        <v>57</v>
      </c>
      <c r="H829">
        <v>20</v>
      </c>
      <c r="I829">
        <v>0</v>
      </c>
      <c r="J829">
        <v>1</v>
      </c>
      <c r="K829" t="s">
        <v>57</v>
      </c>
      <c r="L829">
        <v>1</v>
      </c>
      <c r="M829">
        <v>0.65546739997807801</v>
      </c>
      <c r="N829" t="s">
        <v>51</v>
      </c>
      <c r="O829">
        <v>1</v>
      </c>
      <c r="P829">
        <v>0</v>
      </c>
      <c r="Q829">
        <v>20</v>
      </c>
      <c r="R829">
        <v>5</v>
      </c>
      <c r="S829">
        <v>27.087116100010402</v>
      </c>
      <c r="X829">
        <v>27.0774824999971</v>
      </c>
      <c r="Y829">
        <v>27.087116100010402</v>
      </c>
      <c r="Z829">
        <v>27.587249500036702</v>
      </c>
      <c r="AA829">
        <v>27.587249500036702</v>
      </c>
      <c r="AB829">
        <v>27.587249500036702</v>
      </c>
      <c r="AC829">
        <v>28.257249100017301</v>
      </c>
      <c r="AD829" t="s">
        <v>57</v>
      </c>
      <c r="AE829">
        <v>1</v>
      </c>
      <c r="AF829">
        <v>0.65546739997807801</v>
      </c>
      <c r="AG829" t="s">
        <v>51</v>
      </c>
      <c r="AK829" t="s">
        <v>94</v>
      </c>
      <c r="AL829">
        <v>1</v>
      </c>
      <c r="AM829" t="s">
        <v>87</v>
      </c>
      <c r="AN829" t="s">
        <v>43</v>
      </c>
      <c r="AP829" t="s">
        <v>44</v>
      </c>
      <c r="AQ829">
        <v>60.129904655169099</v>
      </c>
      <c r="AR829" t="s">
        <v>88</v>
      </c>
    </row>
    <row r="830" spans="1:44" x14ac:dyDescent="0.3">
      <c r="A830" t="s">
        <v>77</v>
      </c>
      <c r="B830" t="s">
        <v>62</v>
      </c>
      <c r="C830" s="2" t="str">
        <f t="shared" si="12"/>
        <v>Emotional-C</v>
      </c>
      <c r="D830">
        <v>0.76055959996301603</v>
      </c>
      <c r="E830" t="s">
        <v>59</v>
      </c>
      <c r="F830" t="s">
        <v>61</v>
      </c>
      <c r="G830" t="s">
        <v>63</v>
      </c>
      <c r="H830">
        <v>21</v>
      </c>
      <c r="I830">
        <v>1</v>
      </c>
      <c r="J830">
        <v>1</v>
      </c>
      <c r="K830" t="s">
        <v>63</v>
      </c>
      <c r="L830">
        <v>1</v>
      </c>
      <c r="M830">
        <v>1.1076141999801601</v>
      </c>
      <c r="N830" t="s">
        <v>51</v>
      </c>
      <c r="O830">
        <v>1</v>
      </c>
      <c r="P830">
        <v>1</v>
      </c>
      <c r="Q830">
        <v>21</v>
      </c>
      <c r="R830">
        <v>4</v>
      </c>
      <c r="S830">
        <v>28.2705764999846</v>
      </c>
      <c r="X830">
        <v>28.259914099995498</v>
      </c>
      <c r="Y830">
        <v>28.2705764999846</v>
      </c>
      <c r="Z830">
        <v>28.7704034000053</v>
      </c>
      <c r="AA830">
        <v>28.7704034000053</v>
      </c>
      <c r="AB830">
        <v>28.7704034000053</v>
      </c>
      <c r="AC830">
        <v>29.8901159000233</v>
      </c>
      <c r="AD830" t="s">
        <v>63</v>
      </c>
      <c r="AE830">
        <v>1</v>
      </c>
      <c r="AF830">
        <v>1.1076141999801601</v>
      </c>
      <c r="AG830" t="s">
        <v>51</v>
      </c>
      <c r="AK830" t="s">
        <v>94</v>
      </c>
      <c r="AL830">
        <v>1</v>
      </c>
      <c r="AM830" t="s">
        <v>87</v>
      </c>
      <c r="AN830" t="s">
        <v>43</v>
      </c>
      <c r="AP830" t="s">
        <v>44</v>
      </c>
      <c r="AQ830">
        <v>60.129904655169099</v>
      </c>
      <c r="AR830" t="s">
        <v>88</v>
      </c>
    </row>
    <row r="831" spans="1:44" x14ac:dyDescent="0.3">
      <c r="A831" t="s">
        <v>46</v>
      </c>
      <c r="B831" t="s">
        <v>49</v>
      </c>
      <c r="C831" s="2" t="str">
        <f t="shared" si="12"/>
        <v>Neutral</v>
      </c>
      <c r="D831">
        <v>0.46494080004049398</v>
      </c>
      <c r="E831" t="s">
        <v>47</v>
      </c>
      <c r="F831" t="s">
        <v>48</v>
      </c>
      <c r="G831" t="s">
        <v>50</v>
      </c>
      <c r="H831">
        <v>22</v>
      </c>
      <c r="I831">
        <v>2</v>
      </c>
      <c r="J831">
        <v>1</v>
      </c>
      <c r="K831" t="s">
        <v>50</v>
      </c>
      <c r="L831">
        <v>1</v>
      </c>
      <c r="M831">
        <v>1.0176418999908401</v>
      </c>
      <c r="N831" t="s">
        <v>51</v>
      </c>
      <c r="O831">
        <v>1</v>
      </c>
      <c r="P831">
        <v>2</v>
      </c>
      <c r="Q831">
        <v>22</v>
      </c>
      <c r="R831">
        <v>19</v>
      </c>
      <c r="S831">
        <v>29.9034595999983</v>
      </c>
      <c r="X831">
        <v>29.892833599995299</v>
      </c>
      <c r="Y831">
        <v>29.9034595999983</v>
      </c>
      <c r="Z831">
        <v>30.403192900004701</v>
      </c>
      <c r="AA831">
        <v>30.403192900004701</v>
      </c>
      <c r="AB831">
        <v>30.403192900004701</v>
      </c>
      <c r="AC831">
        <v>31.4244225000147</v>
      </c>
      <c r="AD831" t="s">
        <v>50</v>
      </c>
      <c r="AE831">
        <v>1</v>
      </c>
      <c r="AF831">
        <v>1.0176418999908401</v>
      </c>
      <c r="AG831" t="s">
        <v>51</v>
      </c>
      <c r="AK831" t="s">
        <v>94</v>
      </c>
      <c r="AL831">
        <v>1</v>
      </c>
      <c r="AM831" t="s">
        <v>87</v>
      </c>
      <c r="AN831" t="s">
        <v>43</v>
      </c>
      <c r="AP831" t="s">
        <v>44</v>
      </c>
      <c r="AQ831">
        <v>60.129904655169099</v>
      </c>
      <c r="AR831" t="s">
        <v>88</v>
      </c>
    </row>
    <row r="832" spans="1:44" x14ac:dyDescent="0.3">
      <c r="A832" t="s">
        <v>65</v>
      </c>
      <c r="B832" t="s">
        <v>49</v>
      </c>
      <c r="C832" s="2" t="str">
        <f t="shared" si="12"/>
        <v>Emotional-I</v>
      </c>
      <c r="D832">
        <v>0.57266810000874102</v>
      </c>
      <c r="E832" t="s">
        <v>59</v>
      </c>
      <c r="F832" t="s">
        <v>56</v>
      </c>
      <c r="G832" t="s">
        <v>57</v>
      </c>
      <c r="H832">
        <v>23</v>
      </c>
      <c r="I832">
        <v>3</v>
      </c>
      <c r="J832">
        <v>1</v>
      </c>
      <c r="K832" t="s">
        <v>57</v>
      </c>
      <c r="L832">
        <v>1</v>
      </c>
      <c r="M832">
        <v>0.76665229996433404</v>
      </c>
      <c r="N832" t="s">
        <v>51</v>
      </c>
      <c r="O832">
        <v>1</v>
      </c>
      <c r="P832">
        <v>3</v>
      </c>
      <c r="Q832">
        <v>23</v>
      </c>
      <c r="R832">
        <v>9</v>
      </c>
      <c r="S832">
        <v>31.436594500031699</v>
      </c>
      <c r="X832">
        <v>31.427820799988599</v>
      </c>
      <c r="Y832">
        <v>31.436594500031699</v>
      </c>
      <c r="Z832">
        <v>31.937362099997699</v>
      </c>
      <c r="AA832">
        <v>31.937362099997699</v>
      </c>
      <c r="AB832">
        <v>31.937362099997699</v>
      </c>
      <c r="AC832">
        <v>32.707368600007598</v>
      </c>
      <c r="AD832" t="s">
        <v>57</v>
      </c>
      <c r="AE832">
        <v>1</v>
      </c>
      <c r="AF832">
        <v>0.76665229996433404</v>
      </c>
      <c r="AG832" t="s">
        <v>51</v>
      </c>
      <c r="AK832" t="s">
        <v>94</v>
      </c>
      <c r="AL832">
        <v>1</v>
      </c>
      <c r="AM832" t="s">
        <v>87</v>
      </c>
      <c r="AN832" t="s">
        <v>43</v>
      </c>
      <c r="AP832" t="s">
        <v>44</v>
      </c>
      <c r="AQ832">
        <v>60.129904655169099</v>
      </c>
      <c r="AR832" t="s">
        <v>88</v>
      </c>
    </row>
    <row r="833" spans="1:44" x14ac:dyDescent="0.3">
      <c r="A833" t="s">
        <v>67</v>
      </c>
      <c r="B833" t="s">
        <v>49</v>
      </c>
      <c r="C833" s="2" t="str">
        <f t="shared" si="12"/>
        <v>Neutral</v>
      </c>
      <c r="D833">
        <v>0.69999669998651304</v>
      </c>
      <c r="E833" t="s">
        <v>47</v>
      </c>
      <c r="F833" t="s">
        <v>53</v>
      </c>
      <c r="G833" t="s">
        <v>54</v>
      </c>
      <c r="H833">
        <v>24</v>
      </c>
      <c r="I833">
        <v>4</v>
      </c>
      <c r="J833">
        <v>1</v>
      </c>
      <c r="K833" t="s">
        <v>54</v>
      </c>
      <c r="L833">
        <v>1</v>
      </c>
      <c r="M833">
        <v>0.67506420001154699</v>
      </c>
      <c r="N833" t="s">
        <v>51</v>
      </c>
      <c r="O833">
        <v>1</v>
      </c>
      <c r="P833">
        <v>4</v>
      </c>
      <c r="Q833">
        <v>24</v>
      </c>
      <c r="R833">
        <v>10</v>
      </c>
      <c r="S833">
        <v>32.720368499983998</v>
      </c>
      <c r="X833">
        <v>32.710013300005798</v>
      </c>
      <c r="Y833">
        <v>32.720368499983998</v>
      </c>
      <c r="Z833">
        <v>33.2202589000226</v>
      </c>
      <c r="AA833">
        <v>33.2202589000226</v>
      </c>
      <c r="AB833">
        <v>33.2202589000226</v>
      </c>
      <c r="AC833">
        <v>33.907218200038102</v>
      </c>
      <c r="AD833" t="s">
        <v>54</v>
      </c>
      <c r="AE833">
        <v>1</v>
      </c>
      <c r="AF833">
        <v>0.67506420001154699</v>
      </c>
      <c r="AG833" t="s">
        <v>51</v>
      </c>
      <c r="AK833" t="s">
        <v>94</v>
      </c>
      <c r="AL833">
        <v>1</v>
      </c>
      <c r="AM833" t="s">
        <v>87</v>
      </c>
      <c r="AN833" t="s">
        <v>43</v>
      </c>
      <c r="AP833" t="s">
        <v>44</v>
      </c>
      <c r="AQ833">
        <v>60.129904655169099</v>
      </c>
      <c r="AR833" t="s">
        <v>88</v>
      </c>
    </row>
    <row r="834" spans="1:44" x14ac:dyDescent="0.3">
      <c r="A834" t="s">
        <v>55</v>
      </c>
      <c r="B834" t="s">
        <v>49</v>
      </c>
      <c r="C834" s="2" t="str">
        <f t="shared" ref="C834:C897" si="13">IF(E834="neutral","Neutral",
IF(AND(E834="emotional",B834="C"),"Emotional-C",
IF(AND(E834="emotional",B834="I"),"Emotional-I","")))</f>
        <v>Neutral</v>
      </c>
      <c r="D834">
        <v>0.81994920002762195</v>
      </c>
      <c r="E834" t="s">
        <v>47</v>
      </c>
      <c r="F834" t="s">
        <v>56</v>
      </c>
      <c r="G834" t="s">
        <v>57</v>
      </c>
      <c r="H834">
        <v>25</v>
      </c>
      <c r="I834">
        <v>5</v>
      </c>
      <c r="J834">
        <v>1</v>
      </c>
      <c r="K834" t="s">
        <v>57</v>
      </c>
      <c r="L834">
        <v>1</v>
      </c>
      <c r="M834">
        <v>0.74529609997989599</v>
      </c>
      <c r="N834" t="s">
        <v>51</v>
      </c>
      <c r="O834">
        <v>1</v>
      </c>
      <c r="P834">
        <v>5</v>
      </c>
      <c r="Q834">
        <v>25</v>
      </c>
      <c r="R834">
        <v>13</v>
      </c>
      <c r="S834">
        <v>33.920969700033297</v>
      </c>
      <c r="X834">
        <v>33.909889000002202</v>
      </c>
      <c r="Y834">
        <v>33.920969700033297</v>
      </c>
      <c r="Z834">
        <v>34.420733899984</v>
      </c>
      <c r="AA834">
        <v>34.420733899984</v>
      </c>
      <c r="AB834">
        <v>34.420733899984</v>
      </c>
      <c r="AC834">
        <v>35.173682500026104</v>
      </c>
      <c r="AD834" t="s">
        <v>57</v>
      </c>
      <c r="AE834">
        <v>1</v>
      </c>
      <c r="AF834">
        <v>0.74529609997989599</v>
      </c>
      <c r="AG834" t="s">
        <v>51</v>
      </c>
      <c r="AK834" t="s">
        <v>94</v>
      </c>
      <c r="AL834">
        <v>1</v>
      </c>
      <c r="AM834" t="s">
        <v>87</v>
      </c>
      <c r="AN834" t="s">
        <v>43</v>
      </c>
      <c r="AP834" t="s">
        <v>44</v>
      </c>
      <c r="AQ834">
        <v>60.129904655169099</v>
      </c>
      <c r="AR834" t="s">
        <v>88</v>
      </c>
    </row>
    <row r="835" spans="1:44" x14ac:dyDescent="0.3">
      <c r="A835" t="s">
        <v>75</v>
      </c>
      <c r="B835" t="s">
        <v>49</v>
      </c>
      <c r="C835" s="2" t="str">
        <f t="shared" si="13"/>
        <v>Neutral</v>
      </c>
      <c r="D835">
        <v>0.63032179995207105</v>
      </c>
      <c r="E835" t="s">
        <v>47</v>
      </c>
      <c r="F835" t="s">
        <v>61</v>
      </c>
      <c r="G835" t="s">
        <v>63</v>
      </c>
      <c r="H835">
        <v>26</v>
      </c>
      <c r="I835">
        <v>6</v>
      </c>
      <c r="J835">
        <v>1</v>
      </c>
      <c r="K835" t="s">
        <v>63</v>
      </c>
      <c r="L835">
        <v>1</v>
      </c>
      <c r="M835">
        <v>0.76742280001053498</v>
      </c>
      <c r="N835" t="s">
        <v>51</v>
      </c>
      <c r="O835">
        <v>1</v>
      </c>
      <c r="P835">
        <v>6</v>
      </c>
      <c r="Q835">
        <v>26</v>
      </c>
      <c r="R835">
        <v>16</v>
      </c>
      <c r="S835">
        <v>35.186851200007297</v>
      </c>
      <c r="X835">
        <v>35.176425200013902</v>
      </c>
      <c r="Y835">
        <v>35.186851200007297</v>
      </c>
      <c r="Z835">
        <v>35.686452800000502</v>
      </c>
      <c r="AA835">
        <v>35.686452800000502</v>
      </c>
      <c r="AB835">
        <v>35.686452800000502</v>
      </c>
      <c r="AC835">
        <v>36.457207900006303</v>
      </c>
      <c r="AD835" t="s">
        <v>63</v>
      </c>
      <c r="AE835">
        <v>1</v>
      </c>
      <c r="AF835">
        <v>0.76742280001053498</v>
      </c>
      <c r="AG835" t="s">
        <v>51</v>
      </c>
      <c r="AK835" t="s">
        <v>94</v>
      </c>
      <c r="AL835">
        <v>1</v>
      </c>
      <c r="AM835" t="s">
        <v>87</v>
      </c>
      <c r="AN835" t="s">
        <v>43</v>
      </c>
      <c r="AP835" t="s">
        <v>44</v>
      </c>
      <c r="AQ835">
        <v>60.129904655169099</v>
      </c>
      <c r="AR835" t="s">
        <v>88</v>
      </c>
    </row>
    <row r="836" spans="1:44" x14ac:dyDescent="0.3">
      <c r="A836" t="s">
        <v>76</v>
      </c>
      <c r="B836" t="s">
        <v>49</v>
      </c>
      <c r="C836" s="2" t="str">
        <f t="shared" si="13"/>
        <v>Emotional-I</v>
      </c>
      <c r="D836">
        <v>0.89729729999089602</v>
      </c>
      <c r="E836" t="s">
        <v>59</v>
      </c>
      <c r="F836" t="s">
        <v>48</v>
      </c>
      <c r="G836" t="s">
        <v>50</v>
      </c>
      <c r="H836">
        <v>27</v>
      </c>
      <c r="I836">
        <v>7</v>
      </c>
      <c r="J836">
        <v>1</v>
      </c>
      <c r="K836" t="s">
        <v>50</v>
      </c>
      <c r="L836">
        <v>1</v>
      </c>
      <c r="M836">
        <v>0.65827650000574001</v>
      </c>
      <c r="N836" t="s">
        <v>51</v>
      </c>
      <c r="O836">
        <v>1</v>
      </c>
      <c r="P836">
        <v>7</v>
      </c>
      <c r="Q836">
        <v>27</v>
      </c>
      <c r="R836">
        <v>3</v>
      </c>
      <c r="S836">
        <v>36.470740900025703</v>
      </c>
      <c r="X836">
        <v>36.459893100021802</v>
      </c>
      <c r="Y836">
        <v>36.470740900025703</v>
      </c>
      <c r="Z836">
        <v>36.970308099989701</v>
      </c>
      <c r="AA836">
        <v>36.970308099989701</v>
      </c>
      <c r="AB836">
        <v>36.970308099989701</v>
      </c>
      <c r="AC836">
        <v>37.641631899983601</v>
      </c>
      <c r="AD836" t="s">
        <v>50</v>
      </c>
      <c r="AE836">
        <v>1</v>
      </c>
      <c r="AF836">
        <v>0.65827650000574001</v>
      </c>
      <c r="AG836" t="s">
        <v>51</v>
      </c>
      <c r="AK836" t="s">
        <v>94</v>
      </c>
      <c r="AL836">
        <v>1</v>
      </c>
      <c r="AM836" t="s">
        <v>87</v>
      </c>
      <c r="AN836" t="s">
        <v>43</v>
      </c>
      <c r="AP836" t="s">
        <v>44</v>
      </c>
      <c r="AQ836">
        <v>60.129904655169099</v>
      </c>
      <c r="AR836" t="s">
        <v>88</v>
      </c>
    </row>
    <row r="837" spans="1:44" x14ac:dyDescent="0.3">
      <c r="A837" t="s">
        <v>58</v>
      </c>
      <c r="B837" t="s">
        <v>49</v>
      </c>
      <c r="C837" s="2" t="str">
        <f t="shared" si="13"/>
        <v>Emotional-I</v>
      </c>
      <c r="D837">
        <v>0.60208939999574795</v>
      </c>
      <c r="E837" t="s">
        <v>59</v>
      </c>
      <c r="F837" t="s">
        <v>48</v>
      </c>
      <c r="G837" t="s">
        <v>50</v>
      </c>
      <c r="H837">
        <v>28</v>
      </c>
      <c r="I837">
        <v>8</v>
      </c>
      <c r="J837">
        <v>1</v>
      </c>
      <c r="K837" t="s">
        <v>50</v>
      </c>
      <c r="L837">
        <v>1</v>
      </c>
      <c r="M837">
        <v>0.56104979995870896</v>
      </c>
      <c r="N837" t="s">
        <v>51</v>
      </c>
      <c r="O837">
        <v>1</v>
      </c>
      <c r="P837">
        <v>8</v>
      </c>
      <c r="Q837">
        <v>28</v>
      </c>
      <c r="R837">
        <v>7</v>
      </c>
      <c r="S837">
        <v>37.652942200016597</v>
      </c>
      <c r="X837">
        <v>37.644859899999503</v>
      </c>
      <c r="Y837">
        <v>37.652942200016597</v>
      </c>
      <c r="Z837">
        <v>38.153297100041499</v>
      </c>
      <c r="AA837">
        <v>38.153297100041499</v>
      </c>
      <c r="AB837">
        <v>38.153297100041499</v>
      </c>
      <c r="AC837">
        <v>38.723197599989298</v>
      </c>
      <c r="AD837" t="s">
        <v>50</v>
      </c>
      <c r="AE837">
        <v>1</v>
      </c>
      <c r="AF837">
        <v>0.56104979995870896</v>
      </c>
      <c r="AG837" t="s">
        <v>51</v>
      </c>
      <c r="AK837" t="s">
        <v>94</v>
      </c>
      <c r="AL837">
        <v>1</v>
      </c>
      <c r="AM837" t="s">
        <v>87</v>
      </c>
      <c r="AN837" t="s">
        <v>43</v>
      </c>
      <c r="AP837" t="s">
        <v>44</v>
      </c>
      <c r="AQ837">
        <v>60.129904655169099</v>
      </c>
      <c r="AR837" t="s">
        <v>88</v>
      </c>
    </row>
    <row r="838" spans="1:44" x14ac:dyDescent="0.3">
      <c r="A838" t="s">
        <v>71</v>
      </c>
      <c r="B838" t="s">
        <v>49</v>
      </c>
      <c r="C838" s="2" t="str">
        <f t="shared" si="13"/>
        <v>Neutral</v>
      </c>
      <c r="D838">
        <v>0.67967059998773005</v>
      </c>
      <c r="E838" t="s">
        <v>47</v>
      </c>
      <c r="F838" t="s">
        <v>48</v>
      </c>
      <c r="G838" t="s">
        <v>50</v>
      </c>
      <c r="H838">
        <v>29</v>
      </c>
      <c r="I838">
        <v>9</v>
      </c>
      <c r="J838">
        <v>1</v>
      </c>
      <c r="K838" t="s">
        <v>50</v>
      </c>
      <c r="L838">
        <v>1</v>
      </c>
      <c r="M838">
        <v>0.43190119997598198</v>
      </c>
      <c r="N838" t="s">
        <v>51</v>
      </c>
      <c r="O838">
        <v>1</v>
      </c>
      <c r="P838">
        <v>9</v>
      </c>
      <c r="Q838">
        <v>29</v>
      </c>
      <c r="R838">
        <v>15</v>
      </c>
      <c r="S838">
        <v>38.736091100028702</v>
      </c>
      <c r="X838">
        <v>38.726117899990598</v>
      </c>
      <c r="Y838">
        <v>38.736091100028702</v>
      </c>
      <c r="Z838">
        <v>39.236051000014399</v>
      </c>
      <c r="AA838">
        <v>39.236051000014399</v>
      </c>
      <c r="AB838">
        <v>39.236051000014399</v>
      </c>
      <c r="AC838">
        <v>39.673842300020603</v>
      </c>
      <c r="AD838" t="s">
        <v>50</v>
      </c>
      <c r="AE838">
        <v>1</v>
      </c>
      <c r="AF838">
        <v>0.43190119997598198</v>
      </c>
      <c r="AG838" t="s">
        <v>51</v>
      </c>
      <c r="AK838" t="s">
        <v>94</v>
      </c>
      <c r="AL838">
        <v>1</v>
      </c>
      <c r="AM838" t="s">
        <v>87</v>
      </c>
      <c r="AN838" t="s">
        <v>43</v>
      </c>
      <c r="AP838" t="s">
        <v>44</v>
      </c>
      <c r="AQ838">
        <v>60.129904655169099</v>
      </c>
      <c r="AR838" t="s">
        <v>88</v>
      </c>
    </row>
    <row r="839" spans="1:44" x14ac:dyDescent="0.3">
      <c r="A839" t="s">
        <v>66</v>
      </c>
      <c r="B839" t="s">
        <v>49</v>
      </c>
      <c r="C839" s="2" t="str">
        <f t="shared" si="13"/>
        <v>Neutral</v>
      </c>
      <c r="D839">
        <v>0.59773589996621002</v>
      </c>
      <c r="E839" t="s">
        <v>47</v>
      </c>
      <c r="F839" t="s">
        <v>61</v>
      </c>
      <c r="G839" t="s">
        <v>63</v>
      </c>
      <c r="H839">
        <v>30</v>
      </c>
      <c r="I839">
        <v>10</v>
      </c>
      <c r="J839">
        <v>1</v>
      </c>
      <c r="K839" t="s">
        <v>63</v>
      </c>
      <c r="L839">
        <v>1</v>
      </c>
      <c r="M839">
        <v>0.77335210004821398</v>
      </c>
      <c r="N839" t="s">
        <v>51</v>
      </c>
      <c r="O839">
        <v>1</v>
      </c>
      <c r="P839">
        <v>10</v>
      </c>
      <c r="Q839">
        <v>30</v>
      </c>
      <c r="R839">
        <v>12</v>
      </c>
      <c r="S839">
        <v>39.686585200019103</v>
      </c>
      <c r="X839">
        <v>39.676517600018997</v>
      </c>
      <c r="Y839">
        <v>39.686585200019103</v>
      </c>
      <c r="Z839">
        <v>40.1861263000173</v>
      </c>
      <c r="AA839">
        <v>40.1861263000173</v>
      </c>
      <c r="AB839">
        <v>40.1861263000173</v>
      </c>
      <c r="AC839">
        <v>40.974192099994902</v>
      </c>
      <c r="AD839" t="s">
        <v>63</v>
      </c>
      <c r="AE839">
        <v>1</v>
      </c>
      <c r="AF839">
        <v>0.77335210004821398</v>
      </c>
      <c r="AG839" t="s">
        <v>51</v>
      </c>
      <c r="AK839" t="s">
        <v>94</v>
      </c>
      <c r="AL839">
        <v>1</v>
      </c>
      <c r="AM839" t="s">
        <v>87</v>
      </c>
      <c r="AN839" t="s">
        <v>43</v>
      </c>
      <c r="AP839" t="s">
        <v>44</v>
      </c>
      <c r="AQ839">
        <v>60.129904655169099</v>
      </c>
      <c r="AR839" t="s">
        <v>88</v>
      </c>
    </row>
    <row r="840" spans="1:44" x14ac:dyDescent="0.3">
      <c r="A840" t="s">
        <v>60</v>
      </c>
      <c r="B840" t="s">
        <v>62</v>
      </c>
      <c r="C840" s="2" t="str">
        <f t="shared" si="13"/>
        <v>Emotional-C</v>
      </c>
      <c r="D840">
        <v>0.65886829997179996</v>
      </c>
      <c r="E840" t="s">
        <v>59</v>
      </c>
      <c r="F840" t="s">
        <v>61</v>
      </c>
      <c r="G840" t="s">
        <v>63</v>
      </c>
      <c r="H840">
        <v>31</v>
      </c>
      <c r="I840">
        <v>11</v>
      </c>
      <c r="J840">
        <v>1</v>
      </c>
      <c r="K840" t="s">
        <v>63</v>
      </c>
      <c r="L840">
        <v>1</v>
      </c>
      <c r="M840">
        <v>0.58794669999042504</v>
      </c>
      <c r="N840" t="s">
        <v>51</v>
      </c>
      <c r="O840">
        <v>1</v>
      </c>
      <c r="P840">
        <v>11</v>
      </c>
      <c r="Q840">
        <v>31</v>
      </c>
      <c r="R840">
        <v>0</v>
      </c>
      <c r="S840">
        <v>40.986464900022803</v>
      </c>
      <c r="X840">
        <v>40.976677400001698</v>
      </c>
      <c r="Y840">
        <v>40.986464900022803</v>
      </c>
      <c r="Z840">
        <v>41.486368699988802</v>
      </c>
      <c r="AA840">
        <v>41.486368699988802</v>
      </c>
      <c r="AB840">
        <v>41.486368699988802</v>
      </c>
      <c r="AC840">
        <v>42.090362499991897</v>
      </c>
      <c r="AD840" t="s">
        <v>63</v>
      </c>
      <c r="AE840">
        <v>1</v>
      </c>
      <c r="AF840">
        <v>0.58794669999042504</v>
      </c>
      <c r="AG840" t="s">
        <v>51</v>
      </c>
      <c r="AK840" t="s">
        <v>94</v>
      </c>
      <c r="AL840">
        <v>1</v>
      </c>
      <c r="AM840" t="s">
        <v>87</v>
      </c>
      <c r="AN840" t="s">
        <v>43</v>
      </c>
      <c r="AP840" t="s">
        <v>44</v>
      </c>
      <c r="AQ840">
        <v>60.129904655169099</v>
      </c>
      <c r="AR840" t="s">
        <v>88</v>
      </c>
    </row>
    <row r="841" spans="1:44" x14ac:dyDescent="0.3">
      <c r="A841" t="s">
        <v>72</v>
      </c>
      <c r="B841" t="s">
        <v>62</v>
      </c>
      <c r="C841" s="2" t="str">
        <f t="shared" si="13"/>
        <v>Emotional-C</v>
      </c>
      <c r="D841">
        <v>0.79640559997642402</v>
      </c>
      <c r="E841" t="s">
        <v>59</v>
      </c>
      <c r="F841" t="s">
        <v>61</v>
      </c>
      <c r="G841" t="s">
        <v>63</v>
      </c>
      <c r="H841">
        <v>32</v>
      </c>
      <c r="I841">
        <v>12</v>
      </c>
      <c r="J841">
        <v>1</v>
      </c>
      <c r="K841" t="s">
        <v>63</v>
      </c>
      <c r="L841">
        <v>1</v>
      </c>
      <c r="M841">
        <v>0.48609359998954399</v>
      </c>
      <c r="N841" t="s">
        <v>51</v>
      </c>
      <c r="O841">
        <v>1</v>
      </c>
      <c r="P841">
        <v>12</v>
      </c>
      <c r="Q841">
        <v>32</v>
      </c>
      <c r="R841">
        <v>8</v>
      </c>
      <c r="S841">
        <v>42.103015000000497</v>
      </c>
      <c r="X841">
        <v>42.093029499985199</v>
      </c>
      <c r="Y841">
        <v>42.103015000000497</v>
      </c>
      <c r="Z841">
        <v>42.602760699984998</v>
      </c>
      <c r="AA841">
        <v>42.602760699984998</v>
      </c>
      <c r="AB841">
        <v>42.602760699984998</v>
      </c>
      <c r="AC841">
        <v>43.090522799990097</v>
      </c>
      <c r="AD841" t="s">
        <v>63</v>
      </c>
      <c r="AE841">
        <v>1</v>
      </c>
      <c r="AF841">
        <v>0.48609359998954399</v>
      </c>
      <c r="AG841" t="s">
        <v>51</v>
      </c>
      <c r="AK841" t="s">
        <v>94</v>
      </c>
      <c r="AL841">
        <v>1</v>
      </c>
      <c r="AM841" t="s">
        <v>87</v>
      </c>
      <c r="AN841" t="s">
        <v>43</v>
      </c>
      <c r="AP841" t="s">
        <v>44</v>
      </c>
      <c r="AQ841">
        <v>60.129904655169099</v>
      </c>
      <c r="AR841" t="s">
        <v>88</v>
      </c>
    </row>
    <row r="842" spans="1:44" x14ac:dyDescent="0.3">
      <c r="A842" t="s">
        <v>64</v>
      </c>
      <c r="B842" t="s">
        <v>49</v>
      </c>
      <c r="C842" s="2" t="str">
        <f t="shared" si="13"/>
        <v>Neutral</v>
      </c>
      <c r="D842">
        <v>0.66672559996368297</v>
      </c>
      <c r="E842" t="s">
        <v>47</v>
      </c>
      <c r="F842" t="s">
        <v>53</v>
      </c>
      <c r="G842" t="s">
        <v>54</v>
      </c>
      <c r="H842">
        <v>33</v>
      </c>
      <c r="I842">
        <v>13</v>
      </c>
      <c r="J842">
        <v>1</v>
      </c>
      <c r="K842" t="s">
        <v>54</v>
      </c>
      <c r="L842">
        <v>1</v>
      </c>
      <c r="M842">
        <v>0.72129140002653003</v>
      </c>
      <c r="N842" t="s">
        <v>51</v>
      </c>
      <c r="O842">
        <v>1</v>
      </c>
      <c r="P842">
        <v>13</v>
      </c>
      <c r="Q842">
        <v>33</v>
      </c>
      <c r="R842">
        <v>18</v>
      </c>
      <c r="S842">
        <v>43.103035300038698</v>
      </c>
      <c r="X842">
        <v>43.093953900039097</v>
      </c>
      <c r="Y842">
        <v>43.103035300038698</v>
      </c>
      <c r="Z842">
        <v>43.603281599993302</v>
      </c>
      <c r="AA842">
        <v>43.603281599993302</v>
      </c>
      <c r="AB842">
        <v>43.603281599993302</v>
      </c>
      <c r="AC842">
        <v>44.340412200020999</v>
      </c>
      <c r="AD842" t="s">
        <v>54</v>
      </c>
      <c r="AE842">
        <v>1</v>
      </c>
      <c r="AF842">
        <v>0.72129140002653003</v>
      </c>
      <c r="AG842" t="s">
        <v>51</v>
      </c>
      <c r="AK842" t="s">
        <v>94</v>
      </c>
      <c r="AL842">
        <v>1</v>
      </c>
      <c r="AM842" t="s">
        <v>87</v>
      </c>
      <c r="AN842" t="s">
        <v>43</v>
      </c>
      <c r="AP842" t="s">
        <v>44</v>
      </c>
      <c r="AQ842">
        <v>60.129904655169099</v>
      </c>
      <c r="AR842" t="s">
        <v>88</v>
      </c>
    </row>
    <row r="843" spans="1:44" x14ac:dyDescent="0.3">
      <c r="A843" t="s">
        <v>52</v>
      </c>
      <c r="B843" t="s">
        <v>49</v>
      </c>
      <c r="C843" s="2" t="str">
        <f t="shared" si="13"/>
        <v>Neutral</v>
      </c>
      <c r="D843">
        <v>0.50277479999931496</v>
      </c>
      <c r="E843" t="s">
        <v>47</v>
      </c>
      <c r="F843" t="s">
        <v>53</v>
      </c>
      <c r="G843" t="s">
        <v>54</v>
      </c>
      <c r="H843">
        <v>34</v>
      </c>
      <c r="I843">
        <v>14</v>
      </c>
      <c r="J843">
        <v>1</v>
      </c>
      <c r="K843" t="s">
        <v>54</v>
      </c>
      <c r="L843">
        <v>1</v>
      </c>
      <c r="M843">
        <v>0.57725020003272198</v>
      </c>
      <c r="N843" t="s">
        <v>51</v>
      </c>
      <c r="O843">
        <v>1</v>
      </c>
      <c r="P843">
        <v>14</v>
      </c>
      <c r="Q843">
        <v>34</v>
      </c>
      <c r="R843">
        <v>14</v>
      </c>
      <c r="S843">
        <v>44.353374099999201</v>
      </c>
      <c r="X843">
        <v>44.343067300040197</v>
      </c>
      <c r="Y843">
        <v>44.353374099999201</v>
      </c>
      <c r="Z843">
        <v>44.8534309000242</v>
      </c>
      <c r="AA843">
        <v>44.8534309000242</v>
      </c>
      <c r="AB843">
        <v>44.8534309000242</v>
      </c>
      <c r="AC843">
        <v>45.440028000040897</v>
      </c>
      <c r="AD843" t="s">
        <v>54</v>
      </c>
      <c r="AE843">
        <v>1</v>
      </c>
      <c r="AF843">
        <v>0.57725020003272198</v>
      </c>
      <c r="AG843" t="s">
        <v>51</v>
      </c>
      <c r="AK843" t="s">
        <v>94</v>
      </c>
      <c r="AL843">
        <v>1</v>
      </c>
      <c r="AM843" t="s">
        <v>87</v>
      </c>
      <c r="AN843" t="s">
        <v>43</v>
      </c>
      <c r="AP843" t="s">
        <v>44</v>
      </c>
      <c r="AQ843">
        <v>60.129904655169099</v>
      </c>
      <c r="AR843" t="s">
        <v>88</v>
      </c>
    </row>
    <row r="844" spans="1:44" x14ac:dyDescent="0.3">
      <c r="A844" t="s">
        <v>70</v>
      </c>
      <c r="B844" t="s">
        <v>49</v>
      </c>
      <c r="C844" s="2" t="str">
        <f t="shared" si="13"/>
        <v>Emotional-I</v>
      </c>
      <c r="D844">
        <v>0.398212699976284</v>
      </c>
      <c r="E844" t="s">
        <v>59</v>
      </c>
      <c r="F844" t="s">
        <v>53</v>
      </c>
      <c r="G844" t="s">
        <v>54</v>
      </c>
      <c r="H844">
        <v>35</v>
      </c>
      <c r="I844">
        <v>15</v>
      </c>
      <c r="J844">
        <v>1</v>
      </c>
      <c r="K844" t="s">
        <v>54</v>
      </c>
      <c r="L844">
        <v>1</v>
      </c>
      <c r="M844">
        <v>0.425274599983822</v>
      </c>
      <c r="N844" t="s">
        <v>51</v>
      </c>
      <c r="O844">
        <v>1</v>
      </c>
      <c r="P844">
        <v>15</v>
      </c>
      <c r="Q844">
        <v>35</v>
      </c>
      <c r="R844">
        <v>2</v>
      </c>
      <c r="S844">
        <v>45.452946100034701</v>
      </c>
      <c r="X844">
        <v>45.443083300022401</v>
      </c>
      <c r="Y844">
        <v>45.452946100034701</v>
      </c>
      <c r="Z844">
        <v>45.953298799984601</v>
      </c>
      <c r="AA844">
        <v>45.953298799984601</v>
      </c>
      <c r="AB844">
        <v>45.953298799984601</v>
      </c>
      <c r="AC844">
        <v>46.389465900021598</v>
      </c>
      <c r="AD844" t="s">
        <v>54</v>
      </c>
      <c r="AE844">
        <v>1</v>
      </c>
      <c r="AF844">
        <v>0.425274599983822</v>
      </c>
      <c r="AG844" t="s">
        <v>51</v>
      </c>
      <c r="AK844" t="s">
        <v>94</v>
      </c>
      <c r="AL844">
        <v>1</v>
      </c>
      <c r="AM844" t="s">
        <v>87</v>
      </c>
      <c r="AN844" t="s">
        <v>43</v>
      </c>
      <c r="AP844" t="s">
        <v>44</v>
      </c>
      <c r="AQ844">
        <v>60.129904655169099</v>
      </c>
      <c r="AR844" t="s">
        <v>88</v>
      </c>
    </row>
    <row r="845" spans="1:44" x14ac:dyDescent="0.3">
      <c r="A845" t="s">
        <v>78</v>
      </c>
      <c r="B845" t="s">
        <v>49</v>
      </c>
      <c r="C845" s="2" t="str">
        <f t="shared" si="13"/>
        <v>Neutral</v>
      </c>
      <c r="D845">
        <v>0.77934469998581302</v>
      </c>
      <c r="E845" t="s">
        <v>47</v>
      </c>
      <c r="F845" t="s">
        <v>56</v>
      </c>
      <c r="G845" t="s">
        <v>57</v>
      </c>
      <c r="H845">
        <v>36</v>
      </c>
      <c r="I845">
        <v>16</v>
      </c>
      <c r="J845">
        <v>1</v>
      </c>
      <c r="K845" t="s">
        <v>57</v>
      </c>
      <c r="L845">
        <v>1</v>
      </c>
      <c r="M845">
        <v>0.56619009998394099</v>
      </c>
      <c r="N845" t="s">
        <v>51</v>
      </c>
      <c r="O845">
        <v>1</v>
      </c>
      <c r="P845">
        <v>16</v>
      </c>
      <c r="Q845">
        <v>36</v>
      </c>
      <c r="R845">
        <v>17</v>
      </c>
      <c r="S845">
        <v>46.4029465999919</v>
      </c>
      <c r="X845">
        <v>46.392747999983797</v>
      </c>
      <c r="Y845">
        <v>46.4029465999919</v>
      </c>
      <c r="Z845">
        <v>46.903494600031898</v>
      </c>
      <c r="AA845">
        <v>46.903494600031898</v>
      </c>
      <c r="AB845">
        <v>46.903494600031898</v>
      </c>
      <c r="AC845">
        <v>47.475245999987202</v>
      </c>
      <c r="AD845" t="s">
        <v>57</v>
      </c>
      <c r="AE845">
        <v>1</v>
      </c>
      <c r="AF845">
        <v>0.56619009998394099</v>
      </c>
      <c r="AG845" t="s">
        <v>51</v>
      </c>
      <c r="AK845" t="s">
        <v>94</v>
      </c>
      <c r="AL845">
        <v>1</v>
      </c>
      <c r="AM845" t="s">
        <v>87</v>
      </c>
      <c r="AN845" t="s">
        <v>43</v>
      </c>
      <c r="AP845" t="s">
        <v>44</v>
      </c>
      <c r="AQ845">
        <v>60.129904655169099</v>
      </c>
      <c r="AR845" t="s">
        <v>88</v>
      </c>
    </row>
    <row r="846" spans="1:44" x14ac:dyDescent="0.3">
      <c r="A846" t="s">
        <v>74</v>
      </c>
      <c r="B846" t="s">
        <v>49</v>
      </c>
      <c r="C846" s="2" t="str">
        <f t="shared" si="13"/>
        <v>Neutral</v>
      </c>
      <c r="D846">
        <v>0.50781620002817296</v>
      </c>
      <c r="E846" t="s">
        <v>47</v>
      </c>
      <c r="F846" t="s">
        <v>48</v>
      </c>
      <c r="G846" t="s">
        <v>50</v>
      </c>
      <c r="H846">
        <v>37</v>
      </c>
      <c r="I846">
        <v>17</v>
      </c>
      <c r="J846">
        <v>1</v>
      </c>
      <c r="K846" t="s">
        <v>50</v>
      </c>
      <c r="L846">
        <v>1</v>
      </c>
      <c r="M846">
        <v>0.88553700002375901</v>
      </c>
      <c r="N846" t="s">
        <v>51</v>
      </c>
      <c r="O846">
        <v>1</v>
      </c>
      <c r="P846">
        <v>17</v>
      </c>
      <c r="Q846">
        <v>37</v>
      </c>
      <c r="R846">
        <v>11</v>
      </c>
      <c r="S846">
        <v>47.487069300026597</v>
      </c>
      <c r="X846">
        <v>47.478824799996801</v>
      </c>
      <c r="Y846">
        <v>47.487069300026597</v>
      </c>
      <c r="Z846">
        <v>47.9861775999888</v>
      </c>
      <c r="AA846">
        <v>47.9861775999888</v>
      </c>
      <c r="AB846">
        <v>47.9861775999888</v>
      </c>
      <c r="AC846">
        <v>48.874388900003296</v>
      </c>
      <c r="AD846" t="s">
        <v>50</v>
      </c>
      <c r="AE846">
        <v>1</v>
      </c>
      <c r="AF846">
        <v>0.88553700002375901</v>
      </c>
      <c r="AG846" t="s">
        <v>51</v>
      </c>
      <c r="AK846" t="s">
        <v>94</v>
      </c>
      <c r="AL846">
        <v>1</v>
      </c>
      <c r="AM846" t="s">
        <v>87</v>
      </c>
      <c r="AN846" t="s">
        <v>43</v>
      </c>
      <c r="AP846" t="s">
        <v>44</v>
      </c>
      <c r="AQ846">
        <v>60.129904655169099</v>
      </c>
      <c r="AR846" t="s">
        <v>88</v>
      </c>
    </row>
    <row r="847" spans="1:44" x14ac:dyDescent="0.3">
      <c r="A847" t="s">
        <v>68</v>
      </c>
      <c r="B847" t="s">
        <v>49</v>
      </c>
      <c r="C847" s="2" t="str">
        <f t="shared" si="13"/>
        <v>Emotional-I</v>
      </c>
      <c r="D847">
        <v>0.88798769999993898</v>
      </c>
      <c r="E847" t="s">
        <v>59</v>
      </c>
      <c r="F847" t="s">
        <v>53</v>
      </c>
      <c r="G847" t="s">
        <v>54</v>
      </c>
      <c r="H847">
        <v>38</v>
      </c>
      <c r="I847">
        <v>18</v>
      </c>
      <c r="J847">
        <v>1</v>
      </c>
      <c r="K847" t="s">
        <v>54</v>
      </c>
      <c r="L847">
        <v>1</v>
      </c>
      <c r="M847">
        <v>1.1418730999575899</v>
      </c>
      <c r="N847" t="s">
        <v>51</v>
      </c>
      <c r="O847">
        <v>1</v>
      </c>
      <c r="P847">
        <v>18</v>
      </c>
      <c r="Q847">
        <v>38</v>
      </c>
      <c r="R847">
        <v>6</v>
      </c>
      <c r="S847">
        <v>48.886091099993699</v>
      </c>
      <c r="X847">
        <v>48.877919499995102</v>
      </c>
      <c r="Y847">
        <v>48.886091099993699</v>
      </c>
      <c r="Z847">
        <v>49.385731499991302</v>
      </c>
      <c r="AA847">
        <v>49.385731499991302</v>
      </c>
      <c r="AB847">
        <v>49.385731499991302</v>
      </c>
      <c r="AC847">
        <v>50.540864799986501</v>
      </c>
      <c r="AD847" t="s">
        <v>54</v>
      </c>
      <c r="AE847">
        <v>1</v>
      </c>
      <c r="AF847">
        <v>1.1418730999575899</v>
      </c>
      <c r="AG847" t="s">
        <v>51</v>
      </c>
      <c r="AK847" t="s">
        <v>94</v>
      </c>
      <c r="AL847">
        <v>1</v>
      </c>
      <c r="AM847" t="s">
        <v>87</v>
      </c>
      <c r="AN847" t="s">
        <v>43</v>
      </c>
      <c r="AP847" t="s">
        <v>44</v>
      </c>
      <c r="AQ847">
        <v>60.129904655169099</v>
      </c>
      <c r="AR847" t="s">
        <v>88</v>
      </c>
    </row>
    <row r="848" spans="1:44" x14ac:dyDescent="0.3">
      <c r="A848" t="s">
        <v>73</v>
      </c>
      <c r="B848" t="s">
        <v>49</v>
      </c>
      <c r="C848" s="2" t="str">
        <f t="shared" si="13"/>
        <v>Emotional-I</v>
      </c>
      <c r="D848">
        <v>0.66550549998646602</v>
      </c>
      <c r="E848" t="s">
        <v>59</v>
      </c>
      <c r="F848" t="s">
        <v>56</v>
      </c>
      <c r="G848" t="s">
        <v>57</v>
      </c>
      <c r="H848">
        <v>39</v>
      </c>
      <c r="I848">
        <v>19</v>
      </c>
      <c r="J848">
        <v>1</v>
      </c>
      <c r="K848" t="s">
        <v>57</v>
      </c>
      <c r="L848">
        <v>1</v>
      </c>
      <c r="M848">
        <v>1.20084010000573</v>
      </c>
      <c r="N848" t="s">
        <v>51</v>
      </c>
      <c r="O848">
        <v>1</v>
      </c>
      <c r="P848">
        <v>19</v>
      </c>
      <c r="Q848">
        <v>39</v>
      </c>
      <c r="R848">
        <v>1</v>
      </c>
      <c r="S848">
        <v>50.552733900025402</v>
      </c>
      <c r="X848">
        <v>50.543315000017103</v>
      </c>
      <c r="Y848">
        <v>50.552733900025402</v>
      </c>
      <c r="Z848">
        <v>51.052928499993797</v>
      </c>
      <c r="AA848">
        <v>51.052928499993797</v>
      </c>
      <c r="AB848">
        <v>51.052928499993797</v>
      </c>
      <c r="AC848">
        <v>52.255899000039697</v>
      </c>
      <c r="AD848" t="s">
        <v>57</v>
      </c>
      <c r="AE848">
        <v>1</v>
      </c>
      <c r="AF848">
        <v>1.20084010000573</v>
      </c>
      <c r="AG848" t="s">
        <v>51</v>
      </c>
      <c r="AK848" t="s">
        <v>94</v>
      </c>
      <c r="AL848">
        <v>1</v>
      </c>
      <c r="AM848" t="s">
        <v>87</v>
      </c>
      <c r="AN848" t="s">
        <v>43</v>
      </c>
      <c r="AP848" t="s">
        <v>44</v>
      </c>
      <c r="AQ848">
        <v>60.129904655169099</v>
      </c>
      <c r="AR848" t="s">
        <v>88</v>
      </c>
    </row>
    <row r="849" spans="1:44" x14ac:dyDescent="0.3">
      <c r="A849" t="s">
        <v>76</v>
      </c>
      <c r="B849" t="s">
        <v>49</v>
      </c>
      <c r="C849" s="2" t="str">
        <f t="shared" si="13"/>
        <v>Emotional-I</v>
      </c>
      <c r="D849">
        <v>1.24780790001386</v>
      </c>
      <c r="E849" t="s">
        <v>59</v>
      </c>
      <c r="F849" t="s">
        <v>48</v>
      </c>
      <c r="G849" t="s">
        <v>50</v>
      </c>
      <c r="H849">
        <v>40</v>
      </c>
      <c r="I849">
        <v>0</v>
      </c>
      <c r="J849">
        <v>2</v>
      </c>
      <c r="K849" t="s">
        <v>50</v>
      </c>
      <c r="L849">
        <v>1</v>
      </c>
      <c r="M849">
        <v>0.93207470001652803</v>
      </c>
      <c r="N849" t="s">
        <v>51</v>
      </c>
      <c r="O849">
        <v>2</v>
      </c>
      <c r="P849">
        <v>0</v>
      </c>
      <c r="Q849">
        <v>40</v>
      </c>
      <c r="R849">
        <v>3</v>
      </c>
      <c r="S849">
        <v>52.270264399994602</v>
      </c>
      <c r="X849">
        <v>52.258836900000396</v>
      </c>
      <c r="Y849">
        <v>52.270264399994602</v>
      </c>
      <c r="Z849">
        <v>52.769257600011699</v>
      </c>
      <c r="AA849">
        <v>52.769257600011699</v>
      </c>
      <c r="AB849">
        <v>52.769257600011699</v>
      </c>
      <c r="AC849">
        <v>53.707140000013098</v>
      </c>
      <c r="AD849" t="s">
        <v>50</v>
      </c>
      <c r="AE849">
        <v>1</v>
      </c>
      <c r="AF849">
        <v>0.93207470001652803</v>
      </c>
      <c r="AG849" t="s">
        <v>51</v>
      </c>
      <c r="AK849" t="s">
        <v>94</v>
      </c>
      <c r="AL849">
        <v>1</v>
      </c>
      <c r="AM849" t="s">
        <v>87</v>
      </c>
      <c r="AN849" t="s">
        <v>43</v>
      </c>
      <c r="AP849" t="s">
        <v>44</v>
      </c>
      <c r="AQ849">
        <v>60.129904655169099</v>
      </c>
      <c r="AR849" t="s">
        <v>88</v>
      </c>
    </row>
    <row r="850" spans="1:44" x14ac:dyDescent="0.3">
      <c r="A850" t="s">
        <v>72</v>
      </c>
      <c r="B850" t="s">
        <v>62</v>
      </c>
      <c r="C850" s="2" t="str">
        <f t="shared" si="13"/>
        <v>Emotional-C</v>
      </c>
      <c r="D850">
        <v>0.73748999997042097</v>
      </c>
      <c r="E850" t="s">
        <v>59</v>
      </c>
      <c r="F850" t="s">
        <v>61</v>
      </c>
      <c r="G850" t="s">
        <v>63</v>
      </c>
      <c r="H850">
        <v>41</v>
      </c>
      <c r="I850">
        <v>1</v>
      </c>
      <c r="J850">
        <v>2</v>
      </c>
      <c r="K850" t="s">
        <v>63</v>
      </c>
      <c r="L850">
        <v>1</v>
      </c>
      <c r="M850">
        <v>0.59483429999090698</v>
      </c>
      <c r="N850" t="s">
        <v>51</v>
      </c>
      <c r="O850">
        <v>2</v>
      </c>
      <c r="P850">
        <v>1</v>
      </c>
      <c r="Q850">
        <v>41</v>
      </c>
      <c r="R850">
        <v>8</v>
      </c>
      <c r="S850">
        <v>53.719058500020701</v>
      </c>
      <c r="X850">
        <v>53.710251600015901</v>
      </c>
      <c r="Y850">
        <v>53.719058500020701</v>
      </c>
      <c r="Z850">
        <v>54.218936000019298</v>
      </c>
      <c r="AA850">
        <v>54.218936000019298</v>
      </c>
      <c r="AB850">
        <v>54.218936000019298</v>
      </c>
      <c r="AC850">
        <v>54.822197400033403</v>
      </c>
      <c r="AD850" t="s">
        <v>63</v>
      </c>
      <c r="AE850">
        <v>1</v>
      </c>
      <c r="AF850">
        <v>0.59483429999090698</v>
      </c>
      <c r="AG850" t="s">
        <v>51</v>
      </c>
      <c r="AK850" t="s">
        <v>94</v>
      </c>
      <c r="AL850">
        <v>1</v>
      </c>
      <c r="AM850" t="s">
        <v>87</v>
      </c>
      <c r="AN850" t="s">
        <v>43</v>
      </c>
      <c r="AP850" t="s">
        <v>44</v>
      </c>
      <c r="AQ850">
        <v>60.129904655169099</v>
      </c>
      <c r="AR850" t="s">
        <v>88</v>
      </c>
    </row>
    <row r="851" spans="1:44" x14ac:dyDescent="0.3">
      <c r="A851" t="s">
        <v>74</v>
      </c>
      <c r="B851" t="s">
        <v>49</v>
      </c>
      <c r="C851" s="2" t="str">
        <f t="shared" si="13"/>
        <v>Neutral</v>
      </c>
      <c r="D851">
        <v>0.63296979997539804</v>
      </c>
      <c r="E851" t="s">
        <v>47</v>
      </c>
      <c r="F851" t="s">
        <v>48</v>
      </c>
      <c r="G851" t="s">
        <v>50</v>
      </c>
      <c r="H851">
        <v>42</v>
      </c>
      <c r="I851">
        <v>2</v>
      </c>
      <c r="J851">
        <v>2</v>
      </c>
      <c r="K851" t="s">
        <v>50</v>
      </c>
      <c r="L851">
        <v>1</v>
      </c>
      <c r="M851">
        <v>1.24251609999919</v>
      </c>
      <c r="N851" t="s">
        <v>51</v>
      </c>
      <c r="O851">
        <v>2</v>
      </c>
      <c r="P851">
        <v>2</v>
      </c>
      <c r="Q851">
        <v>42</v>
      </c>
      <c r="R851">
        <v>11</v>
      </c>
      <c r="S851">
        <v>54.835833800025199</v>
      </c>
      <c r="X851">
        <v>54.824940700025699</v>
      </c>
      <c r="Y851">
        <v>54.835833800025199</v>
      </c>
      <c r="Z851">
        <v>55.335508299991403</v>
      </c>
      <c r="AA851">
        <v>55.335508299991403</v>
      </c>
      <c r="AB851">
        <v>55.335508299991403</v>
      </c>
      <c r="AC851">
        <v>56.589251300028899</v>
      </c>
      <c r="AD851" t="s">
        <v>50</v>
      </c>
      <c r="AE851">
        <v>1</v>
      </c>
      <c r="AF851">
        <v>1.24251609999919</v>
      </c>
      <c r="AG851" t="s">
        <v>51</v>
      </c>
      <c r="AK851" t="s">
        <v>94</v>
      </c>
      <c r="AL851">
        <v>1</v>
      </c>
      <c r="AM851" t="s">
        <v>87</v>
      </c>
      <c r="AN851" t="s">
        <v>43</v>
      </c>
      <c r="AP851" t="s">
        <v>44</v>
      </c>
      <c r="AQ851">
        <v>60.129904655169099</v>
      </c>
      <c r="AR851" t="s">
        <v>88</v>
      </c>
    </row>
    <row r="852" spans="1:44" x14ac:dyDescent="0.3">
      <c r="A852" t="s">
        <v>70</v>
      </c>
      <c r="B852" t="s">
        <v>49</v>
      </c>
      <c r="C852" s="2" t="str">
        <f t="shared" si="13"/>
        <v>Emotional-I</v>
      </c>
      <c r="D852">
        <v>0.728720699960831</v>
      </c>
      <c r="E852" t="s">
        <v>59</v>
      </c>
      <c r="F852" t="s">
        <v>53</v>
      </c>
      <c r="G852" t="s">
        <v>54</v>
      </c>
      <c r="H852">
        <v>43</v>
      </c>
      <c r="I852">
        <v>3</v>
      </c>
      <c r="J852">
        <v>2</v>
      </c>
      <c r="K852" t="s">
        <v>54</v>
      </c>
      <c r="L852">
        <v>1</v>
      </c>
      <c r="M852">
        <v>0.79261619999306199</v>
      </c>
      <c r="N852" t="s">
        <v>51</v>
      </c>
      <c r="O852">
        <v>2</v>
      </c>
      <c r="P852">
        <v>3</v>
      </c>
      <c r="Q852">
        <v>43</v>
      </c>
      <c r="R852">
        <v>2</v>
      </c>
      <c r="S852">
        <v>56.602292100025799</v>
      </c>
      <c r="X852">
        <v>56.592035400040899</v>
      </c>
      <c r="Y852">
        <v>56.602292100025799</v>
      </c>
      <c r="Z852">
        <v>57.1023490999941</v>
      </c>
      <c r="AA852">
        <v>57.1023490999941</v>
      </c>
      <c r="AB852">
        <v>57.1023490999941</v>
      </c>
      <c r="AC852">
        <v>57.9056423000292</v>
      </c>
      <c r="AD852" t="s">
        <v>54</v>
      </c>
      <c r="AE852">
        <v>1</v>
      </c>
      <c r="AF852">
        <v>0.79261619999306199</v>
      </c>
      <c r="AG852" t="s">
        <v>51</v>
      </c>
      <c r="AK852" t="s">
        <v>94</v>
      </c>
      <c r="AL852">
        <v>1</v>
      </c>
      <c r="AM852" t="s">
        <v>87</v>
      </c>
      <c r="AN852" t="s">
        <v>43</v>
      </c>
      <c r="AP852" t="s">
        <v>44</v>
      </c>
      <c r="AQ852">
        <v>60.129904655169099</v>
      </c>
      <c r="AR852" t="s">
        <v>88</v>
      </c>
    </row>
    <row r="853" spans="1:44" x14ac:dyDescent="0.3">
      <c r="A853" t="s">
        <v>65</v>
      </c>
      <c r="B853" t="s">
        <v>49</v>
      </c>
      <c r="C853" s="2" t="str">
        <f t="shared" si="13"/>
        <v>Emotional-I</v>
      </c>
      <c r="D853">
        <v>1.2674509999924299</v>
      </c>
      <c r="E853" t="s">
        <v>59</v>
      </c>
      <c r="F853" t="s">
        <v>56</v>
      </c>
      <c r="G853" t="s">
        <v>57</v>
      </c>
      <c r="H853">
        <v>44</v>
      </c>
      <c r="I853">
        <v>4</v>
      </c>
      <c r="J853">
        <v>2</v>
      </c>
      <c r="K853" t="s">
        <v>57</v>
      </c>
      <c r="L853">
        <v>1</v>
      </c>
      <c r="M853">
        <v>0.82680799998342902</v>
      </c>
      <c r="N853" t="s">
        <v>51</v>
      </c>
      <c r="O853">
        <v>2</v>
      </c>
      <c r="P853">
        <v>4</v>
      </c>
      <c r="Q853">
        <v>44</v>
      </c>
      <c r="R853">
        <v>9</v>
      </c>
      <c r="S853">
        <v>57.919175999995701</v>
      </c>
      <c r="X853">
        <v>57.908670200034898</v>
      </c>
      <c r="Y853">
        <v>57.919175999995701</v>
      </c>
      <c r="Z853">
        <v>58.4195573999895</v>
      </c>
      <c r="AA853">
        <v>58.4195573999895</v>
      </c>
      <c r="AB853">
        <v>58.4195573999895</v>
      </c>
      <c r="AC853">
        <v>59.255652800027697</v>
      </c>
      <c r="AD853" t="s">
        <v>57</v>
      </c>
      <c r="AE853">
        <v>1</v>
      </c>
      <c r="AF853">
        <v>0.82680799998342902</v>
      </c>
      <c r="AG853" t="s">
        <v>51</v>
      </c>
      <c r="AK853" t="s">
        <v>94</v>
      </c>
      <c r="AL853">
        <v>1</v>
      </c>
      <c r="AM853" t="s">
        <v>87</v>
      </c>
      <c r="AN853" t="s">
        <v>43</v>
      </c>
      <c r="AP853" t="s">
        <v>44</v>
      </c>
      <c r="AQ853">
        <v>60.129904655169099</v>
      </c>
      <c r="AR853" t="s">
        <v>88</v>
      </c>
    </row>
    <row r="854" spans="1:44" x14ac:dyDescent="0.3">
      <c r="A854" t="s">
        <v>58</v>
      </c>
      <c r="B854" t="s">
        <v>49</v>
      </c>
      <c r="C854" s="2" t="str">
        <f t="shared" si="13"/>
        <v>Emotional-I</v>
      </c>
      <c r="D854">
        <v>0.84580500004812997</v>
      </c>
      <c r="E854" t="s">
        <v>59</v>
      </c>
      <c r="F854" t="s">
        <v>48</v>
      </c>
      <c r="G854" t="s">
        <v>50</v>
      </c>
      <c r="H854">
        <v>45</v>
      </c>
      <c r="I854">
        <v>5</v>
      </c>
      <c r="J854">
        <v>2</v>
      </c>
      <c r="K854" t="s">
        <v>50</v>
      </c>
      <c r="L854">
        <v>1</v>
      </c>
      <c r="M854">
        <v>1.1483352000359399</v>
      </c>
      <c r="N854" t="s">
        <v>51</v>
      </c>
      <c r="O854">
        <v>2</v>
      </c>
      <c r="P854">
        <v>5</v>
      </c>
      <c r="Q854">
        <v>45</v>
      </c>
      <c r="R854">
        <v>7</v>
      </c>
      <c r="S854">
        <v>59.269301299995199</v>
      </c>
      <c r="X854">
        <v>59.258304100017902</v>
      </c>
      <c r="Y854">
        <v>59.269301299995199</v>
      </c>
      <c r="Z854">
        <v>59.768879300041498</v>
      </c>
      <c r="AA854">
        <v>59.768879300041498</v>
      </c>
      <c r="AB854">
        <v>59.768879300041498</v>
      </c>
      <c r="AC854">
        <v>60.923050699988302</v>
      </c>
      <c r="AD854" t="s">
        <v>50</v>
      </c>
      <c r="AE854">
        <v>1</v>
      </c>
      <c r="AF854">
        <v>1.1483352000359399</v>
      </c>
      <c r="AG854" t="s">
        <v>51</v>
      </c>
      <c r="AK854" t="s">
        <v>94</v>
      </c>
      <c r="AL854">
        <v>1</v>
      </c>
      <c r="AM854" t="s">
        <v>87</v>
      </c>
      <c r="AN854" t="s">
        <v>43</v>
      </c>
      <c r="AP854" t="s">
        <v>44</v>
      </c>
      <c r="AQ854">
        <v>60.129904655169099</v>
      </c>
      <c r="AR854" t="s">
        <v>88</v>
      </c>
    </row>
    <row r="855" spans="1:44" x14ac:dyDescent="0.3">
      <c r="A855" t="s">
        <v>73</v>
      </c>
      <c r="B855" t="s">
        <v>49</v>
      </c>
      <c r="C855" s="2" t="str">
        <f t="shared" si="13"/>
        <v>Emotional-I</v>
      </c>
      <c r="D855">
        <v>0.855514499999117</v>
      </c>
      <c r="E855" t="s">
        <v>59</v>
      </c>
      <c r="F855" t="s">
        <v>56</v>
      </c>
      <c r="G855" t="s">
        <v>57</v>
      </c>
      <c r="H855">
        <v>46</v>
      </c>
      <c r="I855">
        <v>6</v>
      </c>
      <c r="J855">
        <v>2</v>
      </c>
      <c r="K855" t="s">
        <v>57</v>
      </c>
      <c r="L855">
        <v>1</v>
      </c>
      <c r="M855">
        <v>0.949501600000076</v>
      </c>
      <c r="N855" t="s">
        <v>51</v>
      </c>
      <c r="O855">
        <v>2</v>
      </c>
      <c r="P855">
        <v>6</v>
      </c>
      <c r="Q855">
        <v>46</v>
      </c>
      <c r="R855">
        <v>1</v>
      </c>
      <c r="S855">
        <v>60.935612900007897</v>
      </c>
      <c r="X855">
        <v>60.926074000017202</v>
      </c>
      <c r="Y855">
        <v>60.935612900007897</v>
      </c>
      <c r="Z855">
        <v>61.435853600036303</v>
      </c>
      <c r="AA855">
        <v>61.435853600036303</v>
      </c>
      <c r="AB855">
        <v>61.435853600036303</v>
      </c>
      <c r="AC855">
        <v>62.389741600025403</v>
      </c>
      <c r="AD855" t="s">
        <v>57</v>
      </c>
      <c r="AE855">
        <v>1</v>
      </c>
      <c r="AF855">
        <v>0.949501600000076</v>
      </c>
      <c r="AG855" t="s">
        <v>51</v>
      </c>
      <c r="AK855" t="s">
        <v>94</v>
      </c>
      <c r="AL855">
        <v>1</v>
      </c>
      <c r="AM855" t="s">
        <v>87</v>
      </c>
      <c r="AN855" t="s">
        <v>43</v>
      </c>
      <c r="AP855" t="s">
        <v>44</v>
      </c>
      <c r="AQ855">
        <v>60.129904655169099</v>
      </c>
      <c r="AR855" t="s">
        <v>88</v>
      </c>
    </row>
    <row r="856" spans="1:44" x14ac:dyDescent="0.3">
      <c r="A856" t="s">
        <v>75</v>
      </c>
      <c r="B856" t="s">
        <v>49</v>
      </c>
      <c r="C856" s="2" t="str">
        <f t="shared" si="13"/>
        <v>Neutral</v>
      </c>
      <c r="D856">
        <v>1.36005040002055</v>
      </c>
      <c r="E856" t="s">
        <v>47</v>
      </c>
      <c r="F856" t="s">
        <v>61</v>
      </c>
      <c r="G856" t="s">
        <v>63</v>
      </c>
      <c r="H856">
        <v>47</v>
      </c>
      <c r="I856">
        <v>7</v>
      </c>
      <c r="J856">
        <v>2</v>
      </c>
      <c r="K856" t="s">
        <v>63</v>
      </c>
      <c r="L856">
        <v>1</v>
      </c>
      <c r="M856">
        <v>0.60172109998529699</v>
      </c>
      <c r="N856" t="s">
        <v>51</v>
      </c>
      <c r="O856">
        <v>2</v>
      </c>
      <c r="P856">
        <v>7</v>
      </c>
      <c r="Q856">
        <v>47</v>
      </c>
      <c r="R856">
        <v>16</v>
      </c>
      <c r="S856">
        <v>62.401967399986397</v>
      </c>
      <c r="X856">
        <v>62.392274999991002</v>
      </c>
      <c r="Y856">
        <v>62.401967399986397</v>
      </c>
      <c r="Z856">
        <v>62.903711599996299</v>
      </c>
      <c r="AA856">
        <v>62.903711599996299</v>
      </c>
      <c r="AB856">
        <v>62.903711599996299</v>
      </c>
      <c r="AC856">
        <v>63.506385100015898</v>
      </c>
      <c r="AD856" t="s">
        <v>63</v>
      </c>
      <c r="AE856">
        <v>1</v>
      </c>
      <c r="AF856">
        <v>0.60172109998529699</v>
      </c>
      <c r="AG856" t="s">
        <v>51</v>
      </c>
      <c r="AK856" t="s">
        <v>94</v>
      </c>
      <c r="AL856">
        <v>1</v>
      </c>
      <c r="AM856" t="s">
        <v>87</v>
      </c>
      <c r="AN856" t="s">
        <v>43</v>
      </c>
      <c r="AP856" t="s">
        <v>44</v>
      </c>
      <c r="AQ856">
        <v>60.129904655169099</v>
      </c>
      <c r="AR856" t="s">
        <v>88</v>
      </c>
    </row>
    <row r="857" spans="1:44" hidden="1" x14ac:dyDescent="0.3">
      <c r="A857" t="s">
        <v>78</v>
      </c>
      <c r="B857" t="s">
        <v>49</v>
      </c>
      <c r="C857" s="2" t="str">
        <f t="shared" si="13"/>
        <v>Neutral</v>
      </c>
      <c r="D857">
        <v>0.63687659997958601</v>
      </c>
      <c r="E857" t="s">
        <v>47</v>
      </c>
      <c r="F857" t="s">
        <v>56</v>
      </c>
      <c r="G857" t="s">
        <v>57</v>
      </c>
      <c r="H857">
        <v>48</v>
      </c>
      <c r="I857">
        <v>8</v>
      </c>
      <c r="J857">
        <v>2</v>
      </c>
      <c r="K857" t="s">
        <v>50</v>
      </c>
      <c r="L857">
        <v>0</v>
      </c>
      <c r="M857">
        <v>0.86756149999564502</v>
      </c>
      <c r="N857" t="s">
        <v>51</v>
      </c>
      <c r="O857">
        <v>2</v>
      </c>
      <c r="P857">
        <v>8</v>
      </c>
      <c r="Q857">
        <v>48</v>
      </c>
      <c r="R857">
        <v>17</v>
      </c>
      <c r="S857">
        <v>63.518869500025097</v>
      </c>
      <c r="X857">
        <v>63.509042499994301</v>
      </c>
      <c r="Y857">
        <v>63.518869500025097</v>
      </c>
      <c r="Z857">
        <v>64.018963400041599</v>
      </c>
      <c r="AA857">
        <v>64.018963400041599</v>
      </c>
      <c r="AB857">
        <v>64.018963400041599</v>
      </c>
      <c r="AC857">
        <v>64.889433900010701</v>
      </c>
      <c r="AD857" t="s">
        <v>50</v>
      </c>
      <c r="AE857">
        <v>0</v>
      </c>
      <c r="AF857">
        <v>0.86756149999564502</v>
      </c>
      <c r="AG857" t="s">
        <v>51</v>
      </c>
      <c r="AK857" t="s">
        <v>94</v>
      </c>
      <c r="AL857">
        <v>1</v>
      </c>
      <c r="AM857" t="s">
        <v>87</v>
      </c>
      <c r="AN857" t="s">
        <v>43</v>
      </c>
      <c r="AP857" t="s">
        <v>44</v>
      </c>
      <c r="AQ857">
        <v>60.129904655169099</v>
      </c>
      <c r="AR857" t="s">
        <v>88</v>
      </c>
    </row>
    <row r="858" spans="1:44" x14ac:dyDescent="0.3">
      <c r="A858" t="s">
        <v>69</v>
      </c>
      <c r="B858" t="s">
        <v>49</v>
      </c>
      <c r="C858" s="2" t="str">
        <f t="shared" si="13"/>
        <v>Emotional-I</v>
      </c>
      <c r="D858">
        <v>1.0854510000208299</v>
      </c>
      <c r="E858" t="s">
        <v>59</v>
      </c>
      <c r="F858" t="s">
        <v>56</v>
      </c>
      <c r="G858" t="s">
        <v>57</v>
      </c>
      <c r="H858">
        <v>49</v>
      </c>
      <c r="I858">
        <v>9</v>
      </c>
      <c r="J858">
        <v>2</v>
      </c>
      <c r="K858" t="s">
        <v>57</v>
      </c>
      <c r="L858">
        <v>1</v>
      </c>
      <c r="M858">
        <v>0.99005289998603896</v>
      </c>
      <c r="N858" t="s">
        <v>51</v>
      </c>
      <c r="O858">
        <v>2</v>
      </c>
      <c r="P858">
        <v>9</v>
      </c>
      <c r="Q858">
        <v>49</v>
      </c>
      <c r="R858">
        <v>5</v>
      </c>
      <c r="S858">
        <v>64.902098699996699</v>
      </c>
      <c r="X858">
        <v>64.892307900008703</v>
      </c>
      <c r="Y858">
        <v>64.902098699996699</v>
      </c>
      <c r="Z858">
        <v>65.402166299987499</v>
      </c>
      <c r="AA858">
        <v>65.402166299987499</v>
      </c>
      <c r="AB858">
        <v>65.402166299987499</v>
      </c>
      <c r="AC858">
        <v>66.406125400040693</v>
      </c>
      <c r="AD858" t="s">
        <v>57</v>
      </c>
      <c r="AE858">
        <v>1</v>
      </c>
      <c r="AF858">
        <v>0.99005289998603896</v>
      </c>
      <c r="AG858" t="s">
        <v>51</v>
      </c>
      <c r="AK858" t="s">
        <v>94</v>
      </c>
      <c r="AL858">
        <v>1</v>
      </c>
      <c r="AM858" t="s">
        <v>87</v>
      </c>
      <c r="AN858" t="s">
        <v>43</v>
      </c>
      <c r="AP858" t="s">
        <v>44</v>
      </c>
      <c r="AQ858">
        <v>60.129904655169099</v>
      </c>
      <c r="AR858" t="s">
        <v>88</v>
      </c>
    </row>
    <row r="859" spans="1:44" x14ac:dyDescent="0.3">
      <c r="A859" t="s">
        <v>46</v>
      </c>
      <c r="B859" t="s">
        <v>49</v>
      </c>
      <c r="C859" s="2" t="str">
        <f t="shared" si="13"/>
        <v>Neutral</v>
      </c>
      <c r="D859">
        <v>0.69199169997591503</v>
      </c>
      <c r="E859" t="s">
        <v>47</v>
      </c>
      <c r="F859" t="s">
        <v>48</v>
      </c>
      <c r="G859" t="s">
        <v>50</v>
      </c>
      <c r="H859">
        <v>50</v>
      </c>
      <c r="I859">
        <v>10</v>
      </c>
      <c r="J859">
        <v>2</v>
      </c>
      <c r="K859" t="s">
        <v>50</v>
      </c>
      <c r="L859">
        <v>1</v>
      </c>
      <c r="M859">
        <v>0.88536060001933903</v>
      </c>
      <c r="N859" t="s">
        <v>51</v>
      </c>
      <c r="O859">
        <v>2</v>
      </c>
      <c r="P859">
        <v>10</v>
      </c>
      <c r="Q859">
        <v>50</v>
      </c>
      <c r="R859">
        <v>19</v>
      </c>
      <c r="S859">
        <v>66.418508500035301</v>
      </c>
      <c r="X859">
        <v>66.408747699984801</v>
      </c>
      <c r="Y859">
        <v>66.418508500035301</v>
      </c>
      <c r="Z859">
        <v>66.918825500004402</v>
      </c>
      <c r="AA859">
        <v>66.918825500004402</v>
      </c>
      <c r="AB859">
        <v>66.918825500004402</v>
      </c>
      <c r="AC859">
        <v>67.806755800032903</v>
      </c>
      <c r="AD859" t="s">
        <v>50</v>
      </c>
      <c r="AE859">
        <v>1</v>
      </c>
      <c r="AF859">
        <v>0.88536060001933903</v>
      </c>
      <c r="AG859" t="s">
        <v>51</v>
      </c>
      <c r="AK859" t="s">
        <v>94</v>
      </c>
      <c r="AL859">
        <v>1</v>
      </c>
      <c r="AM859" t="s">
        <v>87</v>
      </c>
      <c r="AN859" t="s">
        <v>43</v>
      </c>
      <c r="AP859" t="s">
        <v>44</v>
      </c>
      <c r="AQ859">
        <v>60.129904655169099</v>
      </c>
      <c r="AR859" t="s">
        <v>88</v>
      </c>
    </row>
    <row r="860" spans="1:44" x14ac:dyDescent="0.3">
      <c r="A860" t="s">
        <v>55</v>
      </c>
      <c r="B860" t="s">
        <v>49</v>
      </c>
      <c r="C860" s="2" t="str">
        <f t="shared" si="13"/>
        <v>Neutral</v>
      </c>
      <c r="D860">
        <v>1.0184154000016801</v>
      </c>
      <c r="E860" t="s">
        <v>47</v>
      </c>
      <c r="F860" t="s">
        <v>56</v>
      </c>
      <c r="G860" t="s">
        <v>57</v>
      </c>
      <c r="H860">
        <v>51</v>
      </c>
      <c r="I860">
        <v>11</v>
      </c>
      <c r="J860">
        <v>2</v>
      </c>
      <c r="K860" t="s">
        <v>57</v>
      </c>
      <c r="L860">
        <v>1</v>
      </c>
      <c r="M860">
        <v>0.87168409995501805</v>
      </c>
      <c r="N860" t="s">
        <v>51</v>
      </c>
      <c r="O860">
        <v>2</v>
      </c>
      <c r="P860">
        <v>11</v>
      </c>
      <c r="Q860">
        <v>51</v>
      </c>
      <c r="R860">
        <v>13</v>
      </c>
      <c r="S860">
        <v>67.819044200004996</v>
      </c>
      <c r="X860">
        <v>67.8100892000366</v>
      </c>
      <c r="Y860">
        <v>67.819044200004996</v>
      </c>
      <c r="Z860">
        <v>68.318736299988799</v>
      </c>
      <c r="AA860">
        <v>68.318736299988799</v>
      </c>
      <c r="AB860">
        <v>68.318736299988799</v>
      </c>
      <c r="AC860">
        <v>69.205609700002199</v>
      </c>
      <c r="AD860" t="s">
        <v>57</v>
      </c>
      <c r="AE860">
        <v>1</v>
      </c>
      <c r="AF860">
        <v>0.87168409995501805</v>
      </c>
      <c r="AG860" t="s">
        <v>51</v>
      </c>
      <c r="AK860" t="s">
        <v>94</v>
      </c>
      <c r="AL860">
        <v>1</v>
      </c>
      <c r="AM860" t="s">
        <v>87</v>
      </c>
      <c r="AN860" t="s">
        <v>43</v>
      </c>
      <c r="AP860" t="s">
        <v>44</v>
      </c>
      <c r="AQ860">
        <v>60.129904655169099</v>
      </c>
      <c r="AR860" t="s">
        <v>88</v>
      </c>
    </row>
    <row r="861" spans="1:44" x14ac:dyDescent="0.3">
      <c r="A861" t="s">
        <v>66</v>
      </c>
      <c r="B861" t="s">
        <v>49</v>
      </c>
      <c r="C861" s="2" t="str">
        <f t="shared" si="13"/>
        <v>Neutral</v>
      </c>
      <c r="D861">
        <v>0.58544230001279995</v>
      </c>
      <c r="E861" t="s">
        <v>47</v>
      </c>
      <c r="F861" t="s">
        <v>61</v>
      </c>
      <c r="G861" t="s">
        <v>63</v>
      </c>
      <c r="H861">
        <v>52</v>
      </c>
      <c r="I861">
        <v>12</v>
      </c>
      <c r="J861">
        <v>2</v>
      </c>
      <c r="K861" t="s">
        <v>63</v>
      </c>
      <c r="L861">
        <v>1</v>
      </c>
      <c r="M861">
        <v>0.93327919999137499</v>
      </c>
      <c r="N861" t="s">
        <v>51</v>
      </c>
      <c r="O861">
        <v>2</v>
      </c>
      <c r="P861">
        <v>12</v>
      </c>
      <c r="Q861">
        <v>52</v>
      </c>
      <c r="R861">
        <v>12</v>
      </c>
      <c r="S861">
        <v>69.218449600040898</v>
      </c>
      <c r="X861">
        <v>69.208686600031797</v>
      </c>
      <c r="Y861">
        <v>69.218449600040898</v>
      </c>
      <c r="Z861">
        <v>69.718744000012506</v>
      </c>
      <c r="AA861">
        <v>69.718744000012506</v>
      </c>
      <c r="AB861">
        <v>69.718744000012506</v>
      </c>
      <c r="AC861">
        <v>70.655361999990404</v>
      </c>
      <c r="AD861" t="s">
        <v>63</v>
      </c>
      <c r="AE861">
        <v>1</v>
      </c>
      <c r="AF861">
        <v>0.93327919999137499</v>
      </c>
      <c r="AG861" t="s">
        <v>51</v>
      </c>
      <c r="AK861" t="s">
        <v>94</v>
      </c>
      <c r="AL861">
        <v>1</v>
      </c>
      <c r="AM861" t="s">
        <v>87</v>
      </c>
      <c r="AN861" t="s">
        <v>43</v>
      </c>
      <c r="AP861" t="s">
        <v>44</v>
      </c>
      <c r="AQ861">
        <v>60.129904655169099</v>
      </c>
      <c r="AR861" t="s">
        <v>88</v>
      </c>
    </row>
    <row r="862" spans="1:44" x14ac:dyDescent="0.3">
      <c r="A862" t="s">
        <v>71</v>
      </c>
      <c r="B862" t="s">
        <v>49</v>
      </c>
      <c r="C862" s="2" t="str">
        <f t="shared" si="13"/>
        <v>Neutral</v>
      </c>
      <c r="D862">
        <v>0.62620040000183497</v>
      </c>
      <c r="E862" t="s">
        <v>47</v>
      </c>
      <c r="F862" t="s">
        <v>48</v>
      </c>
      <c r="G862" t="s">
        <v>50</v>
      </c>
      <c r="H862">
        <v>53</v>
      </c>
      <c r="I862">
        <v>13</v>
      </c>
      <c r="J862">
        <v>2</v>
      </c>
      <c r="K862" t="s">
        <v>50</v>
      </c>
      <c r="L862">
        <v>1</v>
      </c>
      <c r="M862">
        <v>0.72952230001101204</v>
      </c>
      <c r="N862" t="s">
        <v>51</v>
      </c>
      <c r="O862">
        <v>2</v>
      </c>
      <c r="P862">
        <v>13</v>
      </c>
      <c r="Q862">
        <v>53</v>
      </c>
      <c r="R862">
        <v>15</v>
      </c>
      <c r="S862">
        <v>70.669271900027496</v>
      </c>
      <c r="X862">
        <v>70.657965600024895</v>
      </c>
      <c r="Y862">
        <v>70.669271900027496</v>
      </c>
      <c r="Z862">
        <v>71.168795100005795</v>
      </c>
      <c r="AA862">
        <v>71.168795100005795</v>
      </c>
      <c r="AB862">
        <v>71.168795100005795</v>
      </c>
      <c r="AC862">
        <v>71.906251500011393</v>
      </c>
      <c r="AD862" t="s">
        <v>50</v>
      </c>
      <c r="AE862">
        <v>1</v>
      </c>
      <c r="AF862">
        <v>0.72952230001101204</v>
      </c>
      <c r="AG862" t="s">
        <v>51</v>
      </c>
      <c r="AK862" t="s">
        <v>94</v>
      </c>
      <c r="AL862">
        <v>1</v>
      </c>
      <c r="AM862" t="s">
        <v>87</v>
      </c>
      <c r="AN862" t="s">
        <v>43</v>
      </c>
      <c r="AP862" t="s">
        <v>44</v>
      </c>
      <c r="AQ862">
        <v>60.129904655169099</v>
      </c>
      <c r="AR862" t="s">
        <v>88</v>
      </c>
    </row>
    <row r="863" spans="1:44" x14ac:dyDescent="0.3">
      <c r="A863" t="s">
        <v>77</v>
      </c>
      <c r="B863" t="s">
        <v>62</v>
      </c>
      <c r="C863" s="2" t="str">
        <f t="shared" si="13"/>
        <v>Emotional-C</v>
      </c>
      <c r="D863">
        <v>0.76781409996328798</v>
      </c>
      <c r="E863" t="s">
        <v>59</v>
      </c>
      <c r="F863" t="s">
        <v>61</v>
      </c>
      <c r="G863" t="s">
        <v>63</v>
      </c>
      <c r="H863">
        <v>54</v>
      </c>
      <c r="I863">
        <v>14</v>
      </c>
      <c r="J863">
        <v>2</v>
      </c>
      <c r="K863" t="s">
        <v>63</v>
      </c>
      <c r="L863">
        <v>1</v>
      </c>
      <c r="M863">
        <v>0.92975250002928</v>
      </c>
      <c r="N863" t="s">
        <v>51</v>
      </c>
      <c r="O863">
        <v>2</v>
      </c>
      <c r="P863">
        <v>14</v>
      </c>
      <c r="Q863">
        <v>54</v>
      </c>
      <c r="R863">
        <v>4</v>
      </c>
      <c r="S863">
        <v>71.919427399989203</v>
      </c>
      <c r="X863">
        <v>71.910137100028805</v>
      </c>
      <c r="Y863">
        <v>71.919427399989203</v>
      </c>
      <c r="Z863">
        <v>72.418463699985296</v>
      </c>
      <c r="AA863">
        <v>72.418463699985296</v>
      </c>
      <c r="AB863">
        <v>72.418463699985296</v>
      </c>
      <c r="AC863">
        <v>73.355805300001506</v>
      </c>
      <c r="AD863" t="s">
        <v>63</v>
      </c>
      <c r="AE863">
        <v>1</v>
      </c>
      <c r="AF863">
        <v>0.92975250002928</v>
      </c>
      <c r="AG863" t="s">
        <v>51</v>
      </c>
      <c r="AK863" t="s">
        <v>94</v>
      </c>
      <c r="AL863">
        <v>1</v>
      </c>
      <c r="AM863" t="s">
        <v>87</v>
      </c>
      <c r="AN863" t="s">
        <v>43</v>
      </c>
      <c r="AP863" t="s">
        <v>44</v>
      </c>
      <c r="AQ863">
        <v>60.129904655169099</v>
      </c>
      <c r="AR863" t="s">
        <v>88</v>
      </c>
    </row>
    <row r="864" spans="1:44" x14ac:dyDescent="0.3">
      <c r="A864" t="s">
        <v>67</v>
      </c>
      <c r="B864" t="s">
        <v>49</v>
      </c>
      <c r="C864" s="2" t="str">
        <f t="shared" si="13"/>
        <v>Neutral</v>
      </c>
      <c r="D864">
        <v>0.67093969997949898</v>
      </c>
      <c r="E864" t="s">
        <v>47</v>
      </c>
      <c r="F864" t="s">
        <v>53</v>
      </c>
      <c r="G864" t="s">
        <v>54</v>
      </c>
      <c r="H864">
        <v>55</v>
      </c>
      <c r="I864">
        <v>15</v>
      </c>
      <c r="J864">
        <v>2</v>
      </c>
      <c r="K864" t="s">
        <v>54</v>
      </c>
      <c r="L864">
        <v>1</v>
      </c>
      <c r="M864">
        <v>0.71451730001717795</v>
      </c>
      <c r="N864" t="s">
        <v>51</v>
      </c>
      <c r="O864">
        <v>2</v>
      </c>
      <c r="P864">
        <v>15</v>
      </c>
      <c r="Q864">
        <v>55</v>
      </c>
      <c r="R864">
        <v>10</v>
      </c>
      <c r="S864">
        <v>73.368484200036605</v>
      </c>
      <c r="X864">
        <v>73.3588879000162</v>
      </c>
      <c r="Y864">
        <v>73.368484200036605</v>
      </c>
      <c r="Z864">
        <v>73.868328100012107</v>
      </c>
      <c r="AA864">
        <v>73.868328100012107</v>
      </c>
      <c r="AB864">
        <v>73.868328100012107</v>
      </c>
      <c r="AC864">
        <v>74.590264199999993</v>
      </c>
      <c r="AD864" t="s">
        <v>54</v>
      </c>
      <c r="AE864">
        <v>1</v>
      </c>
      <c r="AF864">
        <v>0.71451730001717795</v>
      </c>
      <c r="AG864" t="s">
        <v>51</v>
      </c>
      <c r="AK864" t="s">
        <v>94</v>
      </c>
      <c r="AL864">
        <v>1</v>
      </c>
      <c r="AM864" t="s">
        <v>87</v>
      </c>
      <c r="AN864" t="s">
        <v>43</v>
      </c>
      <c r="AP864" t="s">
        <v>44</v>
      </c>
      <c r="AQ864">
        <v>60.129904655169099</v>
      </c>
      <c r="AR864" t="s">
        <v>88</v>
      </c>
    </row>
    <row r="865" spans="1:44" x14ac:dyDescent="0.3">
      <c r="A865" t="s">
        <v>68</v>
      </c>
      <c r="B865" t="s">
        <v>49</v>
      </c>
      <c r="C865" s="2" t="str">
        <f t="shared" si="13"/>
        <v>Emotional-I</v>
      </c>
      <c r="D865">
        <v>0.51151039998512704</v>
      </c>
      <c r="E865" t="s">
        <v>59</v>
      </c>
      <c r="F865" t="s">
        <v>53</v>
      </c>
      <c r="G865" t="s">
        <v>54</v>
      </c>
      <c r="H865">
        <v>56</v>
      </c>
      <c r="I865">
        <v>16</v>
      </c>
      <c r="J865">
        <v>2</v>
      </c>
      <c r="K865" t="s">
        <v>54</v>
      </c>
      <c r="L865">
        <v>1</v>
      </c>
      <c r="M865">
        <v>0.48893940000561997</v>
      </c>
      <c r="N865" t="s">
        <v>51</v>
      </c>
      <c r="O865">
        <v>2</v>
      </c>
      <c r="P865">
        <v>16</v>
      </c>
      <c r="Q865">
        <v>56</v>
      </c>
      <c r="R865">
        <v>6</v>
      </c>
      <c r="S865">
        <v>74.601597800035904</v>
      </c>
      <c r="X865">
        <v>74.592903800017595</v>
      </c>
      <c r="Y865">
        <v>74.601597800035904</v>
      </c>
      <c r="Z865">
        <v>75.102588900015604</v>
      </c>
      <c r="AA865">
        <v>75.102588900015604</v>
      </c>
      <c r="AB865">
        <v>75.102588900015604</v>
      </c>
      <c r="AC865">
        <v>75.605231299996305</v>
      </c>
      <c r="AD865" t="s">
        <v>54</v>
      </c>
      <c r="AE865">
        <v>1</v>
      </c>
      <c r="AF865">
        <v>0.48893940000561997</v>
      </c>
      <c r="AG865" t="s">
        <v>51</v>
      </c>
      <c r="AK865" t="s">
        <v>94</v>
      </c>
      <c r="AL865">
        <v>1</v>
      </c>
      <c r="AM865" t="s">
        <v>87</v>
      </c>
      <c r="AN865" t="s">
        <v>43</v>
      </c>
      <c r="AP865" t="s">
        <v>44</v>
      </c>
      <c r="AQ865">
        <v>60.129904655169099</v>
      </c>
      <c r="AR865" t="s">
        <v>88</v>
      </c>
    </row>
    <row r="866" spans="1:44" x14ac:dyDescent="0.3">
      <c r="A866" t="s">
        <v>52</v>
      </c>
      <c r="B866" t="s">
        <v>49</v>
      </c>
      <c r="C866" s="2" t="str">
        <f t="shared" si="13"/>
        <v>Neutral</v>
      </c>
      <c r="D866">
        <v>0.67250310000963498</v>
      </c>
      <c r="E866" t="s">
        <v>47</v>
      </c>
      <c r="F866" t="s">
        <v>53</v>
      </c>
      <c r="G866" t="s">
        <v>54</v>
      </c>
      <c r="H866">
        <v>57</v>
      </c>
      <c r="I866">
        <v>17</v>
      </c>
      <c r="J866">
        <v>2</v>
      </c>
      <c r="K866" t="s">
        <v>54</v>
      </c>
      <c r="L866">
        <v>1</v>
      </c>
      <c r="M866">
        <v>0.41223529999842801</v>
      </c>
      <c r="N866" t="s">
        <v>51</v>
      </c>
      <c r="O866">
        <v>2</v>
      </c>
      <c r="P866">
        <v>17</v>
      </c>
      <c r="Q866">
        <v>57</v>
      </c>
      <c r="R866">
        <v>14</v>
      </c>
      <c r="S866">
        <v>75.618248799990397</v>
      </c>
      <c r="X866">
        <v>75.608186600031303</v>
      </c>
      <c r="Y866">
        <v>75.618248799990397</v>
      </c>
      <c r="Z866">
        <v>76.118163200037003</v>
      </c>
      <c r="AA866">
        <v>76.118163200037003</v>
      </c>
      <c r="AB866">
        <v>76.118163200037003</v>
      </c>
      <c r="AC866">
        <v>76.538732999993897</v>
      </c>
      <c r="AD866" t="s">
        <v>54</v>
      </c>
      <c r="AE866">
        <v>1</v>
      </c>
      <c r="AF866">
        <v>0.41223529999842801</v>
      </c>
      <c r="AG866" t="s">
        <v>51</v>
      </c>
      <c r="AK866" t="s">
        <v>94</v>
      </c>
      <c r="AL866">
        <v>1</v>
      </c>
      <c r="AM866" t="s">
        <v>87</v>
      </c>
      <c r="AN866" t="s">
        <v>43</v>
      </c>
      <c r="AP866" t="s">
        <v>44</v>
      </c>
      <c r="AQ866">
        <v>60.129904655169099</v>
      </c>
      <c r="AR866" t="s">
        <v>88</v>
      </c>
    </row>
    <row r="867" spans="1:44" x14ac:dyDescent="0.3">
      <c r="A867" t="s">
        <v>64</v>
      </c>
      <c r="B867" t="s">
        <v>49</v>
      </c>
      <c r="C867" s="2" t="str">
        <f t="shared" si="13"/>
        <v>Neutral</v>
      </c>
      <c r="D867">
        <v>0.44200949999503703</v>
      </c>
      <c r="E867" t="s">
        <v>47</v>
      </c>
      <c r="F867" t="s">
        <v>53</v>
      </c>
      <c r="G867" t="s">
        <v>54</v>
      </c>
      <c r="H867">
        <v>58</v>
      </c>
      <c r="I867">
        <v>18</v>
      </c>
      <c r="J867">
        <v>2</v>
      </c>
      <c r="K867" t="s">
        <v>54</v>
      </c>
      <c r="L867">
        <v>1</v>
      </c>
      <c r="M867">
        <v>0.41847119998419602</v>
      </c>
      <c r="N867" t="s">
        <v>51</v>
      </c>
      <c r="O867">
        <v>2</v>
      </c>
      <c r="P867">
        <v>18</v>
      </c>
      <c r="Q867">
        <v>58</v>
      </c>
      <c r="R867">
        <v>18</v>
      </c>
      <c r="S867">
        <v>76.5518661999958</v>
      </c>
      <c r="X867">
        <v>76.541163299989407</v>
      </c>
      <c r="Y867">
        <v>76.5518661999958</v>
      </c>
      <c r="Z867">
        <v>77.052103099995193</v>
      </c>
      <c r="AA867">
        <v>77.052103099995193</v>
      </c>
      <c r="AB867">
        <v>77.052103099995193</v>
      </c>
      <c r="AC867">
        <v>77.472581900015896</v>
      </c>
      <c r="AD867" t="s">
        <v>54</v>
      </c>
      <c r="AE867">
        <v>1</v>
      </c>
      <c r="AF867">
        <v>0.41847119998419602</v>
      </c>
      <c r="AG867" t="s">
        <v>51</v>
      </c>
      <c r="AK867" t="s">
        <v>94</v>
      </c>
      <c r="AL867">
        <v>1</v>
      </c>
      <c r="AM867" t="s">
        <v>87</v>
      </c>
      <c r="AN867" t="s">
        <v>43</v>
      </c>
      <c r="AP867" t="s">
        <v>44</v>
      </c>
      <c r="AQ867">
        <v>60.129904655169099</v>
      </c>
      <c r="AR867" t="s">
        <v>88</v>
      </c>
    </row>
    <row r="868" spans="1:44" x14ac:dyDescent="0.3">
      <c r="A868" t="s">
        <v>60</v>
      </c>
      <c r="B868" t="s">
        <v>62</v>
      </c>
      <c r="C868" s="2" t="str">
        <f t="shared" si="13"/>
        <v>Emotional-C</v>
      </c>
      <c r="D868">
        <v>0.40042710001580401</v>
      </c>
      <c r="E868" t="s">
        <v>59</v>
      </c>
      <c r="F868" t="s">
        <v>61</v>
      </c>
      <c r="G868" t="s">
        <v>63</v>
      </c>
      <c r="H868">
        <v>59</v>
      </c>
      <c r="I868">
        <v>19</v>
      </c>
      <c r="J868">
        <v>2</v>
      </c>
      <c r="K868" t="s">
        <v>63</v>
      </c>
      <c r="L868">
        <v>1</v>
      </c>
      <c r="M868">
        <v>0.68561610003234796</v>
      </c>
      <c r="N868" t="s">
        <v>51</v>
      </c>
      <c r="O868">
        <v>2</v>
      </c>
      <c r="P868">
        <v>19</v>
      </c>
      <c r="Q868">
        <v>59</v>
      </c>
      <c r="R868">
        <v>0</v>
      </c>
      <c r="S868">
        <v>77.484731900040003</v>
      </c>
      <c r="X868">
        <v>77.4756600999971</v>
      </c>
      <c r="Y868">
        <v>77.484731900040003</v>
      </c>
      <c r="Z868">
        <v>77.984876000031306</v>
      </c>
      <c r="AA868">
        <v>77.984876000031306</v>
      </c>
      <c r="AB868">
        <v>77.984876000031306</v>
      </c>
      <c r="AC868">
        <v>78.672391600033706</v>
      </c>
      <c r="AD868" t="s">
        <v>63</v>
      </c>
      <c r="AE868">
        <v>1</v>
      </c>
      <c r="AF868">
        <v>0.68561610003234796</v>
      </c>
      <c r="AG868" t="s">
        <v>51</v>
      </c>
      <c r="AK868" t="s">
        <v>94</v>
      </c>
      <c r="AL868">
        <v>1</v>
      </c>
      <c r="AM868" t="s">
        <v>87</v>
      </c>
      <c r="AN868" t="s">
        <v>43</v>
      </c>
      <c r="AP868" t="s">
        <v>44</v>
      </c>
      <c r="AQ868">
        <v>60.129904655169099</v>
      </c>
      <c r="AR868" t="s">
        <v>88</v>
      </c>
    </row>
    <row r="869" spans="1:44" x14ac:dyDescent="0.3">
      <c r="A869" t="s">
        <v>52</v>
      </c>
      <c r="B869" t="s">
        <v>49</v>
      </c>
      <c r="C869" s="2" t="str">
        <f t="shared" si="13"/>
        <v>Neutral</v>
      </c>
      <c r="D869">
        <v>0.69880890002241303</v>
      </c>
      <c r="E869" t="s">
        <v>47</v>
      </c>
      <c r="F869" t="s">
        <v>53</v>
      </c>
      <c r="G869" t="s">
        <v>54</v>
      </c>
      <c r="H869">
        <v>60</v>
      </c>
      <c r="I869">
        <v>0</v>
      </c>
      <c r="J869">
        <v>3</v>
      </c>
      <c r="K869" t="s">
        <v>54</v>
      </c>
      <c r="L869">
        <v>1</v>
      </c>
      <c r="M869">
        <v>0.62058359995717105</v>
      </c>
      <c r="N869" t="s">
        <v>51</v>
      </c>
      <c r="O869">
        <v>3</v>
      </c>
      <c r="P869">
        <v>0</v>
      </c>
      <c r="Q869">
        <v>60</v>
      </c>
      <c r="R869">
        <v>14</v>
      </c>
      <c r="S869">
        <v>78.684706000029095</v>
      </c>
      <c r="X869">
        <v>78.675112500029996</v>
      </c>
      <c r="Y869">
        <v>78.684706000029095</v>
      </c>
      <c r="Z869">
        <v>79.185257700039003</v>
      </c>
      <c r="AA869">
        <v>79.185257700039003</v>
      </c>
      <c r="AB869">
        <v>79.185257700039003</v>
      </c>
      <c r="AC869">
        <v>79.822083500039298</v>
      </c>
      <c r="AD869" t="s">
        <v>54</v>
      </c>
      <c r="AE869">
        <v>1</v>
      </c>
      <c r="AF869">
        <v>0.62058359995717105</v>
      </c>
      <c r="AG869" t="s">
        <v>51</v>
      </c>
      <c r="AK869" t="s">
        <v>94</v>
      </c>
      <c r="AL869">
        <v>1</v>
      </c>
      <c r="AM869" t="s">
        <v>87</v>
      </c>
      <c r="AN869" t="s">
        <v>43</v>
      </c>
      <c r="AP869" t="s">
        <v>44</v>
      </c>
      <c r="AQ869">
        <v>60.129904655169099</v>
      </c>
      <c r="AR869" t="s">
        <v>88</v>
      </c>
    </row>
    <row r="870" spans="1:44" x14ac:dyDescent="0.3">
      <c r="A870" t="s">
        <v>76</v>
      </c>
      <c r="B870" t="s">
        <v>49</v>
      </c>
      <c r="C870" s="2" t="str">
        <f t="shared" si="13"/>
        <v>Emotional-I</v>
      </c>
      <c r="D870">
        <v>0.74952109996229399</v>
      </c>
      <c r="E870" t="s">
        <v>59</v>
      </c>
      <c r="F870" t="s">
        <v>48</v>
      </c>
      <c r="G870" t="s">
        <v>50</v>
      </c>
      <c r="H870">
        <v>61</v>
      </c>
      <c r="I870">
        <v>1</v>
      </c>
      <c r="J870">
        <v>3</v>
      </c>
      <c r="K870" t="s">
        <v>50</v>
      </c>
      <c r="L870">
        <v>1</v>
      </c>
      <c r="M870">
        <v>0.60547459998633701</v>
      </c>
      <c r="N870" t="s">
        <v>51</v>
      </c>
      <c r="O870">
        <v>3</v>
      </c>
      <c r="P870">
        <v>1</v>
      </c>
      <c r="Q870">
        <v>61</v>
      </c>
      <c r="R870">
        <v>3</v>
      </c>
      <c r="S870">
        <v>79.834770300018107</v>
      </c>
      <c r="X870">
        <v>79.824665600026407</v>
      </c>
      <c r="Y870">
        <v>79.834770300018107</v>
      </c>
      <c r="Z870">
        <v>80.335110099986196</v>
      </c>
      <c r="AA870">
        <v>80.335110099986196</v>
      </c>
      <c r="AB870">
        <v>80.335110099986196</v>
      </c>
      <c r="AC870">
        <v>80.956935800029896</v>
      </c>
      <c r="AD870" t="s">
        <v>50</v>
      </c>
      <c r="AE870">
        <v>1</v>
      </c>
      <c r="AF870">
        <v>0.60547459998633701</v>
      </c>
      <c r="AG870" t="s">
        <v>51</v>
      </c>
      <c r="AK870" t="s">
        <v>94</v>
      </c>
      <c r="AL870">
        <v>1</v>
      </c>
      <c r="AM870" t="s">
        <v>87</v>
      </c>
      <c r="AN870" t="s">
        <v>43</v>
      </c>
      <c r="AP870" t="s">
        <v>44</v>
      </c>
      <c r="AQ870">
        <v>60.129904655169099</v>
      </c>
      <c r="AR870" t="s">
        <v>88</v>
      </c>
    </row>
    <row r="871" spans="1:44" x14ac:dyDescent="0.3">
      <c r="A871" t="s">
        <v>72</v>
      </c>
      <c r="B871" t="s">
        <v>62</v>
      </c>
      <c r="C871" s="2" t="str">
        <f t="shared" si="13"/>
        <v>Emotional-C</v>
      </c>
      <c r="D871">
        <v>0.80227710003964603</v>
      </c>
      <c r="E871" t="s">
        <v>59</v>
      </c>
      <c r="F871" t="s">
        <v>61</v>
      </c>
      <c r="G871" t="s">
        <v>63</v>
      </c>
      <c r="H871">
        <v>62</v>
      </c>
      <c r="I871">
        <v>2</v>
      </c>
      <c r="J871">
        <v>3</v>
      </c>
      <c r="K871" t="s">
        <v>63</v>
      </c>
      <c r="L871">
        <v>1</v>
      </c>
      <c r="M871">
        <v>0.64799759996822104</v>
      </c>
      <c r="N871" t="s">
        <v>51</v>
      </c>
      <c r="O871">
        <v>3</v>
      </c>
      <c r="P871">
        <v>2</v>
      </c>
      <c r="Q871">
        <v>62</v>
      </c>
      <c r="R871">
        <v>8</v>
      </c>
      <c r="S871">
        <v>80.968017200008006</v>
      </c>
      <c r="X871">
        <v>80.959812999994</v>
      </c>
      <c r="Y871">
        <v>80.968017200008006</v>
      </c>
      <c r="Z871">
        <v>81.467797000019303</v>
      </c>
      <c r="AA871">
        <v>81.467797000019303</v>
      </c>
      <c r="AB871">
        <v>81.467797000019303</v>
      </c>
      <c r="AC871">
        <v>82.122312500025103</v>
      </c>
      <c r="AD871" t="s">
        <v>63</v>
      </c>
      <c r="AE871">
        <v>1</v>
      </c>
      <c r="AF871">
        <v>0.64799759996822104</v>
      </c>
      <c r="AG871" t="s">
        <v>51</v>
      </c>
      <c r="AK871" t="s">
        <v>94</v>
      </c>
      <c r="AL871">
        <v>1</v>
      </c>
      <c r="AM871" t="s">
        <v>87</v>
      </c>
      <c r="AN871" t="s">
        <v>43</v>
      </c>
      <c r="AP871" t="s">
        <v>44</v>
      </c>
      <c r="AQ871">
        <v>60.129904655169099</v>
      </c>
      <c r="AR871" t="s">
        <v>88</v>
      </c>
    </row>
    <row r="872" spans="1:44" hidden="1" x14ac:dyDescent="0.3">
      <c r="A872" t="s">
        <v>46</v>
      </c>
      <c r="B872" t="s">
        <v>49</v>
      </c>
      <c r="C872" s="2" t="str">
        <f t="shared" si="13"/>
        <v>Neutral</v>
      </c>
      <c r="D872">
        <v>1.0563735999749</v>
      </c>
      <c r="E872" t="s">
        <v>47</v>
      </c>
      <c r="F872" t="s">
        <v>48</v>
      </c>
      <c r="G872" t="s">
        <v>50</v>
      </c>
      <c r="H872">
        <v>63</v>
      </c>
      <c r="I872">
        <v>3</v>
      </c>
      <c r="J872">
        <v>3</v>
      </c>
      <c r="K872" t="s">
        <v>57</v>
      </c>
      <c r="L872">
        <v>0</v>
      </c>
      <c r="M872">
        <v>1.01238499995088</v>
      </c>
      <c r="N872" t="s">
        <v>51</v>
      </c>
      <c r="O872">
        <v>3</v>
      </c>
      <c r="P872">
        <v>3</v>
      </c>
      <c r="Q872">
        <v>63</v>
      </c>
      <c r="R872">
        <v>19</v>
      </c>
      <c r="S872">
        <v>82.135307600023197</v>
      </c>
      <c r="X872">
        <v>82.124825100007001</v>
      </c>
      <c r="Y872">
        <v>82.135307600023197</v>
      </c>
      <c r="Z872">
        <v>82.634639099997003</v>
      </c>
      <c r="AA872">
        <v>82.634639099997003</v>
      </c>
      <c r="AB872">
        <v>82.634639099997003</v>
      </c>
      <c r="AC872">
        <v>83.654924500035094</v>
      </c>
      <c r="AD872" t="s">
        <v>57</v>
      </c>
      <c r="AE872">
        <v>0</v>
      </c>
      <c r="AF872">
        <v>1.01238499995088</v>
      </c>
      <c r="AG872" t="s">
        <v>51</v>
      </c>
      <c r="AK872" t="s">
        <v>94</v>
      </c>
      <c r="AL872">
        <v>1</v>
      </c>
      <c r="AM872" t="s">
        <v>87</v>
      </c>
      <c r="AN872" t="s">
        <v>43</v>
      </c>
      <c r="AP872" t="s">
        <v>44</v>
      </c>
      <c r="AQ872">
        <v>60.129904655169099</v>
      </c>
      <c r="AR872" t="s">
        <v>88</v>
      </c>
    </row>
    <row r="873" spans="1:44" x14ac:dyDescent="0.3">
      <c r="A873" t="s">
        <v>65</v>
      </c>
      <c r="B873" t="s">
        <v>49</v>
      </c>
      <c r="C873" s="2" t="str">
        <f t="shared" si="13"/>
        <v>Emotional-I</v>
      </c>
      <c r="D873">
        <v>0.82527620001928803</v>
      </c>
      <c r="E873" t="s">
        <v>59</v>
      </c>
      <c r="F873" t="s">
        <v>56</v>
      </c>
      <c r="G873" t="s">
        <v>57</v>
      </c>
      <c r="H873">
        <v>64</v>
      </c>
      <c r="I873">
        <v>4</v>
      </c>
      <c r="J873">
        <v>3</v>
      </c>
      <c r="K873" t="s">
        <v>57</v>
      </c>
      <c r="L873">
        <v>1</v>
      </c>
      <c r="M873">
        <v>0.578986099979374</v>
      </c>
      <c r="N873" t="s">
        <v>51</v>
      </c>
      <c r="O873">
        <v>3</v>
      </c>
      <c r="P873">
        <v>4</v>
      </c>
      <c r="Q873">
        <v>64</v>
      </c>
      <c r="R873">
        <v>9</v>
      </c>
      <c r="S873">
        <v>83.667698300036093</v>
      </c>
      <c r="X873">
        <v>83.657915399991893</v>
      </c>
      <c r="Y873">
        <v>83.667698300036093</v>
      </c>
      <c r="Z873">
        <v>84.168421300011602</v>
      </c>
      <c r="AA873">
        <v>84.168421300011602</v>
      </c>
      <c r="AB873">
        <v>84.168421300011602</v>
      </c>
      <c r="AC873">
        <v>84.754928799986303</v>
      </c>
      <c r="AD873" t="s">
        <v>57</v>
      </c>
      <c r="AE873">
        <v>1</v>
      </c>
      <c r="AF873">
        <v>0.578986099979374</v>
      </c>
      <c r="AG873" t="s">
        <v>51</v>
      </c>
      <c r="AK873" t="s">
        <v>94</v>
      </c>
      <c r="AL873">
        <v>1</v>
      </c>
      <c r="AM873" t="s">
        <v>87</v>
      </c>
      <c r="AN873" t="s">
        <v>43</v>
      </c>
      <c r="AP873" t="s">
        <v>44</v>
      </c>
      <c r="AQ873">
        <v>60.129904655169099</v>
      </c>
      <c r="AR873" t="s">
        <v>88</v>
      </c>
    </row>
    <row r="874" spans="1:44" x14ac:dyDescent="0.3">
      <c r="A874" t="s">
        <v>77</v>
      </c>
      <c r="B874" t="s">
        <v>62</v>
      </c>
      <c r="C874" s="2" t="str">
        <f t="shared" si="13"/>
        <v>Emotional-C</v>
      </c>
      <c r="D874">
        <v>0.66088719997787804</v>
      </c>
      <c r="E874" t="s">
        <v>59</v>
      </c>
      <c r="F874" t="s">
        <v>61</v>
      </c>
      <c r="G874" t="s">
        <v>63</v>
      </c>
      <c r="H874">
        <v>65</v>
      </c>
      <c r="I874">
        <v>5</v>
      </c>
      <c r="J874">
        <v>3</v>
      </c>
      <c r="K874" t="s">
        <v>63</v>
      </c>
      <c r="L874">
        <v>1</v>
      </c>
      <c r="M874">
        <v>0.58805439999559805</v>
      </c>
      <c r="N874" t="s">
        <v>51</v>
      </c>
      <c r="O874">
        <v>3</v>
      </c>
      <c r="P874">
        <v>5</v>
      </c>
      <c r="Q874">
        <v>65</v>
      </c>
      <c r="R874">
        <v>4</v>
      </c>
      <c r="S874">
        <v>84.768181900028097</v>
      </c>
      <c r="X874">
        <v>84.757918599992905</v>
      </c>
      <c r="Y874">
        <v>84.768181900028097</v>
      </c>
      <c r="Z874">
        <v>85.267854000034205</v>
      </c>
      <c r="AA874">
        <v>85.267854000034205</v>
      </c>
      <c r="AB874">
        <v>85.267854000034205</v>
      </c>
      <c r="AC874">
        <v>85.871409200015407</v>
      </c>
      <c r="AD874" t="s">
        <v>63</v>
      </c>
      <c r="AE874">
        <v>1</v>
      </c>
      <c r="AF874">
        <v>0.58805439999559805</v>
      </c>
      <c r="AG874" t="s">
        <v>51</v>
      </c>
      <c r="AK874" t="s">
        <v>94</v>
      </c>
      <c r="AL874">
        <v>1</v>
      </c>
      <c r="AM874" t="s">
        <v>87</v>
      </c>
      <c r="AN874" t="s">
        <v>43</v>
      </c>
      <c r="AP874" t="s">
        <v>44</v>
      </c>
      <c r="AQ874">
        <v>60.129904655169099</v>
      </c>
      <c r="AR874" t="s">
        <v>88</v>
      </c>
    </row>
    <row r="875" spans="1:44" x14ac:dyDescent="0.3">
      <c r="A875" t="s">
        <v>69</v>
      </c>
      <c r="B875" t="s">
        <v>49</v>
      </c>
      <c r="C875" s="2" t="str">
        <f t="shared" si="13"/>
        <v>Emotional-I</v>
      </c>
      <c r="D875">
        <v>0.55217450001509805</v>
      </c>
      <c r="E875" t="s">
        <v>59</v>
      </c>
      <c r="F875" t="s">
        <v>56</v>
      </c>
      <c r="G875" t="s">
        <v>57</v>
      </c>
      <c r="H875">
        <v>66</v>
      </c>
      <c r="I875">
        <v>6</v>
      </c>
      <c r="J875">
        <v>3</v>
      </c>
      <c r="K875" t="s">
        <v>57</v>
      </c>
      <c r="L875">
        <v>1</v>
      </c>
      <c r="M875">
        <v>1.1273412000155001</v>
      </c>
      <c r="N875" t="s">
        <v>51</v>
      </c>
      <c r="O875">
        <v>3</v>
      </c>
      <c r="P875">
        <v>6</v>
      </c>
      <c r="Q875">
        <v>66</v>
      </c>
      <c r="R875">
        <v>5</v>
      </c>
      <c r="S875">
        <v>85.884439099987503</v>
      </c>
      <c r="X875">
        <v>85.875349400041102</v>
      </c>
      <c r="Y875">
        <v>85.884439099987503</v>
      </c>
      <c r="Z875">
        <v>86.385177700023604</v>
      </c>
      <c r="AA875">
        <v>86.385177700023604</v>
      </c>
      <c r="AB875">
        <v>86.385177700023604</v>
      </c>
      <c r="AC875">
        <v>87.521966600033906</v>
      </c>
      <c r="AD875" t="s">
        <v>57</v>
      </c>
      <c r="AE875">
        <v>1</v>
      </c>
      <c r="AF875">
        <v>1.1273412000155001</v>
      </c>
      <c r="AG875" t="s">
        <v>51</v>
      </c>
      <c r="AK875" t="s">
        <v>94</v>
      </c>
      <c r="AL875">
        <v>1</v>
      </c>
      <c r="AM875" t="s">
        <v>87</v>
      </c>
      <c r="AN875" t="s">
        <v>43</v>
      </c>
      <c r="AP875" t="s">
        <v>44</v>
      </c>
      <c r="AQ875">
        <v>60.129904655169099</v>
      </c>
      <c r="AR875" t="s">
        <v>88</v>
      </c>
    </row>
    <row r="876" spans="1:44" x14ac:dyDescent="0.3">
      <c r="A876" t="s">
        <v>64</v>
      </c>
      <c r="B876" t="s">
        <v>49</v>
      </c>
      <c r="C876" s="2" t="str">
        <f t="shared" si="13"/>
        <v>Neutral</v>
      </c>
      <c r="D876">
        <v>0.67274049995467</v>
      </c>
      <c r="E876" t="s">
        <v>47</v>
      </c>
      <c r="F876" t="s">
        <v>53</v>
      </c>
      <c r="G876" t="s">
        <v>54</v>
      </c>
      <c r="H876">
        <v>67</v>
      </c>
      <c r="I876">
        <v>7</v>
      </c>
      <c r="J876">
        <v>3</v>
      </c>
      <c r="K876" t="s">
        <v>54</v>
      </c>
      <c r="L876">
        <v>1</v>
      </c>
      <c r="M876">
        <v>0.729228700045496</v>
      </c>
      <c r="N876" t="s">
        <v>51</v>
      </c>
      <c r="O876">
        <v>3</v>
      </c>
      <c r="P876">
        <v>7</v>
      </c>
      <c r="Q876">
        <v>67</v>
      </c>
      <c r="R876">
        <v>18</v>
      </c>
      <c r="S876">
        <v>87.534933499991894</v>
      </c>
      <c r="X876">
        <v>87.524484499997897</v>
      </c>
      <c r="Y876">
        <v>87.534933499991894</v>
      </c>
      <c r="Z876">
        <v>88.035014100023503</v>
      </c>
      <c r="AA876">
        <v>88.035014100023503</v>
      </c>
      <c r="AB876">
        <v>88.035014100023503</v>
      </c>
      <c r="AC876">
        <v>88.771436800016005</v>
      </c>
      <c r="AD876" t="s">
        <v>54</v>
      </c>
      <c r="AE876">
        <v>1</v>
      </c>
      <c r="AF876">
        <v>0.729228700045496</v>
      </c>
      <c r="AG876" t="s">
        <v>51</v>
      </c>
      <c r="AK876" t="s">
        <v>94</v>
      </c>
      <c r="AL876">
        <v>1</v>
      </c>
      <c r="AM876" t="s">
        <v>87</v>
      </c>
      <c r="AN876" t="s">
        <v>43</v>
      </c>
      <c r="AP876" t="s">
        <v>44</v>
      </c>
      <c r="AQ876">
        <v>60.129904655169099</v>
      </c>
      <c r="AR876" t="s">
        <v>88</v>
      </c>
    </row>
    <row r="877" spans="1:44" x14ac:dyDescent="0.3">
      <c r="A877" t="s">
        <v>74</v>
      </c>
      <c r="B877" t="s">
        <v>49</v>
      </c>
      <c r="C877" s="2" t="str">
        <f t="shared" si="13"/>
        <v>Neutral</v>
      </c>
      <c r="D877">
        <v>0.586190200003329</v>
      </c>
      <c r="E877" t="s">
        <v>47</v>
      </c>
      <c r="F877" t="s">
        <v>48</v>
      </c>
      <c r="G877" t="s">
        <v>50</v>
      </c>
      <c r="H877">
        <v>68</v>
      </c>
      <c r="I877">
        <v>8</v>
      </c>
      <c r="J877">
        <v>3</v>
      </c>
      <c r="K877" t="s">
        <v>50</v>
      </c>
      <c r="L877">
        <v>1</v>
      </c>
      <c r="M877">
        <v>0.47972689999733098</v>
      </c>
      <c r="N877" t="s">
        <v>51</v>
      </c>
      <c r="O877">
        <v>3</v>
      </c>
      <c r="P877">
        <v>8</v>
      </c>
      <c r="Q877">
        <v>68</v>
      </c>
      <c r="R877">
        <v>11</v>
      </c>
      <c r="S877">
        <v>88.784486000018603</v>
      </c>
      <c r="X877">
        <v>88.774098200024994</v>
      </c>
      <c r="Y877">
        <v>88.784486000018603</v>
      </c>
      <c r="Z877">
        <v>89.284134600020394</v>
      </c>
      <c r="AA877">
        <v>89.284134600020394</v>
      </c>
      <c r="AB877">
        <v>89.284134600020394</v>
      </c>
      <c r="AC877">
        <v>89.771292200020895</v>
      </c>
      <c r="AD877" t="s">
        <v>50</v>
      </c>
      <c r="AE877">
        <v>1</v>
      </c>
      <c r="AF877">
        <v>0.47972689999733098</v>
      </c>
      <c r="AG877" t="s">
        <v>51</v>
      </c>
      <c r="AK877" t="s">
        <v>94</v>
      </c>
      <c r="AL877">
        <v>1</v>
      </c>
      <c r="AM877" t="s">
        <v>87</v>
      </c>
      <c r="AN877" t="s">
        <v>43</v>
      </c>
      <c r="AP877" t="s">
        <v>44</v>
      </c>
      <c r="AQ877">
        <v>60.129904655169099</v>
      </c>
      <c r="AR877" t="s">
        <v>88</v>
      </c>
    </row>
    <row r="878" spans="1:44" x14ac:dyDescent="0.3">
      <c r="A878" t="s">
        <v>55</v>
      </c>
      <c r="B878" t="s">
        <v>49</v>
      </c>
      <c r="C878" s="2" t="str">
        <f t="shared" si="13"/>
        <v>Neutral</v>
      </c>
      <c r="D878">
        <v>0.80024609999964003</v>
      </c>
      <c r="E878" t="s">
        <v>47</v>
      </c>
      <c r="F878" t="s">
        <v>56</v>
      </c>
      <c r="G878" t="s">
        <v>57</v>
      </c>
      <c r="H878">
        <v>69</v>
      </c>
      <c r="I878">
        <v>9</v>
      </c>
      <c r="J878">
        <v>3</v>
      </c>
      <c r="K878" t="s">
        <v>57</v>
      </c>
      <c r="L878">
        <v>1</v>
      </c>
      <c r="M878">
        <v>0.68389479996403602</v>
      </c>
      <c r="N878" t="s">
        <v>51</v>
      </c>
      <c r="O878">
        <v>3</v>
      </c>
      <c r="P878">
        <v>9</v>
      </c>
      <c r="Q878">
        <v>69</v>
      </c>
      <c r="R878">
        <v>13</v>
      </c>
      <c r="S878">
        <v>89.784421199990902</v>
      </c>
      <c r="X878">
        <v>89.773826599994194</v>
      </c>
      <c r="Y878">
        <v>89.784421199990902</v>
      </c>
      <c r="Z878">
        <v>90.284828300005699</v>
      </c>
      <c r="AA878">
        <v>90.284828300005699</v>
      </c>
      <c r="AB878">
        <v>90.284828300005699</v>
      </c>
      <c r="AC878">
        <v>90.971697900036801</v>
      </c>
      <c r="AD878" t="s">
        <v>57</v>
      </c>
      <c r="AE878">
        <v>1</v>
      </c>
      <c r="AF878">
        <v>0.68389479996403602</v>
      </c>
      <c r="AG878" t="s">
        <v>51</v>
      </c>
      <c r="AK878" t="s">
        <v>94</v>
      </c>
      <c r="AL878">
        <v>1</v>
      </c>
      <c r="AM878" t="s">
        <v>87</v>
      </c>
      <c r="AN878" t="s">
        <v>43</v>
      </c>
      <c r="AP878" t="s">
        <v>44</v>
      </c>
      <c r="AQ878">
        <v>60.129904655169099</v>
      </c>
      <c r="AR878" t="s">
        <v>88</v>
      </c>
    </row>
    <row r="879" spans="1:44" x14ac:dyDescent="0.3">
      <c r="A879" t="s">
        <v>75</v>
      </c>
      <c r="B879" t="s">
        <v>49</v>
      </c>
      <c r="C879" s="2" t="str">
        <f t="shared" si="13"/>
        <v>Neutral</v>
      </c>
      <c r="D879">
        <v>0.804273699992336</v>
      </c>
      <c r="E879" t="s">
        <v>47</v>
      </c>
      <c r="F879" t="s">
        <v>61</v>
      </c>
      <c r="G879" t="s">
        <v>63</v>
      </c>
      <c r="H879">
        <v>70</v>
      </c>
      <c r="I879">
        <v>10</v>
      </c>
      <c r="J879">
        <v>3</v>
      </c>
      <c r="K879" t="s">
        <v>63</v>
      </c>
      <c r="L879">
        <v>1</v>
      </c>
      <c r="M879">
        <v>0.85615960002178304</v>
      </c>
      <c r="N879" t="s">
        <v>51</v>
      </c>
      <c r="O879">
        <v>3</v>
      </c>
      <c r="P879">
        <v>10</v>
      </c>
      <c r="Q879">
        <v>70</v>
      </c>
      <c r="R879">
        <v>16</v>
      </c>
      <c r="S879">
        <v>90.984582200006102</v>
      </c>
      <c r="X879">
        <v>90.974432500020995</v>
      </c>
      <c r="Y879">
        <v>90.984582200006102</v>
      </c>
      <c r="Z879">
        <v>91.484862799989003</v>
      </c>
      <c r="AA879">
        <v>91.484862799989003</v>
      </c>
      <c r="AB879">
        <v>91.484862799989003</v>
      </c>
      <c r="AC879">
        <v>92.3548721999977</v>
      </c>
      <c r="AD879" t="s">
        <v>63</v>
      </c>
      <c r="AE879">
        <v>1</v>
      </c>
      <c r="AF879">
        <v>0.85615960002178304</v>
      </c>
      <c r="AG879" t="s">
        <v>51</v>
      </c>
      <c r="AK879" t="s">
        <v>94</v>
      </c>
      <c r="AL879">
        <v>1</v>
      </c>
      <c r="AM879" t="s">
        <v>87</v>
      </c>
      <c r="AN879" t="s">
        <v>43</v>
      </c>
      <c r="AP879" t="s">
        <v>44</v>
      </c>
      <c r="AQ879">
        <v>60.129904655169099</v>
      </c>
      <c r="AR879" t="s">
        <v>88</v>
      </c>
    </row>
    <row r="880" spans="1:44" x14ac:dyDescent="0.3">
      <c r="A880" t="s">
        <v>68</v>
      </c>
      <c r="B880" t="s">
        <v>49</v>
      </c>
      <c r="C880" s="2" t="str">
        <f t="shared" si="13"/>
        <v>Emotional-I</v>
      </c>
      <c r="D880">
        <v>0.78870049997931302</v>
      </c>
      <c r="E880" t="s">
        <v>59</v>
      </c>
      <c r="F880" t="s">
        <v>53</v>
      </c>
      <c r="G880" t="s">
        <v>54</v>
      </c>
      <c r="H880">
        <v>71</v>
      </c>
      <c r="I880">
        <v>11</v>
      </c>
      <c r="J880">
        <v>3</v>
      </c>
      <c r="K880" t="s">
        <v>54</v>
      </c>
      <c r="L880">
        <v>1</v>
      </c>
      <c r="M880">
        <v>0.76055959996301603</v>
      </c>
      <c r="N880" t="s">
        <v>51</v>
      </c>
      <c r="O880">
        <v>3</v>
      </c>
      <c r="P880">
        <v>11</v>
      </c>
      <c r="Q880">
        <v>71</v>
      </c>
      <c r="R880">
        <v>6</v>
      </c>
      <c r="S880">
        <v>92.367617000010796</v>
      </c>
      <c r="X880">
        <v>92.357906499993902</v>
      </c>
      <c r="Y880">
        <v>92.367617000010796</v>
      </c>
      <c r="Z880">
        <v>92.867798699997294</v>
      </c>
      <c r="AA880">
        <v>92.867798699997294</v>
      </c>
      <c r="AB880">
        <v>92.867798699997294</v>
      </c>
      <c r="AC880">
        <v>93.637884200026704</v>
      </c>
      <c r="AD880" t="s">
        <v>54</v>
      </c>
      <c r="AE880">
        <v>1</v>
      </c>
      <c r="AF880">
        <v>0.76055959996301603</v>
      </c>
      <c r="AG880" t="s">
        <v>51</v>
      </c>
      <c r="AK880" t="s">
        <v>94</v>
      </c>
      <c r="AL880">
        <v>1</v>
      </c>
      <c r="AM880" t="s">
        <v>87</v>
      </c>
      <c r="AN880" t="s">
        <v>43</v>
      </c>
      <c r="AP880" t="s">
        <v>44</v>
      </c>
      <c r="AQ880">
        <v>60.129904655169099</v>
      </c>
      <c r="AR880" t="s">
        <v>88</v>
      </c>
    </row>
    <row r="881" spans="1:44" x14ac:dyDescent="0.3">
      <c r="A881" t="s">
        <v>71</v>
      </c>
      <c r="B881" t="s">
        <v>49</v>
      </c>
      <c r="C881" s="2" t="str">
        <f t="shared" si="13"/>
        <v>Neutral</v>
      </c>
      <c r="D881">
        <v>0.58355199999641605</v>
      </c>
      <c r="E881" t="s">
        <v>47</v>
      </c>
      <c r="F881" t="s">
        <v>48</v>
      </c>
      <c r="G881" t="s">
        <v>50</v>
      </c>
      <c r="H881">
        <v>72</v>
      </c>
      <c r="I881">
        <v>12</v>
      </c>
      <c r="J881">
        <v>3</v>
      </c>
      <c r="K881" t="s">
        <v>50</v>
      </c>
      <c r="L881">
        <v>1</v>
      </c>
      <c r="M881">
        <v>0.46494080004049398</v>
      </c>
      <c r="N881" t="s">
        <v>51</v>
      </c>
      <c r="O881">
        <v>3</v>
      </c>
      <c r="P881">
        <v>12</v>
      </c>
      <c r="Q881">
        <v>72</v>
      </c>
      <c r="R881">
        <v>15</v>
      </c>
      <c r="S881">
        <v>93.651387899997601</v>
      </c>
      <c r="X881">
        <v>93.6404670000192</v>
      </c>
      <c r="Y881">
        <v>93.651387899997601</v>
      </c>
      <c r="Z881">
        <v>94.150763800018396</v>
      </c>
      <c r="AA881">
        <v>94.150763800018396</v>
      </c>
      <c r="AB881">
        <v>94.150763800018396</v>
      </c>
      <c r="AC881">
        <v>94.622367100033401</v>
      </c>
      <c r="AD881" t="s">
        <v>50</v>
      </c>
      <c r="AE881">
        <v>1</v>
      </c>
      <c r="AF881">
        <v>0.46494080004049398</v>
      </c>
      <c r="AG881" t="s">
        <v>51</v>
      </c>
      <c r="AK881" t="s">
        <v>94</v>
      </c>
      <c r="AL881">
        <v>1</v>
      </c>
      <c r="AM881" t="s">
        <v>87</v>
      </c>
      <c r="AN881" t="s">
        <v>43</v>
      </c>
      <c r="AP881" t="s">
        <v>44</v>
      </c>
      <c r="AQ881">
        <v>60.129904655169099</v>
      </c>
      <c r="AR881" t="s">
        <v>88</v>
      </c>
    </row>
    <row r="882" spans="1:44" x14ac:dyDescent="0.3">
      <c r="A882" t="s">
        <v>66</v>
      </c>
      <c r="B882" t="s">
        <v>49</v>
      </c>
      <c r="C882" s="2" t="str">
        <f t="shared" si="13"/>
        <v>Neutral</v>
      </c>
      <c r="D882">
        <v>0.71974829997634504</v>
      </c>
      <c r="E882" t="s">
        <v>47</v>
      </c>
      <c r="F882" t="s">
        <v>61</v>
      </c>
      <c r="G882" t="s">
        <v>63</v>
      </c>
      <c r="H882">
        <v>73</v>
      </c>
      <c r="I882">
        <v>13</v>
      </c>
      <c r="J882">
        <v>3</v>
      </c>
      <c r="K882" t="s">
        <v>63</v>
      </c>
      <c r="L882">
        <v>1</v>
      </c>
      <c r="M882">
        <v>0.57266810000874102</v>
      </c>
      <c r="N882" t="s">
        <v>51</v>
      </c>
      <c r="O882">
        <v>3</v>
      </c>
      <c r="P882">
        <v>13</v>
      </c>
      <c r="Q882">
        <v>73</v>
      </c>
      <c r="R882">
        <v>12</v>
      </c>
      <c r="S882">
        <v>94.634031400026203</v>
      </c>
      <c r="X882">
        <v>94.626482799998399</v>
      </c>
      <c r="Y882">
        <v>94.634031400026203</v>
      </c>
      <c r="Z882">
        <v>95.134408199985003</v>
      </c>
      <c r="AA882">
        <v>95.134408199985003</v>
      </c>
      <c r="AB882">
        <v>95.134408199985003</v>
      </c>
      <c r="AC882">
        <v>95.720649400027398</v>
      </c>
      <c r="AD882" t="s">
        <v>63</v>
      </c>
      <c r="AE882">
        <v>1</v>
      </c>
      <c r="AF882">
        <v>0.57266810000874102</v>
      </c>
      <c r="AG882" t="s">
        <v>51</v>
      </c>
      <c r="AK882" t="s">
        <v>94</v>
      </c>
      <c r="AL882">
        <v>1</v>
      </c>
      <c r="AM882" t="s">
        <v>87</v>
      </c>
      <c r="AN882" t="s">
        <v>43</v>
      </c>
      <c r="AP882" t="s">
        <v>44</v>
      </c>
      <c r="AQ882">
        <v>60.129904655169099</v>
      </c>
      <c r="AR882" t="s">
        <v>88</v>
      </c>
    </row>
    <row r="883" spans="1:44" x14ac:dyDescent="0.3">
      <c r="A883" t="s">
        <v>73</v>
      </c>
      <c r="B883" t="s">
        <v>49</v>
      </c>
      <c r="C883" s="2" t="str">
        <f t="shared" si="13"/>
        <v>Emotional-I</v>
      </c>
      <c r="D883">
        <v>0.51293460000306301</v>
      </c>
      <c r="E883" t="s">
        <v>59</v>
      </c>
      <c r="F883" t="s">
        <v>56</v>
      </c>
      <c r="G883" t="s">
        <v>57</v>
      </c>
      <c r="H883">
        <v>74</v>
      </c>
      <c r="I883">
        <v>14</v>
      </c>
      <c r="J883">
        <v>3</v>
      </c>
      <c r="K883" t="s">
        <v>57</v>
      </c>
      <c r="L883">
        <v>1</v>
      </c>
      <c r="M883">
        <v>0.69999669998651304</v>
      </c>
      <c r="N883" t="s">
        <v>51</v>
      </c>
      <c r="O883">
        <v>3</v>
      </c>
      <c r="P883">
        <v>14</v>
      </c>
      <c r="Q883">
        <v>74</v>
      </c>
      <c r="R883">
        <v>1</v>
      </c>
      <c r="S883">
        <v>95.7341253000195</v>
      </c>
      <c r="X883">
        <v>95.724007399985496</v>
      </c>
      <c r="Y883">
        <v>95.7341253000195</v>
      </c>
      <c r="Z883">
        <v>96.234353300009303</v>
      </c>
      <c r="AA883">
        <v>96.234353300009303</v>
      </c>
      <c r="AB883">
        <v>96.234353300009303</v>
      </c>
      <c r="AC883">
        <v>96.938274000014601</v>
      </c>
      <c r="AD883" t="s">
        <v>57</v>
      </c>
      <c r="AE883">
        <v>1</v>
      </c>
      <c r="AF883">
        <v>0.69999669998651304</v>
      </c>
      <c r="AG883" t="s">
        <v>51</v>
      </c>
      <c r="AK883" t="s">
        <v>94</v>
      </c>
      <c r="AL883">
        <v>1</v>
      </c>
      <c r="AM883" t="s">
        <v>87</v>
      </c>
      <c r="AN883" t="s">
        <v>43</v>
      </c>
      <c r="AP883" t="s">
        <v>44</v>
      </c>
      <c r="AQ883">
        <v>60.129904655169099</v>
      </c>
      <c r="AR883" t="s">
        <v>88</v>
      </c>
    </row>
    <row r="884" spans="1:44" x14ac:dyDescent="0.3">
      <c r="A884" t="s">
        <v>67</v>
      </c>
      <c r="B884" t="s">
        <v>49</v>
      </c>
      <c r="C884" s="2" t="str">
        <f t="shared" si="13"/>
        <v>Neutral</v>
      </c>
      <c r="D884">
        <v>0.38160680001601499</v>
      </c>
      <c r="E884" t="s">
        <v>47</v>
      </c>
      <c r="F884" t="s">
        <v>53</v>
      </c>
      <c r="G884" t="s">
        <v>54</v>
      </c>
      <c r="H884">
        <v>75</v>
      </c>
      <c r="I884">
        <v>15</v>
      </c>
      <c r="J884">
        <v>3</v>
      </c>
      <c r="K884" t="s">
        <v>54</v>
      </c>
      <c r="L884">
        <v>1</v>
      </c>
      <c r="M884">
        <v>0.81994920002762195</v>
      </c>
      <c r="N884" t="s">
        <v>51</v>
      </c>
      <c r="O884">
        <v>3</v>
      </c>
      <c r="P884">
        <v>15</v>
      </c>
      <c r="Q884">
        <v>75</v>
      </c>
      <c r="R884">
        <v>10</v>
      </c>
      <c r="S884">
        <v>96.9507122000213</v>
      </c>
      <c r="X884">
        <v>96.940870499995</v>
      </c>
      <c r="Y884">
        <v>96.9507122000213</v>
      </c>
      <c r="Z884">
        <v>97.450890300038694</v>
      </c>
      <c r="AA884">
        <v>97.450890300038694</v>
      </c>
      <c r="AB884">
        <v>97.450890300038694</v>
      </c>
      <c r="AC884">
        <v>98.271793299994897</v>
      </c>
      <c r="AD884" t="s">
        <v>54</v>
      </c>
      <c r="AE884">
        <v>1</v>
      </c>
      <c r="AF884">
        <v>0.81994920002762195</v>
      </c>
      <c r="AG884" t="s">
        <v>51</v>
      </c>
      <c r="AK884" t="s">
        <v>94</v>
      </c>
      <c r="AL884">
        <v>1</v>
      </c>
      <c r="AM884" t="s">
        <v>87</v>
      </c>
      <c r="AN884" t="s">
        <v>43</v>
      </c>
      <c r="AP884" t="s">
        <v>44</v>
      </c>
      <c r="AQ884">
        <v>60.129904655169099</v>
      </c>
      <c r="AR884" t="s">
        <v>88</v>
      </c>
    </row>
    <row r="885" spans="1:44" x14ac:dyDescent="0.3">
      <c r="A885" t="s">
        <v>60</v>
      </c>
      <c r="B885" t="s">
        <v>62</v>
      </c>
      <c r="C885" s="2" t="str">
        <f t="shared" si="13"/>
        <v>Emotional-C</v>
      </c>
      <c r="D885">
        <v>0.65877440001349896</v>
      </c>
      <c r="E885" t="s">
        <v>59</v>
      </c>
      <c r="F885" t="s">
        <v>61</v>
      </c>
      <c r="G885" t="s">
        <v>63</v>
      </c>
      <c r="H885">
        <v>76</v>
      </c>
      <c r="I885">
        <v>16</v>
      </c>
      <c r="J885">
        <v>3</v>
      </c>
      <c r="K885" t="s">
        <v>63</v>
      </c>
      <c r="L885">
        <v>1</v>
      </c>
      <c r="M885">
        <v>0.63032179995207105</v>
      </c>
      <c r="N885" t="s">
        <v>51</v>
      </c>
      <c r="O885">
        <v>3</v>
      </c>
      <c r="P885">
        <v>16</v>
      </c>
      <c r="Q885">
        <v>76</v>
      </c>
      <c r="R885">
        <v>0</v>
      </c>
      <c r="S885">
        <v>98.284367099986397</v>
      </c>
      <c r="X885">
        <v>98.275022500019901</v>
      </c>
      <c r="Y885">
        <v>98.284367099986397</v>
      </c>
      <c r="Z885">
        <v>98.784415400004903</v>
      </c>
      <c r="AA885">
        <v>98.784415400004903</v>
      </c>
      <c r="AB885">
        <v>98.784415400004903</v>
      </c>
      <c r="AC885">
        <v>99.421240199997499</v>
      </c>
      <c r="AD885" t="s">
        <v>63</v>
      </c>
      <c r="AE885">
        <v>1</v>
      </c>
      <c r="AF885">
        <v>0.63032179995207105</v>
      </c>
      <c r="AG885" t="s">
        <v>51</v>
      </c>
      <c r="AK885" t="s">
        <v>94</v>
      </c>
      <c r="AL885">
        <v>1</v>
      </c>
      <c r="AM885" t="s">
        <v>87</v>
      </c>
      <c r="AN885" t="s">
        <v>43</v>
      </c>
      <c r="AP885" t="s">
        <v>44</v>
      </c>
      <c r="AQ885">
        <v>60.129904655169099</v>
      </c>
      <c r="AR885" t="s">
        <v>88</v>
      </c>
    </row>
    <row r="886" spans="1:44" x14ac:dyDescent="0.3">
      <c r="A886" t="s">
        <v>78</v>
      </c>
      <c r="B886" t="s">
        <v>49</v>
      </c>
      <c r="C886" s="2" t="str">
        <f t="shared" si="13"/>
        <v>Neutral</v>
      </c>
      <c r="D886">
        <v>0.45988309994572701</v>
      </c>
      <c r="E886" t="s">
        <v>47</v>
      </c>
      <c r="F886" t="s">
        <v>56</v>
      </c>
      <c r="G886" t="s">
        <v>57</v>
      </c>
      <c r="H886">
        <v>77</v>
      </c>
      <c r="I886">
        <v>17</v>
      </c>
      <c r="J886">
        <v>3</v>
      </c>
      <c r="K886" t="s">
        <v>57</v>
      </c>
      <c r="L886">
        <v>1</v>
      </c>
      <c r="M886">
        <v>0.89729729999089602</v>
      </c>
      <c r="N886" t="s">
        <v>51</v>
      </c>
      <c r="O886">
        <v>3</v>
      </c>
      <c r="P886">
        <v>17</v>
      </c>
      <c r="Q886">
        <v>77</v>
      </c>
      <c r="R886">
        <v>17</v>
      </c>
      <c r="S886">
        <v>99.433797999983597</v>
      </c>
      <c r="X886">
        <v>99.423885900003299</v>
      </c>
      <c r="Y886">
        <v>99.433797999983597</v>
      </c>
      <c r="Z886">
        <v>99.934213300002696</v>
      </c>
      <c r="AA886">
        <v>99.934213300002696</v>
      </c>
      <c r="AB886">
        <v>99.934213300002696</v>
      </c>
      <c r="AC886">
        <v>100.837892399984</v>
      </c>
      <c r="AD886" t="s">
        <v>57</v>
      </c>
      <c r="AE886">
        <v>1</v>
      </c>
      <c r="AF886">
        <v>0.89729729999089602</v>
      </c>
      <c r="AG886" t="s">
        <v>51</v>
      </c>
      <c r="AK886" t="s">
        <v>94</v>
      </c>
      <c r="AL886">
        <v>1</v>
      </c>
      <c r="AM886" t="s">
        <v>87</v>
      </c>
      <c r="AN886" t="s">
        <v>43</v>
      </c>
      <c r="AP886" t="s">
        <v>44</v>
      </c>
      <c r="AQ886">
        <v>60.129904655169099</v>
      </c>
      <c r="AR886" t="s">
        <v>88</v>
      </c>
    </row>
    <row r="887" spans="1:44" x14ac:dyDescent="0.3">
      <c r="A887" t="s">
        <v>70</v>
      </c>
      <c r="B887" t="s">
        <v>49</v>
      </c>
      <c r="C887" s="2" t="str">
        <f t="shared" si="13"/>
        <v>Emotional-I</v>
      </c>
      <c r="D887">
        <v>0.46128879999741901</v>
      </c>
      <c r="E887" t="s">
        <v>59</v>
      </c>
      <c r="F887" t="s">
        <v>53</v>
      </c>
      <c r="G887" t="s">
        <v>54</v>
      </c>
      <c r="H887">
        <v>78</v>
      </c>
      <c r="I887">
        <v>18</v>
      </c>
      <c r="J887">
        <v>3</v>
      </c>
      <c r="K887" t="s">
        <v>54</v>
      </c>
      <c r="L887">
        <v>1</v>
      </c>
      <c r="M887">
        <v>0.60208939999574795</v>
      </c>
      <c r="N887" t="s">
        <v>51</v>
      </c>
      <c r="O887">
        <v>3</v>
      </c>
      <c r="P887">
        <v>18</v>
      </c>
      <c r="Q887">
        <v>78</v>
      </c>
      <c r="R887">
        <v>2</v>
      </c>
      <c r="S887">
        <v>100.85053510003399</v>
      </c>
      <c r="X887">
        <v>100.840618200018</v>
      </c>
      <c r="Y887">
        <v>100.85053510003399</v>
      </c>
      <c r="Z887">
        <v>101.350843499996</v>
      </c>
      <c r="AA887">
        <v>101.350843499996</v>
      </c>
      <c r="AB887">
        <v>101.350843499996</v>
      </c>
      <c r="AC887">
        <v>101.954228300019</v>
      </c>
      <c r="AD887" t="s">
        <v>54</v>
      </c>
      <c r="AE887">
        <v>1</v>
      </c>
      <c r="AF887">
        <v>0.60208939999574795</v>
      </c>
      <c r="AG887" t="s">
        <v>51</v>
      </c>
      <c r="AK887" t="s">
        <v>94</v>
      </c>
      <c r="AL887">
        <v>1</v>
      </c>
      <c r="AM887" t="s">
        <v>87</v>
      </c>
      <c r="AN887" t="s">
        <v>43</v>
      </c>
      <c r="AP887" t="s">
        <v>44</v>
      </c>
      <c r="AQ887">
        <v>60.129904655169099</v>
      </c>
      <c r="AR887" t="s">
        <v>88</v>
      </c>
    </row>
    <row r="888" spans="1:44" x14ac:dyDescent="0.3">
      <c r="A888" t="s">
        <v>58</v>
      </c>
      <c r="B888" t="s">
        <v>49</v>
      </c>
      <c r="C888" s="2" t="str">
        <f t="shared" si="13"/>
        <v>Emotional-I</v>
      </c>
      <c r="D888">
        <v>0.64176899997983095</v>
      </c>
      <c r="E888" t="s">
        <v>59</v>
      </c>
      <c r="F888" t="s">
        <v>48</v>
      </c>
      <c r="G888" t="s">
        <v>50</v>
      </c>
      <c r="H888">
        <v>79</v>
      </c>
      <c r="I888">
        <v>19</v>
      </c>
      <c r="J888">
        <v>3</v>
      </c>
      <c r="K888" t="s">
        <v>50</v>
      </c>
      <c r="L888">
        <v>1</v>
      </c>
      <c r="M888">
        <v>0.67967059998773005</v>
      </c>
      <c r="N888" t="s">
        <v>51</v>
      </c>
      <c r="O888">
        <v>3</v>
      </c>
      <c r="P888">
        <v>19</v>
      </c>
      <c r="Q888">
        <v>79</v>
      </c>
      <c r="R888">
        <v>7</v>
      </c>
      <c r="S888">
        <v>101.967462000029</v>
      </c>
      <c r="X888">
        <v>101.956785199989</v>
      </c>
      <c r="Y888">
        <v>101.967462000029</v>
      </c>
      <c r="Z888">
        <v>102.467457399994</v>
      </c>
      <c r="AA888">
        <v>102.467457399994</v>
      </c>
      <c r="AB888">
        <v>102.467457399994</v>
      </c>
      <c r="AC888">
        <v>103.154547300015</v>
      </c>
      <c r="AD888" t="s">
        <v>50</v>
      </c>
      <c r="AE888">
        <v>1</v>
      </c>
      <c r="AF888">
        <v>0.67967059998773005</v>
      </c>
      <c r="AG888" t="s">
        <v>51</v>
      </c>
      <c r="AK888" t="s">
        <v>94</v>
      </c>
      <c r="AL888">
        <v>1</v>
      </c>
      <c r="AM888" t="s">
        <v>87</v>
      </c>
      <c r="AN888" t="s">
        <v>43</v>
      </c>
      <c r="AP888" t="s">
        <v>44</v>
      </c>
      <c r="AQ888">
        <v>60.129904655169099</v>
      </c>
      <c r="AR888" t="s">
        <v>88</v>
      </c>
    </row>
    <row r="889" spans="1:44" x14ac:dyDescent="0.3">
      <c r="A889" t="s">
        <v>60</v>
      </c>
      <c r="B889" t="s">
        <v>62</v>
      </c>
      <c r="C889" s="2" t="str">
        <f t="shared" si="13"/>
        <v>Emotional-C</v>
      </c>
      <c r="D889">
        <v>0.70573389995843105</v>
      </c>
      <c r="E889" t="s">
        <v>59</v>
      </c>
      <c r="F889" t="s">
        <v>61</v>
      </c>
      <c r="G889" t="s">
        <v>63</v>
      </c>
      <c r="H889">
        <v>80</v>
      </c>
      <c r="I889">
        <v>0</v>
      </c>
      <c r="J889">
        <v>4</v>
      </c>
      <c r="K889" t="s">
        <v>63</v>
      </c>
      <c r="L889">
        <v>1</v>
      </c>
      <c r="M889">
        <v>0.59773589996621002</v>
      </c>
      <c r="N889" t="s">
        <v>51</v>
      </c>
      <c r="O889">
        <v>4</v>
      </c>
      <c r="P889">
        <v>0</v>
      </c>
      <c r="Q889">
        <v>80</v>
      </c>
      <c r="R889">
        <v>0</v>
      </c>
      <c r="S889">
        <v>103.16686940001</v>
      </c>
      <c r="X889">
        <v>103.15702540002501</v>
      </c>
      <c r="Y889">
        <v>103.16686940001</v>
      </c>
      <c r="Z889">
        <v>103.667476200032</v>
      </c>
      <c r="AA889">
        <v>103.667476200032</v>
      </c>
      <c r="AB889">
        <v>103.667476200032</v>
      </c>
      <c r="AC889">
        <v>104.27090160001499</v>
      </c>
      <c r="AD889" t="s">
        <v>63</v>
      </c>
      <c r="AE889">
        <v>1</v>
      </c>
      <c r="AF889">
        <v>0.59773589996621002</v>
      </c>
      <c r="AG889" t="s">
        <v>51</v>
      </c>
      <c r="AK889" t="s">
        <v>94</v>
      </c>
      <c r="AL889">
        <v>1</v>
      </c>
      <c r="AM889" t="s">
        <v>87</v>
      </c>
      <c r="AN889" t="s">
        <v>43</v>
      </c>
      <c r="AP889" t="s">
        <v>44</v>
      </c>
      <c r="AQ889">
        <v>60.129904655169099</v>
      </c>
      <c r="AR889" t="s">
        <v>88</v>
      </c>
    </row>
    <row r="890" spans="1:44" x14ac:dyDescent="0.3">
      <c r="A890" t="s">
        <v>77</v>
      </c>
      <c r="B890" t="s">
        <v>62</v>
      </c>
      <c r="C890" s="2" t="str">
        <f t="shared" si="13"/>
        <v>Emotional-C</v>
      </c>
      <c r="D890">
        <v>0.53758740000193905</v>
      </c>
      <c r="E890" t="s">
        <v>59</v>
      </c>
      <c r="F890" t="s">
        <v>61</v>
      </c>
      <c r="G890" t="s">
        <v>63</v>
      </c>
      <c r="H890">
        <v>81</v>
      </c>
      <c r="I890">
        <v>1</v>
      </c>
      <c r="J890">
        <v>4</v>
      </c>
      <c r="K890" t="s">
        <v>63</v>
      </c>
      <c r="L890">
        <v>1</v>
      </c>
      <c r="M890">
        <v>0.65886829997179996</v>
      </c>
      <c r="N890" t="s">
        <v>51</v>
      </c>
      <c r="O890">
        <v>4</v>
      </c>
      <c r="P890">
        <v>1</v>
      </c>
      <c r="Q890">
        <v>81</v>
      </c>
      <c r="R890">
        <v>4</v>
      </c>
      <c r="S890">
        <v>104.28350600000699</v>
      </c>
      <c r="X890">
        <v>104.273527499986</v>
      </c>
      <c r="Y890">
        <v>104.28350600000699</v>
      </c>
      <c r="Z890">
        <v>104.783448000031</v>
      </c>
      <c r="AA890">
        <v>104.783448000031</v>
      </c>
      <c r="AB890">
        <v>104.783448000031</v>
      </c>
      <c r="AC890">
        <v>105.45455750002201</v>
      </c>
      <c r="AD890" t="s">
        <v>63</v>
      </c>
      <c r="AE890">
        <v>1</v>
      </c>
      <c r="AF890">
        <v>0.65886829997179996</v>
      </c>
      <c r="AG890" t="s">
        <v>51</v>
      </c>
      <c r="AK890" t="s">
        <v>94</v>
      </c>
      <c r="AL890">
        <v>1</v>
      </c>
      <c r="AM890" t="s">
        <v>87</v>
      </c>
      <c r="AN890" t="s">
        <v>43</v>
      </c>
      <c r="AP890" t="s">
        <v>44</v>
      </c>
      <c r="AQ890">
        <v>60.129904655169099</v>
      </c>
      <c r="AR890" t="s">
        <v>88</v>
      </c>
    </row>
    <row r="891" spans="1:44" x14ac:dyDescent="0.3">
      <c r="A891" t="s">
        <v>64</v>
      </c>
      <c r="B891" t="s">
        <v>49</v>
      </c>
      <c r="C891" s="2" t="str">
        <f t="shared" si="13"/>
        <v>Neutral</v>
      </c>
      <c r="D891">
        <v>0.59659790003206503</v>
      </c>
      <c r="E891" t="s">
        <v>47</v>
      </c>
      <c r="F891" t="s">
        <v>53</v>
      </c>
      <c r="G891" t="s">
        <v>54</v>
      </c>
      <c r="H891">
        <v>82</v>
      </c>
      <c r="I891">
        <v>2</v>
      </c>
      <c r="J891">
        <v>4</v>
      </c>
      <c r="K891" t="s">
        <v>54</v>
      </c>
      <c r="L891">
        <v>1</v>
      </c>
      <c r="M891">
        <v>0.79640559997642402</v>
      </c>
      <c r="N891" t="s">
        <v>51</v>
      </c>
      <c r="O891">
        <v>4</v>
      </c>
      <c r="P891">
        <v>2</v>
      </c>
      <c r="Q891">
        <v>82</v>
      </c>
      <c r="R891">
        <v>18</v>
      </c>
      <c r="S891">
        <v>105.467093800019</v>
      </c>
      <c r="X891">
        <v>105.456989200029</v>
      </c>
      <c r="Y891">
        <v>105.467093800019</v>
      </c>
      <c r="Z891">
        <v>105.96709719998699</v>
      </c>
      <c r="AA891">
        <v>105.96709719998699</v>
      </c>
      <c r="AB891">
        <v>105.96709719998699</v>
      </c>
      <c r="AC891">
        <v>106.770900100003</v>
      </c>
      <c r="AD891" t="s">
        <v>54</v>
      </c>
      <c r="AE891">
        <v>1</v>
      </c>
      <c r="AF891">
        <v>0.79640559997642402</v>
      </c>
      <c r="AG891" t="s">
        <v>51</v>
      </c>
      <c r="AK891" t="s">
        <v>94</v>
      </c>
      <c r="AL891">
        <v>1</v>
      </c>
      <c r="AM891" t="s">
        <v>87</v>
      </c>
      <c r="AN891" t="s">
        <v>43</v>
      </c>
      <c r="AP891" t="s">
        <v>44</v>
      </c>
      <c r="AQ891">
        <v>60.129904655169099</v>
      </c>
      <c r="AR891" t="s">
        <v>88</v>
      </c>
    </row>
    <row r="892" spans="1:44" x14ac:dyDescent="0.3">
      <c r="A892" t="s">
        <v>65</v>
      </c>
      <c r="B892" t="s">
        <v>49</v>
      </c>
      <c r="C892" s="2" t="str">
        <f t="shared" si="13"/>
        <v>Emotional-I</v>
      </c>
      <c r="D892">
        <v>0.89773000002605796</v>
      </c>
      <c r="E892" t="s">
        <v>59</v>
      </c>
      <c r="F892" t="s">
        <v>56</v>
      </c>
      <c r="G892" t="s">
        <v>57</v>
      </c>
      <c r="H892">
        <v>83</v>
      </c>
      <c r="I892">
        <v>3</v>
      </c>
      <c r="J892">
        <v>4</v>
      </c>
      <c r="K892" t="s">
        <v>57</v>
      </c>
      <c r="L892">
        <v>1</v>
      </c>
      <c r="M892">
        <v>0.66672559996368297</v>
      </c>
      <c r="N892" t="s">
        <v>51</v>
      </c>
      <c r="O892">
        <v>4</v>
      </c>
      <c r="P892">
        <v>3</v>
      </c>
      <c r="Q892">
        <v>83</v>
      </c>
      <c r="R892">
        <v>9</v>
      </c>
      <c r="S892">
        <v>106.78360210004</v>
      </c>
      <c r="X892">
        <v>106.773604799993</v>
      </c>
      <c r="Y892">
        <v>106.78360210004</v>
      </c>
      <c r="Z892">
        <v>107.283758100005</v>
      </c>
      <c r="AA892">
        <v>107.283758100005</v>
      </c>
      <c r="AB892">
        <v>107.283758100005</v>
      </c>
      <c r="AC892">
        <v>107.954400499991</v>
      </c>
      <c r="AD892" t="s">
        <v>57</v>
      </c>
      <c r="AE892">
        <v>1</v>
      </c>
      <c r="AF892">
        <v>0.66672559996368297</v>
      </c>
      <c r="AG892" t="s">
        <v>51</v>
      </c>
      <c r="AK892" t="s">
        <v>94</v>
      </c>
      <c r="AL892">
        <v>1</v>
      </c>
      <c r="AM892" t="s">
        <v>87</v>
      </c>
      <c r="AN892" t="s">
        <v>43</v>
      </c>
      <c r="AP892" t="s">
        <v>44</v>
      </c>
      <c r="AQ892">
        <v>60.129904655169099</v>
      </c>
      <c r="AR892" t="s">
        <v>88</v>
      </c>
    </row>
    <row r="893" spans="1:44" x14ac:dyDescent="0.3">
      <c r="A893" t="s">
        <v>78</v>
      </c>
      <c r="B893" t="s">
        <v>49</v>
      </c>
      <c r="C893" s="2" t="str">
        <f t="shared" si="13"/>
        <v>Neutral</v>
      </c>
      <c r="D893">
        <v>0.75272459996631302</v>
      </c>
      <c r="E893" t="s">
        <v>47</v>
      </c>
      <c r="F893" t="s">
        <v>56</v>
      </c>
      <c r="G893" t="s">
        <v>57</v>
      </c>
      <c r="H893">
        <v>84</v>
      </c>
      <c r="I893">
        <v>4</v>
      </c>
      <c r="J893">
        <v>4</v>
      </c>
      <c r="K893" t="s">
        <v>57</v>
      </c>
      <c r="L893">
        <v>1</v>
      </c>
      <c r="M893">
        <v>0.50277479999931496</v>
      </c>
      <c r="N893" t="s">
        <v>51</v>
      </c>
      <c r="O893">
        <v>4</v>
      </c>
      <c r="P893">
        <v>4</v>
      </c>
      <c r="Q893">
        <v>84</v>
      </c>
      <c r="R893">
        <v>17</v>
      </c>
      <c r="S893">
        <v>107.967039200011</v>
      </c>
      <c r="X893">
        <v>107.95684659999</v>
      </c>
      <c r="Y893">
        <v>107.967039200011</v>
      </c>
      <c r="Z893">
        <v>108.467278300027</v>
      </c>
      <c r="AA893">
        <v>108.467278300027</v>
      </c>
      <c r="AB893">
        <v>108.467278300027</v>
      </c>
      <c r="AC893">
        <v>108.97059360001001</v>
      </c>
      <c r="AD893" t="s">
        <v>57</v>
      </c>
      <c r="AE893">
        <v>1</v>
      </c>
      <c r="AF893">
        <v>0.50277479999931496</v>
      </c>
      <c r="AG893" t="s">
        <v>51</v>
      </c>
      <c r="AK893" t="s">
        <v>94</v>
      </c>
      <c r="AL893">
        <v>1</v>
      </c>
      <c r="AM893" t="s">
        <v>87</v>
      </c>
      <c r="AN893" t="s">
        <v>43</v>
      </c>
      <c r="AP893" t="s">
        <v>44</v>
      </c>
      <c r="AQ893">
        <v>60.129904655169099</v>
      </c>
      <c r="AR893" t="s">
        <v>88</v>
      </c>
    </row>
    <row r="894" spans="1:44" x14ac:dyDescent="0.3">
      <c r="A894" t="s">
        <v>55</v>
      </c>
      <c r="B894" t="s">
        <v>49</v>
      </c>
      <c r="C894" s="2" t="str">
        <f t="shared" si="13"/>
        <v>Neutral</v>
      </c>
      <c r="D894">
        <v>0.76843359996564597</v>
      </c>
      <c r="E894" t="s">
        <v>47</v>
      </c>
      <c r="F894" t="s">
        <v>56</v>
      </c>
      <c r="G894" t="s">
        <v>57</v>
      </c>
      <c r="H894">
        <v>85</v>
      </c>
      <c r="I894">
        <v>5</v>
      </c>
      <c r="J894">
        <v>4</v>
      </c>
      <c r="K894" t="s">
        <v>57</v>
      </c>
      <c r="L894">
        <v>1</v>
      </c>
      <c r="M894">
        <v>0.398212699976284</v>
      </c>
      <c r="N894" t="s">
        <v>51</v>
      </c>
      <c r="O894">
        <v>4</v>
      </c>
      <c r="P894">
        <v>5</v>
      </c>
      <c r="Q894">
        <v>85</v>
      </c>
      <c r="R894">
        <v>13</v>
      </c>
      <c r="S894">
        <v>108.98362990003</v>
      </c>
      <c r="X894">
        <v>108.97334830003</v>
      </c>
      <c r="Y894">
        <v>108.98362990003</v>
      </c>
      <c r="Z894">
        <v>109.483794900006</v>
      </c>
      <c r="AA894">
        <v>109.483794900006</v>
      </c>
      <c r="AB894">
        <v>109.483794900006</v>
      </c>
      <c r="AC894">
        <v>109.888001599989</v>
      </c>
      <c r="AD894" t="s">
        <v>57</v>
      </c>
      <c r="AE894">
        <v>1</v>
      </c>
      <c r="AF894">
        <v>0.398212699976284</v>
      </c>
      <c r="AG894" t="s">
        <v>51</v>
      </c>
      <c r="AK894" t="s">
        <v>94</v>
      </c>
      <c r="AL894">
        <v>1</v>
      </c>
      <c r="AM894" t="s">
        <v>87</v>
      </c>
      <c r="AN894" t="s">
        <v>43</v>
      </c>
      <c r="AP894" t="s">
        <v>44</v>
      </c>
      <c r="AQ894">
        <v>60.129904655169099</v>
      </c>
      <c r="AR894" t="s">
        <v>88</v>
      </c>
    </row>
    <row r="895" spans="1:44" x14ac:dyDescent="0.3">
      <c r="A895" t="s">
        <v>52</v>
      </c>
      <c r="B895" t="s">
        <v>49</v>
      </c>
      <c r="C895" s="2" t="str">
        <f t="shared" si="13"/>
        <v>Neutral</v>
      </c>
      <c r="D895">
        <v>0.65741549996891901</v>
      </c>
      <c r="E895" t="s">
        <v>47</v>
      </c>
      <c r="F895" t="s">
        <v>53</v>
      </c>
      <c r="G895" t="s">
        <v>54</v>
      </c>
      <c r="H895">
        <v>86</v>
      </c>
      <c r="I895">
        <v>6</v>
      </c>
      <c r="J895">
        <v>4</v>
      </c>
      <c r="K895" t="s">
        <v>54</v>
      </c>
      <c r="L895">
        <v>1</v>
      </c>
      <c r="M895">
        <v>0.77934469998581302</v>
      </c>
      <c r="N895" t="s">
        <v>51</v>
      </c>
      <c r="O895">
        <v>4</v>
      </c>
      <c r="P895">
        <v>6</v>
      </c>
      <c r="Q895">
        <v>86</v>
      </c>
      <c r="R895">
        <v>14</v>
      </c>
      <c r="S895">
        <v>109.899811599985</v>
      </c>
      <c r="X895">
        <v>109.89147999999101</v>
      </c>
      <c r="Y895">
        <v>109.899811599985</v>
      </c>
      <c r="Z895">
        <v>110.399935099994</v>
      </c>
      <c r="AA895">
        <v>110.399935099994</v>
      </c>
      <c r="AB895">
        <v>110.399935099994</v>
      </c>
      <c r="AC895">
        <v>111.186817899986</v>
      </c>
      <c r="AD895" t="s">
        <v>54</v>
      </c>
      <c r="AE895">
        <v>1</v>
      </c>
      <c r="AF895">
        <v>0.77934469998581302</v>
      </c>
      <c r="AG895" t="s">
        <v>51</v>
      </c>
      <c r="AK895" t="s">
        <v>94</v>
      </c>
      <c r="AL895">
        <v>1</v>
      </c>
      <c r="AM895" t="s">
        <v>87</v>
      </c>
      <c r="AN895" t="s">
        <v>43</v>
      </c>
      <c r="AP895" t="s">
        <v>44</v>
      </c>
      <c r="AQ895">
        <v>60.129904655169099</v>
      </c>
      <c r="AR895" t="s">
        <v>88</v>
      </c>
    </row>
    <row r="896" spans="1:44" x14ac:dyDescent="0.3">
      <c r="A896" t="s">
        <v>67</v>
      </c>
      <c r="B896" t="s">
        <v>49</v>
      </c>
      <c r="C896" s="2" t="str">
        <f t="shared" si="13"/>
        <v>Neutral</v>
      </c>
      <c r="D896">
        <v>0.98097249999409497</v>
      </c>
      <c r="E896" t="s">
        <v>47</v>
      </c>
      <c r="F896" t="s">
        <v>53</v>
      </c>
      <c r="G896" t="s">
        <v>54</v>
      </c>
      <c r="H896">
        <v>87</v>
      </c>
      <c r="I896">
        <v>7</v>
      </c>
      <c r="J896">
        <v>4</v>
      </c>
      <c r="K896" t="s">
        <v>54</v>
      </c>
      <c r="L896">
        <v>1</v>
      </c>
      <c r="M896">
        <v>0.50781620002817296</v>
      </c>
      <c r="N896" t="s">
        <v>51</v>
      </c>
      <c r="O896">
        <v>4</v>
      </c>
      <c r="P896">
        <v>7</v>
      </c>
      <c r="Q896">
        <v>87</v>
      </c>
      <c r="R896">
        <v>10</v>
      </c>
      <c r="S896">
        <v>111.20010910002701</v>
      </c>
      <c r="X896">
        <v>111.190186600026</v>
      </c>
      <c r="Y896">
        <v>111.20010910002701</v>
      </c>
      <c r="Z896">
        <v>111.700366700009</v>
      </c>
      <c r="AA896">
        <v>111.700366700009</v>
      </c>
      <c r="AB896">
        <v>111.700366700009</v>
      </c>
      <c r="AC896">
        <v>112.22064529999599</v>
      </c>
      <c r="AD896" t="s">
        <v>54</v>
      </c>
      <c r="AE896">
        <v>1</v>
      </c>
      <c r="AF896">
        <v>0.50781620002817296</v>
      </c>
      <c r="AG896" t="s">
        <v>51</v>
      </c>
      <c r="AK896" t="s">
        <v>94</v>
      </c>
      <c r="AL896">
        <v>1</v>
      </c>
      <c r="AM896" t="s">
        <v>87</v>
      </c>
      <c r="AN896" t="s">
        <v>43</v>
      </c>
      <c r="AP896" t="s">
        <v>44</v>
      </c>
      <c r="AQ896">
        <v>60.129904655169099</v>
      </c>
      <c r="AR896" t="s">
        <v>88</v>
      </c>
    </row>
    <row r="897" spans="1:44" x14ac:dyDescent="0.3">
      <c r="A897" t="s">
        <v>73</v>
      </c>
      <c r="B897" t="s">
        <v>49</v>
      </c>
      <c r="C897" s="2" t="str">
        <f t="shared" si="13"/>
        <v>Emotional-I</v>
      </c>
      <c r="D897">
        <v>0.91624869999941405</v>
      </c>
      <c r="E897" t="s">
        <v>59</v>
      </c>
      <c r="F897" t="s">
        <v>56</v>
      </c>
      <c r="G897" t="s">
        <v>57</v>
      </c>
      <c r="H897">
        <v>88</v>
      </c>
      <c r="I897">
        <v>8</v>
      </c>
      <c r="J897">
        <v>4</v>
      </c>
      <c r="K897" t="s">
        <v>57</v>
      </c>
      <c r="L897">
        <v>1</v>
      </c>
      <c r="M897">
        <v>0.88798769999993898</v>
      </c>
      <c r="N897" t="s">
        <v>51</v>
      </c>
      <c r="O897">
        <v>4</v>
      </c>
      <c r="P897">
        <v>8</v>
      </c>
      <c r="Q897">
        <v>88</v>
      </c>
      <c r="R897">
        <v>1</v>
      </c>
      <c r="S897">
        <v>112.233564900001</v>
      </c>
      <c r="X897">
        <v>112.223641299991</v>
      </c>
      <c r="Y897">
        <v>112.233564900001</v>
      </c>
      <c r="Z897">
        <v>112.733795200008</v>
      </c>
      <c r="AA897">
        <v>112.733795200008</v>
      </c>
      <c r="AB897">
        <v>112.733795200008</v>
      </c>
      <c r="AC897">
        <v>113.63759830000301</v>
      </c>
      <c r="AD897" t="s">
        <v>57</v>
      </c>
      <c r="AE897">
        <v>1</v>
      </c>
      <c r="AF897">
        <v>0.88798769999993898</v>
      </c>
      <c r="AG897" t="s">
        <v>51</v>
      </c>
      <c r="AK897" t="s">
        <v>94</v>
      </c>
      <c r="AL897">
        <v>1</v>
      </c>
      <c r="AM897" t="s">
        <v>87</v>
      </c>
      <c r="AN897" t="s">
        <v>43</v>
      </c>
      <c r="AP897" t="s">
        <v>44</v>
      </c>
      <c r="AQ897">
        <v>60.129904655169099</v>
      </c>
      <c r="AR897" t="s">
        <v>88</v>
      </c>
    </row>
    <row r="898" spans="1:44" hidden="1" x14ac:dyDescent="0.3">
      <c r="A898" t="s">
        <v>71</v>
      </c>
      <c r="B898" t="s">
        <v>49</v>
      </c>
      <c r="C898" s="2" t="str">
        <f t="shared" ref="C898:C961" si="14">IF(E898="neutral","Neutral",
IF(AND(E898="emotional",B898="C"),"Emotional-C",
IF(AND(E898="emotional",B898="I"),"Emotional-I","")))</f>
        <v>Neutral</v>
      </c>
      <c r="D898">
        <v>0.47649689996615002</v>
      </c>
      <c r="E898" t="s">
        <v>47</v>
      </c>
      <c r="F898" t="s">
        <v>48</v>
      </c>
      <c r="G898" t="s">
        <v>50</v>
      </c>
      <c r="H898">
        <v>89</v>
      </c>
      <c r="I898">
        <v>9</v>
      </c>
      <c r="J898">
        <v>4</v>
      </c>
      <c r="K898" t="s">
        <v>57</v>
      </c>
      <c r="L898">
        <v>0</v>
      </c>
      <c r="M898">
        <v>0.93941390002146297</v>
      </c>
      <c r="N898" t="s">
        <v>51</v>
      </c>
      <c r="O898">
        <v>4</v>
      </c>
      <c r="P898">
        <v>9</v>
      </c>
      <c r="Q898">
        <v>89</v>
      </c>
      <c r="R898">
        <v>15</v>
      </c>
      <c r="S898">
        <v>113.65000500000301</v>
      </c>
      <c r="X898">
        <v>113.64028739999</v>
      </c>
      <c r="Y898">
        <v>113.65000500000301</v>
      </c>
      <c r="Z898">
        <v>114.150436100026</v>
      </c>
      <c r="AA898">
        <v>114.150436100026</v>
      </c>
      <c r="AB898">
        <v>114.150436100026</v>
      </c>
      <c r="AC898">
        <v>115.103477300028</v>
      </c>
      <c r="AD898" t="s">
        <v>57</v>
      </c>
      <c r="AE898">
        <v>0</v>
      </c>
      <c r="AF898">
        <v>0.93941390002146297</v>
      </c>
      <c r="AG898" t="s">
        <v>51</v>
      </c>
      <c r="AK898" t="s">
        <v>94</v>
      </c>
      <c r="AL898">
        <v>1</v>
      </c>
      <c r="AM898" t="s">
        <v>87</v>
      </c>
      <c r="AN898" t="s">
        <v>43</v>
      </c>
      <c r="AP898" t="s">
        <v>44</v>
      </c>
      <c r="AQ898">
        <v>60.129904655169099</v>
      </c>
      <c r="AR898" t="s">
        <v>88</v>
      </c>
    </row>
    <row r="899" spans="1:44" hidden="1" x14ac:dyDescent="0.3">
      <c r="A899" t="s">
        <v>58</v>
      </c>
      <c r="B899" t="s">
        <v>49</v>
      </c>
      <c r="C899" s="2" t="str">
        <f t="shared" si="14"/>
        <v>Emotional-I</v>
      </c>
      <c r="D899">
        <v>0.68824670003959898</v>
      </c>
      <c r="E899" t="s">
        <v>59</v>
      </c>
      <c r="F899" t="s">
        <v>48</v>
      </c>
      <c r="G899" t="s">
        <v>50</v>
      </c>
      <c r="H899">
        <v>90</v>
      </c>
      <c r="I899">
        <v>10</v>
      </c>
      <c r="J899">
        <v>4</v>
      </c>
      <c r="K899" t="s">
        <v>57</v>
      </c>
      <c r="L899">
        <v>0</v>
      </c>
      <c r="M899">
        <v>0.58343549998244204</v>
      </c>
      <c r="N899" t="s">
        <v>51</v>
      </c>
      <c r="O899">
        <v>4</v>
      </c>
      <c r="P899">
        <v>10</v>
      </c>
      <c r="Q899">
        <v>90</v>
      </c>
      <c r="R899">
        <v>7</v>
      </c>
      <c r="S899">
        <v>115.116779800038</v>
      </c>
      <c r="X899">
        <v>115.10614450002301</v>
      </c>
      <c r="Y899">
        <v>115.116779800038</v>
      </c>
      <c r="Z899">
        <v>115.61673750000701</v>
      </c>
      <c r="AA899">
        <v>115.61673750000701</v>
      </c>
      <c r="AB899">
        <v>115.61673750000701</v>
      </c>
      <c r="AC899">
        <v>116.203730800014</v>
      </c>
      <c r="AD899" t="s">
        <v>57</v>
      </c>
      <c r="AE899">
        <v>0</v>
      </c>
      <c r="AF899">
        <v>0.58343549998244204</v>
      </c>
      <c r="AG899" t="s">
        <v>51</v>
      </c>
      <c r="AK899" t="s">
        <v>94</v>
      </c>
      <c r="AL899">
        <v>1</v>
      </c>
      <c r="AM899" t="s">
        <v>87</v>
      </c>
      <c r="AN899" t="s">
        <v>43</v>
      </c>
      <c r="AP899" t="s">
        <v>44</v>
      </c>
      <c r="AQ899">
        <v>60.129904655169099</v>
      </c>
      <c r="AR899" t="s">
        <v>88</v>
      </c>
    </row>
    <row r="900" spans="1:44" hidden="1" x14ac:dyDescent="0.3">
      <c r="A900" t="s">
        <v>46</v>
      </c>
      <c r="B900" t="s">
        <v>49</v>
      </c>
      <c r="C900" s="2" t="str">
        <f t="shared" si="14"/>
        <v>Neutral</v>
      </c>
      <c r="D900">
        <v>0.69573149998905104</v>
      </c>
      <c r="E900" t="s">
        <v>47</v>
      </c>
      <c r="F900" t="s">
        <v>48</v>
      </c>
      <c r="G900" t="s">
        <v>50</v>
      </c>
      <c r="H900">
        <v>91</v>
      </c>
      <c r="I900">
        <v>11</v>
      </c>
      <c r="J900">
        <v>4</v>
      </c>
      <c r="K900" t="s">
        <v>57</v>
      </c>
      <c r="L900">
        <v>0</v>
      </c>
      <c r="M900">
        <v>0.51867990003665898</v>
      </c>
      <c r="N900" t="s">
        <v>51</v>
      </c>
      <c r="O900">
        <v>4</v>
      </c>
      <c r="P900">
        <v>11</v>
      </c>
      <c r="Q900">
        <v>91</v>
      </c>
      <c r="R900">
        <v>19</v>
      </c>
      <c r="S900">
        <v>116.216938700003</v>
      </c>
      <c r="X900">
        <v>116.20638380001699</v>
      </c>
      <c r="Y900">
        <v>116.216938700003</v>
      </c>
      <c r="Z900">
        <v>116.716711300017</v>
      </c>
      <c r="AA900">
        <v>116.716711300017</v>
      </c>
      <c r="AB900">
        <v>116.716711300017</v>
      </c>
      <c r="AC900">
        <v>117.237226700002</v>
      </c>
      <c r="AD900" t="s">
        <v>57</v>
      </c>
      <c r="AE900">
        <v>0</v>
      </c>
      <c r="AF900">
        <v>0.51867990003665898</v>
      </c>
      <c r="AG900" t="s">
        <v>51</v>
      </c>
      <c r="AK900" t="s">
        <v>94</v>
      </c>
      <c r="AL900">
        <v>1</v>
      </c>
      <c r="AM900" t="s">
        <v>87</v>
      </c>
      <c r="AN900" t="s">
        <v>43</v>
      </c>
      <c r="AP900" t="s">
        <v>44</v>
      </c>
      <c r="AQ900">
        <v>60.129904655169099</v>
      </c>
      <c r="AR900" t="s">
        <v>88</v>
      </c>
    </row>
    <row r="901" spans="1:44" x14ac:dyDescent="0.3">
      <c r="A901" t="s">
        <v>66</v>
      </c>
      <c r="B901" t="s">
        <v>49</v>
      </c>
      <c r="C901" s="2" t="str">
        <f t="shared" si="14"/>
        <v>Neutral</v>
      </c>
      <c r="D901">
        <v>0.92942639999091603</v>
      </c>
      <c r="E901" t="s">
        <v>47</v>
      </c>
      <c r="F901" t="s">
        <v>61</v>
      </c>
      <c r="G901" t="s">
        <v>63</v>
      </c>
      <c r="H901">
        <v>92</v>
      </c>
      <c r="I901">
        <v>12</v>
      </c>
      <c r="J901">
        <v>4</v>
      </c>
      <c r="K901" t="s">
        <v>63</v>
      </c>
      <c r="L901">
        <v>1</v>
      </c>
      <c r="M901">
        <v>0.66550549998646602</v>
      </c>
      <c r="N901" t="s">
        <v>51</v>
      </c>
      <c r="O901">
        <v>4</v>
      </c>
      <c r="P901">
        <v>12</v>
      </c>
      <c r="Q901">
        <v>92</v>
      </c>
      <c r="R901">
        <v>12</v>
      </c>
      <c r="S901">
        <v>117.24967210000599</v>
      </c>
      <c r="X901">
        <v>117.240826799999</v>
      </c>
      <c r="Y901">
        <v>117.24967210000599</v>
      </c>
      <c r="Z901">
        <v>117.749734700017</v>
      </c>
      <c r="AA901">
        <v>117.749734700017</v>
      </c>
      <c r="AB901">
        <v>117.749734700017</v>
      </c>
      <c r="AC901">
        <v>118.42052560002701</v>
      </c>
      <c r="AD901" t="s">
        <v>63</v>
      </c>
      <c r="AE901">
        <v>1</v>
      </c>
      <c r="AF901">
        <v>0.66550549998646602</v>
      </c>
      <c r="AG901" t="s">
        <v>51</v>
      </c>
      <c r="AK901" t="s">
        <v>94</v>
      </c>
      <c r="AL901">
        <v>1</v>
      </c>
      <c r="AM901" t="s">
        <v>87</v>
      </c>
      <c r="AN901" t="s">
        <v>43</v>
      </c>
      <c r="AP901" t="s">
        <v>44</v>
      </c>
      <c r="AQ901">
        <v>60.129904655169099</v>
      </c>
      <c r="AR901" t="s">
        <v>88</v>
      </c>
    </row>
    <row r="902" spans="1:44" hidden="1" x14ac:dyDescent="0.3">
      <c r="A902" t="s">
        <v>74</v>
      </c>
      <c r="B902" t="s">
        <v>49</v>
      </c>
      <c r="C902" s="2" t="str">
        <f t="shared" si="14"/>
        <v>Neutral</v>
      </c>
      <c r="D902">
        <v>0.72572489996673495</v>
      </c>
      <c r="E902" t="s">
        <v>47</v>
      </c>
      <c r="F902" t="s">
        <v>48</v>
      </c>
      <c r="G902" t="s">
        <v>50</v>
      </c>
      <c r="H902">
        <v>93</v>
      </c>
      <c r="I902">
        <v>13</v>
      </c>
      <c r="J902">
        <v>4</v>
      </c>
      <c r="K902" t="s">
        <v>57</v>
      </c>
      <c r="L902">
        <v>0</v>
      </c>
      <c r="M902">
        <v>0.69345070002600495</v>
      </c>
      <c r="N902" t="s">
        <v>51</v>
      </c>
      <c r="O902">
        <v>4</v>
      </c>
      <c r="P902">
        <v>13</v>
      </c>
      <c r="Q902">
        <v>93</v>
      </c>
      <c r="R902">
        <v>11</v>
      </c>
      <c r="S902">
        <v>118.43336080003</v>
      </c>
      <c r="X902">
        <v>118.42316960002</v>
      </c>
      <c r="Y902">
        <v>118.43336080003</v>
      </c>
      <c r="Z902">
        <v>118.932958699995</v>
      </c>
      <c r="AA902">
        <v>118.932958699995</v>
      </c>
      <c r="AB902">
        <v>118.932958699995</v>
      </c>
      <c r="AC902">
        <v>119.636715400032</v>
      </c>
      <c r="AD902" t="s">
        <v>57</v>
      </c>
      <c r="AE902">
        <v>0</v>
      </c>
      <c r="AF902">
        <v>0.69345070002600495</v>
      </c>
      <c r="AG902" t="s">
        <v>51</v>
      </c>
      <c r="AK902" t="s">
        <v>94</v>
      </c>
      <c r="AL902">
        <v>1</v>
      </c>
      <c r="AM902" t="s">
        <v>87</v>
      </c>
      <c r="AN902" t="s">
        <v>43</v>
      </c>
      <c r="AP902" t="s">
        <v>44</v>
      </c>
      <c r="AQ902">
        <v>60.129904655169099</v>
      </c>
      <c r="AR902" t="s">
        <v>88</v>
      </c>
    </row>
    <row r="903" spans="1:44" x14ac:dyDescent="0.3">
      <c r="A903" t="s">
        <v>76</v>
      </c>
      <c r="B903" t="s">
        <v>49</v>
      </c>
      <c r="C903" s="2" t="str">
        <f t="shared" si="14"/>
        <v>Emotional-I</v>
      </c>
      <c r="D903">
        <v>0.59551389998523496</v>
      </c>
      <c r="E903" t="s">
        <v>59</v>
      </c>
      <c r="F903" t="s">
        <v>48</v>
      </c>
      <c r="G903" t="s">
        <v>50</v>
      </c>
      <c r="H903">
        <v>94</v>
      </c>
      <c r="I903">
        <v>14</v>
      </c>
      <c r="J903">
        <v>4</v>
      </c>
      <c r="K903" t="s">
        <v>50</v>
      </c>
      <c r="L903">
        <v>1</v>
      </c>
      <c r="M903">
        <v>1.24780790001386</v>
      </c>
      <c r="N903" t="s">
        <v>51</v>
      </c>
      <c r="O903">
        <v>4</v>
      </c>
      <c r="P903">
        <v>14</v>
      </c>
      <c r="Q903">
        <v>94</v>
      </c>
      <c r="R903">
        <v>3</v>
      </c>
      <c r="S903">
        <v>119.64980080001899</v>
      </c>
      <c r="X903">
        <v>119.639324599993</v>
      </c>
      <c r="Y903">
        <v>119.64980080001899</v>
      </c>
      <c r="Z903">
        <v>120.149876600014</v>
      </c>
      <c r="AA903">
        <v>120.149876600014</v>
      </c>
      <c r="AB903">
        <v>120.149876600014</v>
      </c>
      <c r="AC903">
        <v>121.40374540002</v>
      </c>
      <c r="AD903" t="s">
        <v>50</v>
      </c>
      <c r="AE903">
        <v>1</v>
      </c>
      <c r="AF903">
        <v>1.24780790001386</v>
      </c>
      <c r="AG903" t="s">
        <v>51</v>
      </c>
      <c r="AK903" t="s">
        <v>94</v>
      </c>
      <c r="AL903">
        <v>1</v>
      </c>
      <c r="AM903" t="s">
        <v>87</v>
      </c>
      <c r="AN903" t="s">
        <v>43</v>
      </c>
      <c r="AP903" t="s">
        <v>44</v>
      </c>
      <c r="AQ903">
        <v>60.129904655169099</v>
      </c>
      <c r="AR903" t="s">
        <v>88</v>
      </c>
    </row>
    <row r="904" spans="1:44" x14ac:dyDescent="0.3">
      <c r="A904" t="s">
        <v>68</v>
      </c>
      <c r="B904" t="s">
        <v>49</v>
      </c>
      <c r="C904" s="2" t="str">
        <f t="shared" si="14"/>
        <v>Emotional-I</v>
      </c>
      <c r="D904">
        <v>1.11836159997619</v>
      </c>
      <c r="E904" t="s">
        <v>59</v>
      </c>
      <c r="F904" t="s">
        <v>53</v>
      </c>
      <c r="G904" t="s">
        <v>54</v>
      </c>
      <c r="H904">
        <v>95</v>
      </c>
      <c r="I904">
        <v>15</v>
      </c>
      <c r="J904">
        <v>4</v>
      </c>
      <c r="K904" t="s">
        <v>54</v>
      </c>
      <c r="L904">
        <v>1</v>
      </c>
      <c r="M904">
        <v>0.73748999997042097</v>
      </c>
      <c r="N904" t="s">
        <v>51</v>
      </c>
      <c r="O904">
        <v>4</v>
      </c>
      <c r="P904">
        <v>15</v>
      </c>
      <c r="Q904">
        <v>95</v>
      </c>
      <c r="R904">
        <v>6</v>
      </c>
      <c r="S904">
        <v>121.416865300037</v>
      </c>
      <c r="X904">
        <v>121.40626409999</v>
      </c>
      <c r="Y904">
        <v>121.416865300037</v>
      </c>
      <c r="Z904">
        <v>121.916167800023</v>
      </c>
      <c r="AA904">
        <v>121.916167800023</v>
      </c>
      <c r="AB904">
        <v>121.916167800023</v>
      </c>
      <c r="AC904">
        <v>122.67059029999599</v>
      </c>
      <c r="AD904" t="s">
        <v>54</v>
      </c>
      <c r="AE904">
        <v>1</v>
      </c>
      <c r="AF904">
        <v>0.73748999997042097</v>
      </c>
      <c r="AG904" t="s">
        <v>51</v>
      </c>
      <c r="AK904" t="s">
        <v>94</v>
      </c>
      <c r="AL904">
        <v>1</v>
      </c>
      <c r="AM904" t="s">
        <v>87</v>
      </c>
      <c r="AN904" t="s">
        <v>43</v>
      </c>
      <c r="AP904" t="s">
        <v>44</v>
      </c>
      <c r="AQ904">
        <v>60.129904655169099</v>
      </c>
      <c r="AR904" t="s">
        <v>88</v>
      </c>
    </row>
    <row r="905" spans="1:44" x14ac:dyDescent="0.3">
      <c r="A905" t="s">
        <v>75</v>
      </c>
      <c r="B905" t="s">
        <v>49</v>
      </c>
      <c r="C905" s="2" t="str">
        <f t="shared" si="14"/>
        <v>Neutral</v>
      </c>
      <c r="D905">
        <v>0.71744400000898101</v>
      </c>
      <c r="E905" t="s">
        <v>47</v>
      </c>
      <c r="F905" t="s">
        <v>61</v>
      </c>
      <c r="G905" t="s">
        <v>63</v>
      </c>
      <c r="H905">
        <v>96</v>
      </c>
      <c r="I905">
        <v>16</v>
      </c>
      <c r="J905">
        <v>4</v>
      </c>
      <c r="K905" t="s">
        <v>63</v>
      </c>
      <c r="L905">
        <v>1</v>
      </c>
      <c r="M905">
        <v>0.63296979997539804</v>
      </c>
      <c r="N905" t="s">
        <v>51</v>
      </c>
      <c r="O905">
        <v>4</v>
      </c>
      <c r="P905">
        <v>16</v>
      </c>
      <c r="Q905">
        <v>96</v>
      </c>
      <c r="R905">
        <v>16</v>
      </c>
      <c r="S905">
        <v>122.683051800006</v>
      </c>
      <c r="X905">
        <v>122.673190100002</v>
      </c>
      <c r="Y905">
        <v>122.683051800006</v>
      </c>
      <c r="Z905">
        <v>123.182931800023</v>
      </c>
      <c r="AA905">
        <v>123.182931800023</v>
      </c>
      <c r="AB905">
        <v>123.182931800023</v>
      </c>
      <c r="AC905">
        <v>123.820016800018</v>
      </c>
      <c r="AD905" t="s">
        <v>63</v>
      </c>
      <c r="AE905">
        <v>1</v>
      </c>
      <c r="AF905">
        <v>0.63296979997539804</v>
      </c>
      <c r="AG905" t="s">
        <v>51</v>
      </c>
      <c r="AK905" t="s">
        <v>94</v>
      </c>
      <c r="AL905">
        <v>1</v>
      </c>
      <c r="AM905" t="s">
        <v>87</v>
      </c>
      <c r="AN905" t="s">
        <v>43</v>
      </c>
      <c r="AP905" t="s">
        <v>44</v>
      </c>
      <c r="AQ905">
        <v>60.129904655169099</v>
      </c>
      <c r="AR905" t="s">
        <v>88</v>
      </c>
    </row>
    <row r="906" spans="1:44" x14ac:dyDescent="0.3">
      <c r="A906" t="s">
        <v>69</v>
      </c>
      <c r="B906" t="s">
        <v>49</v>
      </c>
      <c r="C906" s="2" t="str">
        <f t="shared" si="14"/>
        <v>Emotional-I</v>
      </c>
      <c r="D906">
        <v>1.0134905999875601</v>
      </c>
      <c r="E906" t="s">
        <v>59</v>
      </c>
      <c r="F906" t="s">
        <v>56</v>
      </c>
      <c r="G906" t="s">
        <v>57</v>
      </c>
      <c r="H906">
        <v>97</v>
      </c>
      <c r="I906">
        <v>17</v>
      </c>
      <c r="J906">
        <v>4</v>
      </c>
      <c r="K906" t="s">
        <v>57</v>
      </c>
      <c r="L906">
        <v>1</v>
      </c>
      <c r="M906">
        <v>0.728720699960831</v>
      </c>
      <c r="N906" t="s">
        <v>51</v>
      </c>
      <c r="O906">
        <v>4</v>
      </c>
      <c r="P906">
        <v>17</v>
      </c>
      <c r="Q906">
        <v>97</v>
      </c>
      <c r="R906">
        <v>5</v>
      </c>
      <c r="S906">
        <v>123.833051500027</v>
      </c>
      <c r="X906">
        <v>123.824478800001</v>
      </c>
      <c r="Y906">
        <v>123.833051500027</v>
      </c>
      <c r="Z906">
        <v>124.333346700004</v>
      </c>
      <c r="AA906">
        <v>124.333346700004</v>
      </c>
      <c r="AB906">
        <v>124.333346700004</v>
      </c>
      <c r="AC906">
        <v>125.069533600006</v>
      </c>
      <c r="AD906" t="s">
        <v>57</v>
      </c>
      <c r="AE906">
        <v>1</v>
      </c>
      <c r="AF906">
        <v>0.728720699960831</v>
      </c>
      <c r="AG906" t="s">
        <v>51</v>
      </c>
      <c r="AK906" t="s">
        <v>94</v>
      </c>
      <c r="AL906">
        <v>1</v>
      </c>
      <c r="AM906" t="s">
        <v>87</v>
      </c>
      <c r="AN906" t="s">
        <v>43</v>
      </c>
      <c r="AP906" t="s">
        <v>44</v>
      </c>
      <c r="AQ906">
        <v>60.129904655169099</v>
      </c>
      <c r="AR906" t="s">
        <v>88</v>
      </c>
    </row>
    <row r="907" spans="1:44" x14ac:dyDescent="0.3">
      <c r="A907" t="s">
        <v>70</v>
      </c>
      <c r="B907" t="s">
        <v>49</v>
      </c>
      <c r="C907" s="2" t="str">
        <f t="shared" si="14"/>
        <v>Emotional-I</v>
      </c>
      <c r="D907">
        <v>0.68439879996003505</v>
      </c>
      <c r="E907" t="s">
        <v>59</v>
      </c>
      <c r="F907" t="s">
        <v>53</v>
      </c>
      <c r="G907" t="s">
        <v>54</v>
      </c>
      <c r="H907">
        <v>98</v>
      </c>
      <c r="I907">
        <v>18</v>
      </c>
      <c r="J907">
        <v>4</v>
      </c>
      <c r="K907" t="s">
        <v>54</v>
      </c>
      <c r="L907">
        <v>1</v>
      </c>
      <c r="M907">
        <v>1.2674509999924299</v>
      </c>
      <c r="N907" t="s">
        <v>51</v>
      </c>
      <c r="O907">
        <v>4</v>
      </c>
      <c r="P907">
        <v>18</v>
      </c>
      <c r="Q907">
        <v>98</v>
      </c>
      <c r="R907">
        <v>2</v>
      </c>
      <c r="S907">
        <v>125.08271119999699</v>
      </c>
      <c r="X907">
        <v>125.07266569999</v>
      </c>
      <c r="Y907">
        <v>125.08271119999699</v>
      </c>
      <c r="Z907">
        <v>125.58467300003301</v>
      </c>
      <c r="AA907">
        <v>125.58467300003301</v>
      </c>
      <c r="AB907">
        <v>125.58467300003301</v>
      </c>
      <c r="AC907">
        <v>126.853892699989</v>
      </c>
      <c r="AD907" t="s">
        <v>54</v>
      </c>
      <c r="AE907">
        <v>1</v>
      </c>
      <c r="AF907">
        <v>1.2674509999924299</v>
      </c>
      <c r="AG907" t="s">
        <v>51</v>
      </c>
      <c r="AK907" t="s">
        <v>94</v>
      </c>
      <c r="AL907">
        <v>1</v>
      </c>
      <c r="AM907" t="s">
        <v>87</v>
      </c>
      <c r="AN907" t="s">
        <v>43</v>
      </c>
      <c r="AP907" t="s">
        <v>44</v>
      </c>
      <c r="AQ907">
        <v>60.129904655169099</v>
      </c>
      <c r="AR907" t="s">
        <v>88</v>
      </c>
    </row>
    <row r="908" spans="1:44" x14ac:dyDescent="0.3">
      <c r="A908" t="s">
        <v>72</v>
      </c>
      <c r="B908" t="s">
        <v>62</v>
      </c>
      <c r="C908" s="2" t="str">
        <f t="shared" si="14"/>
        <v>Emotional-C</v>
      </c>
      <c r="D908">
        <v>1.0607820000150201</v>
      </c>
      <c r="E908" t="s">
        <v>59</v>
      </c>
      <c r="F908" t="s">
        <v>61</v>
      </c>
      <c r="G908" t="s">
        <v>63</v>
      </c>
      <c r="H908">
        <v>99</v>
      </c>
      <c r="I908">
        <v>19</v>
      </c>
      <c r="J908">
        <v>4</v>
      </c>
      <c r="K908" t="s">
        <v>63</v>
      </c>
      <c r="L908">
        <v>1</v>
      </c>
      <c r="M908">
        <v>0.84580500004812997</v>
      </c>
      <c r="N908" t="s">
        <v>51</v>
      </c>
      <c r="O908">
        <v>4</v>
      </c>
      <c r="P908">
        <v>19</v>
      </c>
      <c r="Q908">
        <v>99</v>
      </c>
      <c r="R908">
        <v>8</v>
      </c>
      <c r="S908">
        <v>126.86676920001599</v>
      </c>
      <c r="X908">
        <v>126.857179399987</v>
      </c>
      <c r="Y908">
        <v>126.86676920001599</v>
      </c>
      <c r="Z908">
        <v>127.366299399989</v>
      </c>
      <c r="AA908">
        <v>127.366299399989</v>
      </c>
      <c r="AB908">
        <v>127.366299399989</v>
      </c>
      <c r="AC908">
        <v>128.21981169999299</v>
      </c>
      <c r="AD908" t="s">
        <v>63</v>
      </c>
      <c r="AE908">
        <v>1</v>
      </c>
      <c r="AF908">
        <v>0.84580500004812997</v>
      </c>
      <c r="AG908" t="s">
        <v>51</v>
      </c>
      <c r="AK908" t="s">
        <v>94</v>
      </c>
      <c r="AL908">
        <v>1</v>
      </c>
      <c r="AM908" t="s">
        <v>87</v>
      </c>
      <c r="AN908" t="s">
        <v>43</v>
      </c>
      <c r="AP908" t="s">
        <v>44</v>
      </c>
      <c r="AQ908">
        <v>60.129904655169099</v>
      </c>
      <c r="AR908" t="s">
        <v>88</v>
      </c>
    </row>
    <row r="909" spans="1:44" x14ac:dyDescent="0.3">
      <c r="A909" t="s">
        <v>65</v>
      </c>
      <c r="B909" t="s">
        <v>49</v>
      </c>
      <c r="C909" s="2" t="str">
        <f t="shared" si="14"/>
        <v>Emotional-I</v>
      </c>
      <c r="D909">
        <v>0.80317610001657103</v>
      </c>
      <c r="E909" t="s">
        <v>59</v>
      </c>
      <c r="F909" t="s">
        <v>56</v>
      </c>
      <c r="G909" t="s">
        <v>57</v>
      </c>
      <c r="H909">
        <v>100</v>
      </c>
      <c r="I909">
        <v>0</v>
      </c>
      <c r="J909">
        <v>5</v>
      </c>
      <c r="K909" t="s">
        <v>57</v>
      </c>
      <c r="L909">
        <v>1</v>
      </c>
      <c r="M909">
        <v>0.855514499999117</v>
      </c>
      <c r="N909" t="s">
        <v>51</v>
      </c>
      <c r="O909">
        <v>5</v>
      </c>
      <c r="P909">
        <v>0</v>
      </c>
      <c r="Q909">
        <v>100</v>
      </c>
      <c r="R909">
        <v>9</v>
      </c>
      <c r="S909">
        <v>128.232428800023</v>
      </c>
      <c r="X909">
        <v>128.223416100023</v>
      </c>
      <c r="Y909">
        <v>128.232428800023</v>
      </c>
      <c r="Z909">
        <v>128.732510400004</v>
      </c>
      <c r="AA909">
        <v>128.732510400004</v>
      </c>
      <c r="AB909">
        <v>128.732510400004</v>
      </c>
      <c r="AC909">
        <v>129.60315400001099</v>
      </c>
      <c r="AD909" t="s">
        <v>57</v>
      </c>
      <c r="AE909">
        <v>1</v>
      </c>
      <c r="AF909">
        <v>0.855514499999117</v>
      </c>
      <c r="AG909" t="s">
        <v>51</v>
      </c>
      <c r="AK909" t="s">
        <v>94</v>
      </c>
      <c r="AL909">
        <v>1</v>
      </c>
      <c r="AM909" t="s">
        <v>87</v>
      </c>
      <c r="AN909" t="s">
        <v>43</v>
      </c>
      <c r="AP909" t="s">
        <v>44</v>
      </c>
      <c r="AQ909">
        <v>60.129904655169099</v>
      </c>
      <c r="AR909" t="s">
        <v>88</v>
      </c>
    </row>
    <row r="910" spans="1:44" x14ac:dyDescent="0.3">
      <c r="A910" t="s">
        <v>70</v>
      </c>
      <c r="B910" t="s">
        <v>49</v>
      </c>
      <c r="C910" s="2" t="str">
        <f t="shared" si="14"/>
        <v>Emotional-I</v>
      </c>
      <c r="D910">
        <v>0.55587809998542004</v>
      </c>
      <c r="E910" t="s">
        <v>59</v>
      </c>
      <c r="F910" t="s">
        <v>53</v>
      </c>
      <c r="G910" t="s">
        <v>54</v>
      </c>
      <c r="H910">
        <v>101</v>
      </c>
      <c r="I910">
        <v>1</v>
      </c>
      <c r="J910">
        <v>5</v>
      </c>
      <c r="K910" t="s">
        <v>54</v>
      </c>
      <c r="L910">
        <v>1</v>
      </c>
      <c r="M910">
        <v>1.36005040002055</v>
      </c>
      <c r="N910" t="s">
        <v>51</v>
      </c>
      <c r="O910">
        <v>5</v>
      </c>
      <c r="P910">
        <v>1</v>
      </c>
      <c r="Q910">
        <v>101</v>
      </c>
      <c r="R910">
        <v>2</v>
      </c>
      <c r="S910">
        <v>129.616661700012</v>
      </c>
      <c r="X910">
        <v>129.60574520000901</v>
      </c>
      <c r="Y910">
        <v>129.616661700012</v>
      </c>
      <c r="Z910">
        <v>130.11627920001001</v>
      </c>
      <c r="AA910">
        <v>130.11627920001001</v>
      </c>
      <c r="AB910">
        <v>130.11627920001001</v>
      </c>
      <c r="AC910">
        <v>131.48557140002899</v>
      </c>
      <c r="AD910" t="s">
        <v>54</v>
      </c>
      <c r="AE910">
        <v>1</v>
      </c>
      <c r="AF910">
        <v>1.36005040002055</v>
      </c>
      <c r="AG910" t="s">
        <v>51</v>
      </c>
      <c r="AK910" t="s">
        <v>94</v>
      </c>
      <c r="AL910">
        <v>1</v>
      </c>
      <c r="AM910" t="s">
        <v>87</v>
      </c>
      <c r="AN910" t="s">
        <v>43</v>
      </c>
      <c r="AP910" t="s">
        <v>44</v>
      </c>
      <c r="AQ910">
        <v>60.129904655169099</v>
      </c>
      <c r="AR910" t="s">
        <v>88</v>
      </c>
    </row>
    <row r="911" spans="1:44" x14ac:dyDescent="0.3">
      <c r="A911" t="s">
        <v>73</v>
      </c>
      <c r="B911" t="s">
        <v>49</v>
      </c>
      <c r="C911" s="2" t="str">
        <f t="shared" si="14"/>
        <v>Emotional-I</v>
      </c>
      <c r="D911">
        <v>0.69315910001751002</v>
      </c>
      <c r="E911" t="s">
        <v>59</v>
      </c>
      <c r="F911" t="s">
        <v>56</v>
      </c>
      <c r="G911" t="s">
        <v>57</v>
      </c>
      <c r="H911">
        <v>102</v>
      </c>
      <c r="I911">
        <v>2</v>
      </c>
      <c r="J911">
        <v>5</v>
      </c>
      <c r="K911" t="s">
        <v>57</v>
      </c>
      <c r="L911">
        <v>1</v>
      </c>
      <c r="M911">
        <v>0.63687659997958601</v>
      </c>
      <c r="N911" t="s">
        <v>51</v>
      </c>
      <c r="O911">
        <v>5</v>
      </c>
      <c r="P911">
        <v>2</v>
      </c>
      <c r="Q911">
        <v>102</v>
      </c>
      <c r="R911">
        <v>1</v>
      </c>
      <c r="S911">
        <v>131.499159300001</v>
      </c>
      <c r="X911">
        <v>131.48822200001399</v>
      </c>
      <c r="Y911">
        <v>131.499159300001</v>
      </c>
      <c r="Z911">
        <v>131.99958240002101</v>
      </c>
      <c r="AA911">
        <v>131.99958240002101</v>
      </c>
      <c r="AB911">
        <v>131.99958240002101</v>
      </c>
      <c r="AC911">
        <v>132.65322109998601</v>
      </c>
      <c r="AD911" t="s">
        <v>57</v>
      </c>
      <c r="AE911">
        <v>1</v>
      </c>
      <c r="AF911">
        <v>0.63687659997958601</v>
      </c>
      <c r="AG911" t="s">
        <v>51</v>
      </c>
      <c r="AK911" t="s">
        <v>94</v>
      </c>
      <c r="AL911">
        <v>1</v>
      </c>
      <c r="AM911" t="s">
        <v>87</v>
      </c>
      <c r="AN911" t="s">
        <v>43</v>
      </c>
      <c r="AP911" t="s">
        <v>44</v>
      </c>
      <c r="AQ911">
        <v>60.129904655169099</v>
      </c>
      <c r="AR911" t="s">
        <v>88</v>
      </c>
    </row>
    <row r="912" spans="1:44" x14ac:dyDescent="0.3">
      <c r="A912" t="s">
        <v>76</v>
      </c>
      <c r="B912" t="s">
        <v>49</v>
      </c>
      <c r="C912" s="2" t="str">
        <f t="shared" si="14"/>
        <v>Emotional-I</v>
      </c>
      <c r="D912">
        <v>0.835168100020382</v>
      </c>
      <c r="E912" t="s">
        <v>59</v>
      </c>
      <c r="F912" t="s">
        <v>48</v>
      </c>
      <c r="G912" t="s">
        <v>50</v>
      </c>
      <c r="H912">
        <v>103</v>
      </c>
      <c r="I912">
        <v>3</v>
      </c>
      <c r="J912">
        <v>5</v>
      </c>
      <c r="K912" t="s">
        <v>50</v>
      </c>
      <c r="L912">
        <v>1</v>
      </c>
      <c r="M912">
        <v>1.0854510000208299</v>
      </c>
      <c r="N912" t="s">
        <v>51</v>
      </c>
      <c r="O912">
        <v>5</v>
      </c>
      <c r="P912">
        <v>3</v>
      </c>
      <c r="Q912">
        <v>103</v>
      </c>
      <c r="R912">
        <v>3</v>
      </c>
      <c r="S912">
        <v>132.66580680000999</v>
      </c>
      <c r="X912">
        <v>132.65584170003399</v>
      </c>
      <c r="Y912">
        <v>132.66580680000999</v>
      </c>
      <c r="Z912">
        <v>133.16575949999901</v>
      </c>
      <c r="AA912">
        <v>133.16575949999901</v>
      </c>
      <c r="AB912">
        <v>133.16575949999901</v>
      </c>
      <c r="AC912">
        <v>134.25289950001701</v>
      </c>
      <c r="AD912" t="s">
        <v>50</v>
      </c>
      <c r="AE912">
        <v>1</v>
      </c>
      <c r="AF912">
        <v>1.0854510000208299</v>
      </c>
      <c r="AG912" t="s">
        <v>51</v>
      </c>
      <c r="AK912" t="s">
        <v>94</v>
      </c>
      <c r="AL912">
        <v>1</v>
      </c>
      <c r="AM912" t="s">
        <v>87</v>
      </c>
      <c r="AN912" t="s">
        <v>43</v>
      </c>
      <c r="AP912" t="s">
        <v>44</v>
      </c>
      <c r="AQ912">
        <v>60.129904655169099</v>
      </c>
      <c r="AR912" t="s">
        <v>88</v>
      </c>
    </row>
    <row r="913" spans="1:44" x14ac:dyDescent="0.3">
      <c r="A913" t="s">
        <v>77</v>
      </c>
      <c r="B913" t="s">
        <v>62</v>
      </c>
      <c r="C913" s="2" t="str">
        <f t="shared" si="14"/>
        <v>Emotional-C</v>
      </c>
      <c r="D913">
        <v>0.73700090002967</v>
      </c>
      <c r="E913" t="s">
        <v>59</v>
      </c>
      <c r="F913" t="s">
        <v>61</v>
      </c>
      <c r="G913" t="s">
        <v>63</v>
      </c>
      <c r="H913">
        <v>104</v>
      </c>
      <c r="I913">
        <v>4</v>
      </c>
      <c r="J913">
        <v>5</v>
      </c>
      <c r="K913" t="s">
        <v>63</v>
      </c>
      <c r="L913">
        <v>1</v>
      </c>
      <c r="M913">
        <v>0.69199169997591503</v>
      </c>
      <c r="N913" t="s">
        <v>51</v>
      </c>
      <c r="O913">
        <v>5</v>
      </c>
      <c r="P913">
        <v>4</v>
      </c>
      <c r="Q913">
        <v>104</v>
      </c>
      <c r="R913">
        <v>4</v>
      </c>
      <c r="S913">
        <v>134.26587569998799</v>
      </c>
      <c r="X913">
        <v>134.25552410003701</v>
      </c>
      <c r="Y913">
        <v>134.26587569998799</v>
      </c>
      <c r="Z913">
        <v>134.766203799983</v>
      </c>
      <c r="AA913">
        <v>134.766203799983</v>
      </c>
      <c r="AB913">
        <v>134.766203799983</v>
      </c>
      <c r="AC913">
        <v>135.47014310001299</v>
      </c>
      <c r="AD913" t="s">
        <v>63</v>
      </c>
      <c r="AE913">
        <v>1</v>
      </c>
      <c r="AF913">
        <v>0.69199169997591503</v>
      </c>
      <c r="AG913" t="s">
        <v>51</v>
      </c>
      <c r="AK913" t="s">
        <v>94</v>
      </c>
      <c r="AL913">
        <v>1</v>
      </c>
      <c r="AM913" t="s">
        <v>87</v>
      </c>
      <c r="AN913" t="s">
        <v>43</v>
      </c>
      <c r="AP913" t="s">
        <v>44</v>
      </c>
      <c r="AQ913">
        <v>60.129904655169099</v>
      </c>
      <c r="AR913" t="s">
        <v>88</v>
      </c>
    </row>
    <row r="914" spans="1:44" x14ac:dyDescent="0.3">
      <c r="A914" t="s">
        <v>64</v>
      </c>
      <c r="B914" t="s">
        <v>49</v>
      </c>
      <c r="C914" s="2" t="str">
        <f t="shared" si="14"/>
        <v>Neutral</v>
      </c>
      <c r="D914">
        <v>0.81879529997240696</v>
      </c>
      <c r="E914" t="s">
        <v>47</v>
      </c>
      <c r="F914" t="s">
        <v>53</v>
      </c>
      <c r="G914" t="s">
        <v>54</v>
      </c>
      <c r="H914">
        <v>105</v>
      </c>
      <c r="I914">
        <v>5</v>
      </c>
      <c r="J914">
        <v>5</v>
      </c>
      <c r="K914" t="s">
        <v>54</v>
      </c>
      <c r="L914">
        <v>1</v>
      </c>
      <c r="M914">
        <v>1.0184154000016801</v>
      </c>
      <c r="N914" t="s">
        <v>51</v>
      </c>
      <c r="O914">
        <v>5</v>
      </c>
      <c r="P914">
        <v>5</v>
      </c>
      <c r="Q914">
        <v>105</v>
      </c>
      <c r="R914">
        <v>18</v>
      </c>
      <c r="S914">
        <v>135.48280030000001</v>
      </c>
      <c r="X914">
        <v>135.472412600007</v>
      </c>
      <c r="Y914">
        <v>135.48280030000001</v>
      </c>
      <c r="Z914">
        <v>135.98273779998999</v>
      </c>
      <c r="AA914">
        <v>135.98273779998999</v>
      </c>
      <c r="AB914">
        <v>135.98273779998999</v>
      </c>
      <c r="AC914">
        <v>137.003329900035</v>
      </c>
      <c r="AD914" t="s">
        <v>54</v>
      </c>
      <c r="AE914">
        <v>1</v>
      </c>
      <c r="AF914">
        <v>1.0184154000016801</v>
      </c>
      <c r="AG914" t="s">
        <v>51</v>
      </c>
      <c r="AK914" t="s">
        <v>94</v>
      </c>
      <c r="AL914">
        <v>1</v>
      </c>
      <c r="AM914" t="s">
        <v>87</v>
      </c>
      <c r="AN914" t="s">
        <v>43</v>
      </c>
      <c r="AP914" t="s">
        <v>44</v>
      </c>
      <c r="AQ914">
        <v>60.129904655169099</v>
      </c>
      <c r="AR914" t="s">
        <v>88</v>
      </c>
    </row>
    <row r="915" spans="1:44" x14ac:dyDescent="0.3">
      <c r="A915" t="s">
        <v>67</v>
      </c>
      <c r="B915" t="s">
        <v>49</v>
      </c>
      <c r="C915" s="2" t="str">
        <f t="shared" si="14"/>
        <v>Neutral</v>
      </c>
      <c r="D915">
        <v>0.50565700000151903</v>
      </c>
      <c r="E915" t="s">
        <v>47</v>
      </c>
      <c r="F915" t="s">
        <v>53</v>
      </c>
      <c r="G915" t="s">
        <v>54</v>
      </c>
      <c r="H915">
        <v>106</v>
      </c>
      <c r="I915">
        <v>6</v>
      </c>
      <c r="J915">
        <v>5</v>
      </c>
      <c r="K915" t="s">
        <v>54</v>
      </c>
      <c r="L915">
        <v>1</v>
      </c>
      <c r="M915">
        <v>0.58544230001279995</v>
      </c>
      <c r="N915" t="s">
        <v>51</v>
      </c>
      <c r="O915">
        <v>5</v>
      </c>
      <c r="P915">
        <v>6</v>
      </c>
      <c r="Q915">
        <v>106</v>
      </c>
      <c r="R915">
        <v>10</v>
      </c>
      <c r="S915">
        <v>137.01558350003299</v>
      </c>
      <c r="X915">
        <v>137.006669600028</v>
      </c>
      <c r="Y915">
        <v>137.01558350003299</v>
      </c>
      <c r="Z915">
        <v>137.515290600014</v>
      </c>
      <c r="AA915">
        <v>137.515290600014</v>
      </c>
      <c r="AB915">
        <v>137.515290600014</v>
      </c>
      <c r="AC915">
        <v>138.10336040001101</v>
      </c>
      <c r="AD915" t="s">
        <v>54</v>
      </c>
      <c r="AE915">
        <v>1</v>
      </c>
      <c r="AF915">
        <v>0.58544230001279995</v>
      </c>
      <c r="AG915" t="s">
        <v>51</v>
      </c>
      <c r="AK915" t="s">
        <v>94</v>
      </c>
      <c r="AL915">
        <v>1</v>
      </c>
      <c r="AM915" t="s">
        <v>87</v>
      </c>
      <c r="AN915" t="s">
        <v>43</v>
      </c>
      <c r="AP915" t="s">
        <v>44</v>
      </c>
      <c r="AQ915">
        <v>60.129904655169099</v>
      </c>
      <c r="AR915" t="s">
        <v>88</v>
      </c>
    </row>
    <row r="916" spans="1:44" x14ac:dyDescent="0.3">
      <c r="A916" t="s">
        <v>74</v>
      </c>
      <c r="B916" t="s">
        <v>49</v>
      </c>
      <c r="C916" s="2" t="str">
        <f t="shared" si="14"/>
        <v>Neutral</v>
      </c>
      <c r="D916">
        <v>0.653243899985682</v>
      </c>
      <c r="E916" t="s">
        <v>47</v>
      </c>
      <c r="F916" t="s">
        <v>48</v>
      </c>
      <c r="G916" t="s">
        <v>50</v>
      </c>
      <c r="H916">
        <v>107</v>
      </c>
      <c r="I916">
        <v>7</v>
      </c>
      <c r="J916">
        <v>5</v>
      </c>
      <c r="K916" t="s">
        <v>50</v>
      </c>
      <c r="L916">
        <v>1</v>
      </c>
      <c r="M916">
        <v>0.62620040000183497</v>
      </c>
      <c r="N916" t="s">
        <v>51</v>
      </c>
      <c r="O916">
        <v>5</v>
      </c>
      <c r="P916">
        <v>7</v>
      </c>
      <c r="Q916">
        <v>107</v>
      </c>
      <c r="R916">
        <v>11</v>
      </c>
      <c r="S916">
        <v>138.11715390003499</v>
      </c>
      <c r="X916">
        <v>138.10651900002199</v>
      </c>
      <c r="Y916">
        <v>138.11715390003499</v>
      </c>
      <c r="Z916">
        <v>138.61559500003901</v>
      </c>
      <c r="AA916">
        <v>138.61559500003901</v>
      </c>
      <c r="AB916">
        <v>138.61559500003901</v>
      </c>
      <c r="AC916">
        <v>139.25289380003201</v>
      </c>
      <c r="AD916" t="s">
        <v>50</v>
      </c>
      <c r="AE916">
        <v>1</v>
      </c>
      <c r="AF916">
        <v>0.62620040000183497</v>
      </c>
      <c r="AG916" t="s">
        <v>51</v>
      </c>
      <c r="AK916" t="s">
        <v>94</v>
      </c>
      <c r="AL916">
        <v>1</v>
      </c>
      <c r="AM916" t="s">
        <v>87</v>
      </c>
      <c r="AN916" t="s">
        <v>43</v>
      </c>
      <c r="AP916" t="s">
        <v>44</v>
      </c>
      <c r="AQ916">
        <v>60.129904655169099</v>
      </c>
      <c r="AR916" t="s">
        <v>88</v>
      </c>
    </row>
    <row r="917" spans="1:44" x14ac:dyDescent="0.3">
      <c r="A917" t="s">
        <v>68</v>
      </c>
      <c r="B917" t="s">
        <v>49</v>
      </c>
      <c r="C917" s="2" t="str">
        <f t="shared" si="14"/>
        <v>Emotional-I</v>
      </c>
      <c r="D917">
        <v>1.2843872000230401</v>
      </c>
      <c r="E917" t="s">
        <v>59</v>
      </c>
      <c r="F917" t="s">
        <v>53</v>
      </c>
      <c r="G917" t="s">
        <v>54</v>
      </c>
      <c r="H917">
        <v>108</v>
      </c>
      <c r="I917">
        <v>8</v>
      </c>
      <c r="J917">
        <v>5</v>
      </c>
      <c r="K917" t="s">
        <v>54</v>
      </c>
      <c r="L917">
        <v>1</v>
      </c>
      <c r="M917">
        <v>0.76781409996328798</v>
      </c>
      <c r="N917" t="s">
        <v>51</v>
      </c>
      <c r="O917">
        <v>5</v>
      </c>
      <c r="P917">
        <v>8</v>
      </c>
      <c r="Q917">
        <v>108</v>
      </c>
      <c r="R917">
        <v>6</v>
      </c>
      <c r="S917">
        <v>139.26554460002799</v>
      </c>
      <c r="X917">
        <v>139.25716050004101</v>
      </c>
      <c r="Y917">
        <v>139.26554460002799</v>
      </c>
      <c r="Z917">
        <v>139.76589000003801</v>
      </c>
      <c r="AA917">
        <v>139.76589000003801</v>
      </c>
      <c r="AB917">
        <v>139.76589000003801</v>
      </c>
      <c r="AC917">
        <v>140.53647360001901</v>
      </c>
      <c r="AD917" t="s">
        <v>54</v>
      </c>
      <c r="AE917">
        <v>1</v>
      </c>
      <c r="AF917">
        <v>0.76781409996328798</v>
      </c>
      <c r="AG917" t="s">
        <v>51</v>
      </c>
      <c r="AK917" t="s">
        <v>94</v>
      </c>
      <c r="AL917">
        <v>1</v>
      </c>
      <c r="AM917" t="s">
        <v>87</v>
      </c>
      <c r="AN917" t="s">
        <v>43</v>
      </c>
      <c r="AP917" t="s">
        <v>44</v>
      </c>
      <c r="AQ917">
        <v>60.129904655169099</v>
      </c>
      <c r="AR917" t="s">
        <v>88</v>
      </c>
    </row>
    <row r="918" spans="1:44" x14ac:dyDescent="0.3">
      <c r="A918" t="s">
        <v>52</v>
      </c>
      <c r="B918" t="s">
        <v>49</v>
      </c>
      <c r="C918" s="2" t="str">
        <f t="shared" si="14"/>
        <v>Neutral</v>
      </c>
      <c r="D918">
        <v>0.94023040001047697</v>
      </c>
      <c r="E918" t="s">
        <v>47</v>
      </c>
      <c r="F918" t="s">
        <v>53</v>
      </c>
      <c r="G918" t="s">
        <v>54</v>
      </c>
      <c r="H918">
        <v>109</v>
      </c>
      <c r="I918">
        <v>9</v>
      </c>
      <c r="J918">
        <v>5</v>
      </c>
      <c r="K918" t="s">
        <v>54</v>
      </c>
      <c r="L918">
        <v>1</v>
      </c>
      <c r="M918">
        <v>0.67093969997949898</v>
      </c>
      <c r="N918" t="s">
        <v>51</v>
      </c>
      <c r="O918">
        <v>5</v>
      </c>
      <c r="P918">
        <v>9</v>
      </c>
      <c r="Q918">
        <v>109</v>
      </c>
      <c r="R918">
        <v>14</v>
      </c>
      <c r="S918">
        <v>140.54953399998999</v>
      </c>
      <c r="X918">
        <v>140.539105700037</v>
      </c>
      <c r="Y918">
        <v>140.54953399998999</v>
      </c>
      <c r="Z918">
        <v>141.04915530001699</v>
      </c>
      <c r="AA918">
        <v>141.04915530001699</v>
      </c>
      <c r="AB918">
        <v>141.04915530001699</v>
      </c>
      <c r="AC918">
        <v>141.735886999988</v>
      </c>
      <c r="AD918" t="s">
        <v>54</v>
      </c>
      <c r="AE918">
        <v>1</v>
      </c>
      <c r="AF918">
        <v>0.67093969997949898</v>
      </c>
      <c r="AG918" t="s">
        <v>51</v>
      </c>
      <c r="AK918" t="s">
        <v>94</v>
      </c>
      <c r="AL918">
        <v>1</v>
      </c>
      <c r="AM918" t="s">
        <v>87</v>
      </c>
      <c r="AN918" t="s">
        <v>43</v>
      </c>
      <c r="AP918" t="s">
        <v>44</v>
      </c>
      <c r="AQ918">
        <v>60.129904655169099</v>
      </c>
      <c r="AR918" t="s">
        <v>88</v>
      </c>
    </row>
    <row r="919" spans="1:44" x14ac:dyDescent="0.3">
      <c r="A919" t="s">
        <v>58</v>
      </c>
      <c r="B919" t="s">
        <v>49</v>
      </c>
      <c r="C919" s="2" t="str">
        <f t="shared" si="14"/>
        <v>Emotional-I</v>
      </c>
      <c r="D919">
        <v>0.46775650000199598</v>
      </c>
      <c r="E919" t="s">
        <v>59</v>
      </c>
      <c r="F919" t="s">
        <v>48</v>
      </c>
      <c r="G919" t="s">
        <v>50</v>
      </c>
      <c r="H919">
        <v>110</v>
      </c>
      <c r="I919">
        <v>10</v>
      </c>
      <c r="J919">
        <v>5</v>
      </c>
      <c r="K919" t="s">
        <v>50</v>
      </c>
      <c r="L919">
        <v>1</v>
      </c>
      <c r="M919">
        <v>0.51151039998512704</v>
      </c>
      <c r="N919" t="s">
        <v>51</v>
      </c>
      <c r="O919">
        <v>5</v>
      </c>
      <c r="P919">
        <v>10</v>
      </c>
      <c r="Q919">
        <v>110</v>
      </c>
      <c r="R919">
        <v>7</v>
      </c>
      <c r="S919">
        <v>141.74882530001901</v>
      </c>
      <c r="X919">
        <v>141.73842160001999</v>
      </c>
      <c r="Y919">
        <v>141.74882530001901</v>
      </c>
      <c r="Z919">
        <v>142.24911390000401</v>
      </c>
      <c r="AA919">
        <v>142.24911390000401</v>
      </c>
      <c r="AB919">
        <v>142.24911390000401</v>
      </c>
      <c r="AC919">
        <v>142.76876370003399</v>
      </c>
      <c r="AD919" t="s">
        <v>50</v>
      </c>
      <c r="AE919">
        <v>1</v>
      </c>
      <c r="AF919">
        <v>0.51151039998512704</v>
      </c>
      <c r="AG919" t="s">
        <v>51</v>
      </c>
      <c r="AK919" t="s">
        <v>94</v>
      </c>
      <c r="AL919">
        <v>1</v>
      </c>
      <c r="AM919" t="s">
        <v>87</v>
      </c>
      <c r="AN919" t="s">
        <v>43</v>
      </c>
      <c r="AP919" t="s">
        <v>44</v>
      </c>
      <c r="AQ919">
        <v>60.129904655169099</v>
      </c>
      <c r="AR919" t="s">
        <v>88</v>
      </c>
    </row>
    <row r="920" spans="1:44" x14ac:dyDescent="0.3">
      <c r="A920" t="s">
        <v>72</v>
      </c>
      <c r="B920" t="s">
        <v>62</v>
      </c>
      <c r="C920" s="2" t="str">
        <f t="shared" si="14"/>
        <v>Emotional-C</v>
      </c>
      <c r="D920">
        <v>0.38455979997524897</v>
      </c>
      <c r="E920" t="s">
        <v>59</v>
      </c>
      <c r="F920" t="s">
        <v>61</v>
      </c>
      <c r="G920" t="s">
        <v>63</v>
      </c>
      <c r="H920">
        <v>111</v>
      </c>
      <c r="I920">
        <v>11</v>
      </c>
      <c r="J920">
        <v>5</v>
      </c>
      <c r="K920" t="s">
        <v>63</v>
      </c>
      <c r="L920">
        <v>1</v>
      </c>
      <c r="M920">
        <v>0.67250310000963498</v>
      </c>
      <c r="N920" t="s">
        <v>51</v>
      </c>
      <c r="O920">
        <v>5</v>
      </c>
      <c r="P920">
        <v>11</v>
      </c>
      <c r="Q920">
        <v>111</v>
      </c>
      <c r="R920">
        <v>8</v>
      </c>
      <c r="S920">
        <v>142.782166399993</v>
      </c>
      <c r="X920">
        <v>142.772107800003</v>
      </c>
      <c r="Y920">
        <v>142.782166399993</v>
      </c>
      <c r="Z920">
        <v>143.282832900004</v>
      </c>
      <c r="AA920">
        <v>143.282832900004</v>
      </c>
      <c r="AB920">
        <v>143.282832900004</v>
      </c>
      <c r="AC920">
        <v>143.969791800016</v>
      </c>
      <c r="AD920" t="s">
        <v>63</v>
      </c>
      <c r="AE920">
        <v>1</v>
      </c>
      <c r="AF920">
        <v>0.67250310000963498</v>
      </c>
      <c r="AG920" t="s">
        <v>51</v>
      </c>
      <c r="AK920" t="s">
        <v>94</v>
      </c>
      <c r="AL920">
        <v>1</v>
      </c>
      <c r="AM920" t="s">
        <v>87</v>
      </c>
      <c r="AN920" t="s">
        <v>43</v>
      </c>
      <c r="AP920" t="s">
        <v>44</v>
      </c>
      <c r="AQ920">
        <v>60.129904655169099</v>
      </c>
      <c r="AR920" t="s">
        <v>88</v>
      </c>
    </row>
    <row r="921" spans="1:44" x14ac:dyDescent="0.3">
      <c r="A921" t="s">
        <v>66</v>
      </c>
      <c r="B921" t="s">
        <v>49</v>
      </c>
      <c r="C921" s="2" t="str">
        <f t="shared" si="14"/>
        <v>Neutral</v>
      </c>
      <c r="D921">
        <v>0.99489399994490602</v>
      </c>
      <c r="E921" t="s">
        <v>47</v>
      </c>
      <c r="F921" t="s">
        <v>61</v>
      </c>
      <c r="G921" t="s">
        <v>63</v>
      </c>
      <c r="H921">
        <v>112</v>
      </c>
      <c r="I921">
        <v>12</v>
      </c>
      <c r="J921">
        <v>5</v>
      </c>
      <c r="K921" t="s">
        <v>63</v>
      </c>
      <c r="L921">
        <v>1</v>
      </c>
      <c r="M921">
        <v>0.44200949999503703</v>
      </c>
      <c r="N921" t="s">
        <v>51</v>
      </c>
      <c r="O921">
        <v>5</v>
      </c>
      <c r="P921">
        <v>12</v>
      </c>
      <c r="Q921">
        <v>112</v>
      </c>
      <c r="R921">
        <v>12</v>
      </c>
      <c r="S921">
        <v>143.98163940000799</v>
      </c>
      <c r="X921">
        <v>143.97346810001099</v>
      </c>
      <c r="Y921">
        <v>143.98163940000799</v>
      </c>
      <c r="Z921">
        <v>144.48202530003601</v>
      </c>
      <c r="AA921">
        <v>144.48202530003601</v>
      </c>
      <c r="AB921">
        <v>144.48202530003601</v>
      </c>
      <c r="AC921">
        <v>144.93588760000401</v>
      </c>
      <c r="AD921" t="s">
        <v>63</v>
      </c>
      <c r="AE921">
        <v>1</v>
      </c>
      <c r="AF921">
        <v>0.44200949999503703</v>
      </c>
      <c r="AG921" t="s">
        <v>51</v>
      </c>
      <c r="AK921" t="s">
        <v>94</v>
      </c>
      <c r="AL921">
        <v>1</v>
      </c>
      <c r="AM921" t="s">
        <v>87</v>
      </c>
      <c r="AN921" t="s">
        <v>43</v>
      </c>
      <c r="AP921" t="s">
        <v>44</v>
      </c>
      <c r="AQ921">
        <v>60.129904655169099</v>
      </c>
      <c r="AR921" t="s">
        <v>88</v>
      </c>
    </row>
    <row r="922" spans="1:44" x14ac:dyDescent="0.3">
      <c r="A922" t="s">
        <v>75</v>
      </c>
      <c r="B922" t="s">
        <v>49</v>
      </c>
      <c r="C922" s="2" t="str">
        <f t="shared" si="14"/>
        <v>Neutral</v>
      </c>
      <c r="D922">
        <v>0.551972299988847</v>
      </c>
      <c r="E922" t="s">
        <v>47</v>
      </c>
      <c r="F922" t="s">
        <v>61</v>
      </c>
      <c r="G922" t="s">
        <v>63</v>
      </c>
      <c r="H922">
        <v>113</v>
      </c>
      <c r="I922">
        <v>13</v>
      </c>
      <c r="J922">
        <v>5</v>
      </c>
      <c r="K922" t="s">
        <v>63</v>
      </c>
      <c r="L922">
        <v>1</v>
      </c>
      <c r="M922">
        <v>0.40042710001580401</v>
      </c>
      <c r="N922" t="s">
        <v>51</v>
      </c>
      <c r="O922">
        <v>5</v>
      </c>
      <c r="P922">
        <v>13</v>
      </c>
      <c r="Q922">
        <v>113</v>
      </c>
      <c r="R922">
        <v>16</v>
      </c>
      <c r="S922">
        <v>144.94875069998599</v>
      </c>
      <c r="X922">
        <v>144.93910580000301</v>
      </c>
      <c r="Y922">
        <v>144.94875069998599</v>
      </c>
      <c r="Z922">
        <v>145.44874309998701</v>
      </c>
      <c r="AA922">
        <v>145.44874309998701</v>
      </c>
      <c r="AB922">
        <v>145.44874309998701</v>
      </c>
      <c r="AC922">
        <v>145.85310690000099</v>
      </c>
      <c r="AD922" t="s">
        <v>63</v>
      </c>
      <c r="AE922">
        <v>1</v>
      </c>
      <c r="AF922">
        <v>0.40042710001580401</v>
      </c>
      <c r="AG922" t="s">
        <v>51</v>
      </c>
      <c r="AK922" t="s">
        <v>94</v>
      </c>
      <c r="AL922">
        <v>1</v>
      </c>
      <c r="AM922" t="s">
        <v>87</v>
      </c>
      <c r="AN922" t="s">
        <v>43</v>
      </c>
      <c r="AP922" t="s">
        <v>44</v>
      </c>
      <c r="AQ922">
        <v>60.129904655169099</v>
      </c>
      <c r="AR922" t="s">
        <v>88</v>
      </c>
    </row>
    <row r="923" spans="1:44" x14ac:dyDescent="0.3">
      <c r="A923" t="s">
        <v>69</v>
      </c>
      <c r="B923" t="s">
        <v>49</v>
      </c>
      <c r="C923" s="2" t="str">
        <f t="shared" si="14"/>
        <v>Emotional-I</v>
      </c>
      <c r="D923">
        <v>0.43958959996234598</v>
      </c>
      <c r="E923" t="s">
        <v>59</v>
      </c>
      <c r="F923" t="s">
        <v>56</v>
      </c>
      <c r="G923" t="s">
        <v>57</v>
      </c>
      <c r="H923">
        <v>114</v>
      </c>
      <c r="I923">
        <v>14</v>
      </c>
      <c r="J923">
        <v>5</v>
      </c>
      <c r="K923" t="s">
        <v>57</v>
      </c>
      <c r="L923">
        <v>1</v>
      </c>
      <c r="M923">
        <v>0.69880890002241303</v>
      </c>
      <c r="N923" t="s">
        <v>51</v>
      </c>
      <c r="O923">
        <v>5</v>
      </c>
      <c r="P923">
        <v>14</v>
      </c>
      <c r="Q923">
        <v>114</v>
      </c>
      <c r="R923">
        <v>5</v>
      </c>
      <c r="S923">
        <v>145.86579370003801</v>
      </c>
      <c r="X923">
        <v>145.85571520001301</v>
      </c>
      <c r="Y923">
        <v>145.86579370003801</v>
      </c>
      <c r="Z923">
        <v>146.36576590000101</v>
      </c>
      <c r="AA923">
        <v>146.36576590000101</v>
      </c>
      <c r="AB923">
        <v>146.36576590000101</v>
      </c>
      <c r="AC923">
        <v>147.06944560003399</v>
      </c>
      <c r="AD923" t="s">
        <v>57</v>
      </c>
      <c r="AE923">
        <v>1</v>
      </c>
      <c r="AF923">
        <v>0.69880890002241303</v>
      </c>
      <c r="AG923" t="s">
        <v>51</v>
      </c>
      <c r="AK923" t="s">
        <v>94</v>
      </c>
      <c r="AL923">
        <v>1</v>
      </c>
      <c r="AM923" t="s">
        <v>87</v>
      </c>
      <c r="AN923" t="s">
        <v>43</v>
      </c>
      <c r="AP923" t="s">
        <v>44</v>
      </c>
      <c r="AQ923">
        <v>60.129904655169099</v>
      </c>
      <c r="AR923" t="s">
        <v>88</v>
      </c>
    </row>
    <row r="924" spans="1:44" x14ac:dyDescent="0.3">
      <c r="A924" t="s">
        <v>78</v>
      </c>
      <c r="B924" t="s">
        <v>49</v>
      </c>
      <c r="C924" s="2" t="str">
        <f t="shared" si="14"/>
        <v>Neutral</v>
      </c>
      <c r="D924">
        <v>0.66896570002427302</v>
      </c>
      <c r="E924" t="s">
        <v>47</v>
      </c>
      <c r="F924" t="s">
        <v>56</v>
      </c>
      <c r="G924" t="s">
        <v>57</v>
      </c>
      <c r="H924">
        <v>115</v>
      </c>
      <c r="I924">
        <v>15</v>
      </c>
      <c r="J924">
        <v>5</v>
      </c>
      <c r="K924" t="s">
        <v>57</v>
      </c>
      <c r="L924">
        <v>1</v>
      </c>
      <c r="M924">
        <v>0.74952109996229399</v>
      </c>
      <c r="N924" t="s">
        <v>51</v>
      </c>
      <c r="O924">
        <v>5</v>
      </c>
      <c r="P924">
        <v>15</v>
      </c>
      <c r="Q924">
        <v>115</v>
      </c>
      <c r="R924">
        <v>17</v>
      </c>
      <c r="S924">
        <v>147.08240950002801</v>
      </c>
      <c r="X924">
        <v>147.07200580002899</v>
      </c>
      <c r="Y924">
        <v>147.08240950002801</v>
      </c>
      <c r="Z924">
        <v>147.581737200031</v>
      </c>
      <c r="AA924">
        <v>147.581737200031</v>
      </c>
      <c r="AB924">
        <v>147.581737200031</v>
      </c>
      <c r="AC924">
        <v>148.33634280000101</v>
      </c>
      <c r="AD924" t="s">
        <v>57</v>
      </c>
      <c r="AE924">
        <v>1</v>
      </c>
      <c r="AF924">
        <v>0.74952109996229399</v>
      </c>
      <c r="AG924" t="s">
        <v>51</v>
      </c>
      <c r="AK924" t="s">
        <v>94</v>
      </c>
      <c r="AL924">
        <v>1</v>
      </c>
      <c r="AM924" t="s">
        <v>87</v>
      </c>
      <c r="AN924" t="s">
        <v>43</v>
      </c>
      <c r="AP924" t="s">
        <v>44</v>
      </c>
      <c r="AQ924">
        <v>60.129904655169099</v>
      </c>
      <c r="AR924" t="s">
        <v>88</v>
      </c>
    </row>
    <row r="925" spans="1:44" x14ac:dyDescent="0.3">
      <c r="A925" t="s">
        <v>46</v>
      </c>
      <c r="B925" t="s">
        <v>49</v>
      </c>
      <c r="C925" s="2" t="str">
        <f t="shared" si="14"/>
        <v>Neutral</v>
      </c>
      <c r="D925">
        <v>0.63075379998190295</v>
      </c>
      <c r="E925" t="s">
        <v>47</v>
      </c>
      <c r="F925" t="s">
        <v>48</v>
      </c>
      <c r="G925" t="s">
        <v>50</v>
      </c>
      <c r="H925">
        <v>116</v>
      </c>
      <c r="I925">
        <v>16</v>
      </c>
      <c r="J925">
        <v>5</v>
      </c>
      <c r="K925" t="s">
        <v>50</v>
      </c>
      <c r="L925">
        <v>1</v>
      </c>
      <c r="M925">
        <v>0.80227710003964603</v>
      </c>
      <c r="N925" t="s">
        <v>51</v>
      </c>
      <c r="O925">
        <v>5</v>
      </c>
      <c r="P925">
        <v>16</v>
      </c>
      <c r="Q925">
        <v>116</v>
      </c>
      <c r="R925">
        <v>19</v>
      </c>
      <c r="S925">
        <v>148.34829059999899</v>
      </c>
      <c r="X925">
        <v>148.338798200013</v>
      </c>
      <c r="Y925">
        <v>148.34829059999899</v>
      </c>
      <c r="Z925">
        <v>148.849429199995</v>
      </c>
      <c r="AA925">
        <v>148.849429199995</v>
      </c>
      <c r="AB925">
        <v>148.849429199995</v>
      </c>
      <c r="AC925">
        <v>149.65263840003101</v>
      </c>
      <c r="AD925" t="s">
        <v>50</v>
      </c>
      <c r="AE925">
        <v>1</v>
      </c>
      <c r="AF925">
        <v>0.80227710003964603</v>
      </c>
      <c r="AG925" t="s">
        <v>51</v>
      </c>
      <c r="AK925" t="s">
        <v>94</v>
      </c>
      <c r="AL925">
        <v>1</v>
      </c>
      <c r="AM925" t="s">
        <v>87</v>
      </c>
      <c r="AN925" t="s">
        <v>43</v>
      </c>
      <c r="AP925" t="s">
        <v>44</v>
      </c>
      <c r="AQ925">
        <v>60.129904655169099</v>
      </c>
      <c r="AR925" t="s">
        <v>88</v>
      </c>
    </row>
    <row r="926" spans="1:44" x14ac:dyDescent="0.3">
      <c r="A926" t="s">
        <v>55</v>
      </c>
      <c r="B926" t="s">
        <v>49</v>
      </c>
      <c r="C926" s="2" t="str">
        <f t="shared" si="14"/>
        <v>Neutral</v>
      </c>
      <c r="D926">
        <v>1.0494894000003101</v>
      </c>
      <c r="E926" t="s">
        <v>47</v>
      </c>
      <c r="F926" t="s">
        <v>56</v>
      </c>
      <c r="G926" t="s">
        <v>57</v>
      </c>
      <c r="H926">
        <v>117</v>
      </c>
      <c r="I926">
        <v>17</v>
      </c>
      <c r="J926">
        <v>5</v>
      </c>
      <c r="K926" t="s">
        <v>57</v>
      </c>
      <c r="L926">
        <v>1</v>
      </c>
      <c r="M926">
        <v>1.0563735999749</v>
      </c>
      <c r="N926" t="s">
        <v>51</v>
      </c>
      <c r="O926">
        <v>5</v>
      </c>
      <c r="P926">
        <v>17</v>
      </c>
      <c r="Q926">
        <v>117</v>
      </c>
      <c r="R926">
        <v>13</v>
      </c>
      <c r="S926">
        <v>149.66573700000299</v>
      </c>
      <c r="X926">
        <v>149.655957300041</v>
      </c>
      <c r="Y926">
        <v>149.66573700000299</v>
      </c>
      <c r="Z926">
        <v>150.165177699993</v>
      </c>
      <c r="AA926">
        <v>150.165177699993</v>
      </c>
      <c r="AB926">
        <v>150.165177699993</v>
      </c>
      <c r="AC926">
        <v>151.235281300032</v>
      </c>
      <c r="AD926" t="s">
        <v>57</v>
      </c>
      <c r="AE926">
        <v>1</v>
      </c>
      <c r="AF926">
        <v>1.0563735999749</v>
      </c>
      <c r="AG926" t="s">
        <v>51</v>
      </c>
      <c r="AK926" t="s">
        <v>94</v>
      </c>
      <c r="AL926">
        <v>1</v>
      </c>
      <c r="AM926" t="s">
        <v>87</v>
      </c>
      <c r="AN926" t="s">
        <v>43</v>
      </c>
      <c r="AP926" t="s">
        <v>44</v>
      </c>
      <c r="AQ926">
        <v>60.129904655169099</v>
      </c>
      <c r="AR926" t="s">
        <v>88</v>
      </c>
    </row>
    <row r="927" spans="1:44" x14ac:dyDescent="0.3">
      <c r="A927" t="s">
        <v>60</v>
      </c>
      <c r="B927" t="s">
        <v>62</v>
      </c>
      <c r="C927" s="2" t="str">
        <f t="shared" si="14"/>
        <v>Emotional-C</v>
      </c>
      <c r="D927">
        <v>1.17555129999527</v>
      </c>
      <c r="E927" t="s">
        <v>59</v>
      </c>
      <c r="F927" t="s">
        <v>61</v>
      </c>
      <c r="G927" t="s">
        <v>63</v>
      </c>
      <c r="H927">
        <v>118</v>
      </c>
      <c r="I927">
        <v>18</v>
      </c>
      <c r="J927">
        <v>5</v>
      </c>
      <c r="K927" t="s">
        <v>63</v>
      </c>
      <c r="L927">
        <v>1</v>
      </c>
      <c r="M927">
        <v>0.82527620001928803</v>
      </c>
      <c r="N927" t="s">
        <v>51</v>
      </c>
      <c r="O927">
        <v>5</v>
      </c>
      <c r="P927">
        <v>18</v>
      </c>
      <c r="Q927">
        <v>118</v>
      </c>
      <c r="R927">
        <v>0</v>
      </c>
      <c r="S927">
        <v>151.248430300038</v>
      </c>
      <c r="X927">
        <v>151.237770600011</v>
      </c>
      <c r="Y927">
        <v>151.248430300038</v>
      </c>
      <c r="Z927">
        <v>151.74880430003299</v>
      </c>
      <c r="AA927">
        <v>151.74880430003299</v>
      </c>
      <c r="AB927">
        <v>151.74880430003299</v>
      </c>
      <c r="AC927">
        <v>152.58545070001799</v>
      </c>
      <c r="AD927" t="s">
        <v>63</v>
      </c>
      <c r="AE927">
        <v>1</v>
      </c>
      <c r="AF927">
        <v>0.82527620001928803</v>
      </c>
      <c r="AG927" t="s">
        <v>51</v>
      </c>
      <c r="AK927" t="s">
        <v>94</v>
      </c>
      <c r="AL927">
        <v>1</v>
      </c>
      <c r="AM927" t="s">
        <v>87</v>
      </c>
      <c r="AN927" t="s">
        <v>43</v>
      </c>
      <c r="AP927" t="s">
        <v>44</v>
      </c>
      <c r="AQ927">
        <v>60.129904655169099</v>
      </c>
      <c r="AR927" t="s">
        <v>88</v>
      </c>
    </row>
    <row r="928" spans="1:44" x14ac:dyDescent="0.3">
      <c r="A928" t="s">
        <v>71</v>
      </c>
      <c r="B928" t="s">
        <v>49</v>
      </c>
      <c r="C928" s="2" t="str">
        <f t="shared" si="14"/>
        <v>Neutral</v>
      </c>
      <c r="D928">
        <v>0.50983330002054505</v>
      </c>
      <c r="E928" t="s">
        <v>47</v>
      </c>
      <c r="F928" t="s">
        <v>48</v>
      </c>
      <c r="G928" t="s">
        <v>50</v>
      </c>
      <c r="H928">
        <v>119</v>
      </c>
      <c r="I928">
        <v>19</v>
      </c>
      <c r="J928">
        <v>5</v>
      </c>
      <c r="K928" t="s">
        <v>50</v>
      </c>
      <c r="L928">
        <v>1</v>
      </c>
      <c r="M928">
        <v>0.66088719997787804</v>
      </c>
      <c r="N928" t="s">
        <v>51</v>
      </c>
      <c r="O928">
        <v>5</v>
      </c>
      <c r="P928">
        <v>19</v>
      </c>
      <c r="Q928">
        <v>119</v>
      </c>
      <c r="R928">
        <v>15</v>
      </c>
      <c r="S928">
        <v>152.59876900003201</v>
      </c>
      <c r="X928">
        <v>152.58817050000599</v>
      </c>
      <c r="Y928">
        <v>152.59876900003201</v>
      </c>
      <c r="Z928">
        <v>153.09869180002701</v>
      </c>
      <c r="AA928">
        <v>153.09869180002701</v>
      </c>
      <c r="AB928">
        <v>153.09869180002701</v>
      </c>
      <c r="AC928">
        <v>153.76879679999499</v>
      </c>
      <c r="AD928" t="s">
        <v>50</v>
      </c>
      <c r="AE928">
        <v>1</v>
      </c>
      <c r="AF928">
        <v>0.66088719997787804</v>
      </c>
      <c r="AG928" t="s">
        <v>51</v>
      </c>
      <c r="AK928" t="s">
        <v>94</v>
      </c>
      <c r="AL928">
        <v>1</v>
      </c>
      <c r="AM928" t="s">
        <v>87</v>
      </c>
      <c r="AN928" t="s">
        <v>43</v>
      </c>
      <c r="AP928" t="s">
        <v>44</v>
      </c>
      <c r="AQ928">
        <v>60.129904655169099</v>
      </c>
      <c r="AR928" t="s">
        <v>88</v>
      </c>
    </row>
    <row r="929" spans="1:44" x14ac:dyDescent="0.3">
      <c r="A929" t="s">
        <v>70</v>
      </c>
      <c r="B929" t="s">
        <v>49</v>
      </c>
      <c r="C929" s="2" t="str">
        <f t="shared" si="14"/>
        <v>Emotional-I</v>
      </c>
      <c r="D929">
        <v>0.94502719998126805</v>
      </c>
      <c r="E929" t="s">
        <v>59</v>
      </c>
      <c r="F929" t="s">
        <v>53</v>
      </c>
      <c r="G929" t="s">
        <v>54</v>
      </c>
      <c r="H929">
        <v>120</v>
      </c>
      <c r="I929">
        <v>0</v>
      </c>
      <c r="J929">
        <v>6</v>
      </c>
      <c r="K929" t="s">
        <v>54</v>
      </c>
      <c r="L929">
        <v>1</v>
      </c>
      <c r="M929">
        <v>0.55217450001509805</v>
      </c>
      <c r="N929" t="s">
        <v>51</v>
      </c>
      <c r="O929">
        <v>6</v>
      </c>
      <c r="P929">
        <v>0</v>
      </c>
      <c r="Q929">
        <v>120</v>
      </c>
      <c r="R929">
        <v>2</v>
      </c>
      <c r="S929">
        <v>153.782126200036</v>
      </c>
      <c r="X929">
        <v>153.771606700029</v>
      </c>
      <c r="Y929">
        <v>153.782126200036</v>
      </c>
      <c r="Z929">
        <v>154.282697700022</v>
      </c>
      <c r="AA929">
        <v>154.282697700022</v>
      </c>
      <c r="AB929">
        <v>154.282697700022</v>
      </c>
      <c r="AC929">
        <v>154.852238300023</v>
      </c>
      <c r="AD929" t="s">
        <v>54</v>
      </c>
      <c r="AE929">
        <v>1</v>
      </c>
      <c r="AF929">
        <v>0.55217450001509805</v>
      </c>
      <c r="AG929" t="s">
        <v>51</v>
      </c>
      <c r="AK929" t="s">
        <v>94</v>
      </c>
      <c r="AL929">
        <v>1</v>
      </c>
      <c r="AM929" t="s">
        <v>87</v>
      </c>
      <c r="AN929" t="s">
        <v>43</v>
      </c>
      <c r="AP929" t="s">
        <v>44</v>
      </c>
      <c r="AQ929">
        <v>60.129904655169099</v>
      </c>
      <c r="AR929" t="s">
        <v>88</v>
      </c>
    </row>
    <row r="930" spans="1:44" hidden="1" x14ac:dyDescent="0.3">
      <c r="A930" t="s">
        <v>58</v>
      </c>
      <c r="B930" t="s">
        <v>49</v>
      </c>
      <c r="C930" s="2" t="str">
        <f t="shared" si="14"/>
        <v>Emotional-I</v>
      </c>
      <c r="D930">
        <v>0.59976350003853396</v>
      </c>
      <c r="E930" t="s">
        <v>59</v>
      </c>
      <c r="F930" t="s">
        <v>48</v>
      </c>
      <c r="G930" t="s">
        <v>50</v>
      </c>
      <c r="H930">
        <v>121</v>
      </c>
      <c r="I930">
        <v>1</v>
      </c>
      <c r="J930">
        <v>6</v>
      </c>
      <c r="K930" t="s">
        <v>54</v>
      </c>
      <c r="L930">
        <v>0</v>
      </c>
      <c r="M930">
        <v>0.55959879996953499</v>
      </c>
      <c r="N930" t="s">
        <v>51</v>
      </c>
      <c r="O930">
        <v>6</v>
      </c>
      <c r="P930">
        <v>1</v>
      </c>
      <c r="Q930">
        <v>121</v>
      </c>
      <c r="R930">
        <v>7</v>
      </c>
      <c r="S930">
        <v>154.864989300025</v>
      </c>
      <c r="X930">
        <v>154.855629900004</v>
      </c>
      <c r="Y930">
        <v>154.864989300025</v>
      </c>
      <c r="Z930">
        <v>155.364826600009</v>
      </c>
      <c r="AA930">
        <v>155.364826600009</v>
      </c>
      <c r="AB930">
        <v>155.364826600009</v>
      </c>
      <c r="AC930">
        <v>155.93497649999301</v>
      </c>
      <c r="AD930" t="s">
        <v>54</v>
      </c>
      <c r="AE930">
        <v>0</v>
      </c>
      <c r="AF930">
        <v>0.55959879996953499</v>
      </c>
      <c r="AG930" t="s">
        <v>51</v>
      </c>
      <c r="AK930" t="s">
        <v>94</v>
      </c>
      <c r="AL930">
        <v>1</v>
      </c>
      <c r="AM930" t="s">
        <v>87</v>
      </c>
      <c r="AN930" t="s">
        <v>43</v>
      </c>
      <c r="AP930" t="s">
        <v>44</v>
      </c>
      <c r="AQ930">
        <v>60.129904655169099</v>
      </c>
      <c r="AR930" t="s">
        <v>88</v>
      </c>
    </row>
    <row r="931" spans="1:44" hidden="1" x14ac:dyDescent="0.3">
      <c r="A931" t="s">
        <v>67</v>
      </c>
      <c r="B931" t="s">
        <v>49</v>
      </c>
      <c r="C931" s="2" t="str">
        <f t="shared" si="14"/>
        <v>Neutral</v>
      </c>
      <c r="D931">
        <v>0.84654729999601797</v>
      </c>
      <c r="E931" t="s">
        <v>47</v>
      </c>
      <c r="F931" t="s">
        <v>53</v>
      </c>
      <c r="G931" t="s">
        <v>54</v>
      </c>
      <c r="H931">
        <v>122</v>
      </c>
      <c r="I931">
        <v>2</v>
      </c>
      <c r="J931">
        <v>6</v>
      </c>
      <c r="K931" t="s">
        <v>57</v>
      </c>
      <c r="L931">
        <v>0</v>
      </c>
      <c r="M931">
        <v>0.52036520000547104</v>
      </c>
      <c r="N931" t="s">
        <v>51</v>
      </c>
      <c r="O931">
        <v>6</v>
      </c>
      <c r="P931">
        <v>2</v>
      </c>
      <c r="Q931">
        <v>122</v>
      </c>
      <c r="R931">
        <v>10</v>
      </c>
      <c r="S931">
        <v>155.94868870003799</v>
      </c>
      <c r="X931">
        <v>155.93754270003399</v>
      </c>
      <c r="Y931">
        <v>155.94868870003799</v>
      </c>
      <c r="Z931">
        <v>156.44859490002199</v>
      </c>
      <c r="AA931">
        <v>156.44859490002199</v>
      </c>
      <c r="AB931">
        <v>156.44859490002199</v>
      </c>
      <c r="AC931">
        <v>156.984892899985</v>
      </c>
      <c r="AD931" t="s">
        <v>57</v>
      </c>
      <c r="AE931">
        <v>0</v>
      </c>
      <c r="AF931">
        <v>0.52036520000547104</v>
      </c>
      <c r="AG931" t="s">
        <v>51</v>
      </c>
      <c r="AK931" t="s">
        <v>94</v>
      </c>
      <c r="AL931">
        <v>1</v>
      </c>
      <c r="AM931" t="s">
        <v>87</v>
      </c>
      <c r="AN931" t="s">
        <v>43</v>
      </c>
      <c r="AP931" t="s">
        <v>44</v>
      </c>
      <c r="AQ931">
        <v>60.129904655169099</v>
      </c>
      <c r="AR931" t="s">
        <v>88</v>
      </c>
    </row>
    <row r="932" spans="1:44" x14ac:dyDescent="0.3">
      <c r="A932" t="s">
        <v>60</v>
      </c>
      <c r="B932" t="s">
        <v>62</v>
      </c>
      <c r="C932" s="2" t="str">
        <f t="shared" si="14"/>
        <v>Emotional-C</v>
      </c>
      <c r="D932">
        <v>0.66080370004055999</v>
      </c>
      <c r="E932" t="s">
        <v>59</v>
      </c>
      <c r="F932" t="s">
        <v>61</v>
      </c>
      <c r="G932" t="s">
        <v>63</v>
      </c>
      <c r="H932">
        <v>123</v>
      </c>
      <c r="I932">
        <v>3</v>
      </c>
      <c r="J932">
        <v>6</v>
      </c>
      <c r="K932" t="s">
        <v>63</v>
      </c>
      <c r="L932">
        <v>1</v>
      </c>
      <c r="M932">
        <v>0.67274049995467</v>
      </c>
      <c r="N932" t="s">
        <v>51</v>
      </c>
      <c r="O932">
        <v>6</v>
      </c>
      <c r="P932">
        <v>3</v>
      </c>
      <c r="Q932">
        <v>123</v>
      </c>
      <c r="R932">
        <v>0</v>
      </c>
      <c r="S932">
        <v>156.99859500001099</v>
      </c>
      <c r="X932">
        <v>156.98732569999899</v>
      </c>
      <c r="Y932">
        <v>156.99859500001099</v>
      </c>
      <c r="Z932">
        <v>157.49808960000499</v>
      </c>
      <c r="AA932">
        <v>157.49808960000499</v>
      </c>
      <c r="AB932">
        <v>157.49808960000499</v>
      </c>
      <c r="AC932">
        <v>158.18486199999401</v>
      </c>
      <c r="AD932" t="s">
        <v>63</v>
      </c>
      <c r="AE932">
        <v>1</v>
      </c>
      <c r="AF932">
        <v>0.67274049995467</v>
      </c>
      <c r="AG932" t="s">
        <v>51</v>
      </c>
      <c r="AK932" t="s">
        <v>94</v>
      </c>
      <c r="AL932">
        <v>1</v>
      </c>
      <c r="AM932" t="s">
        <v>87</v>
      </c>
      <c r="AN932" t="s">
        <v>43</v>
      </c>
      <c r="AP932" t="s">
        <v>44</v>
      </c>
      <c r="AQ932">
        <v>60.129904655169099</v>
      </c>
      <c r="AR932" t="s">
        <v>88</v>
      </c>
    </row>
    <row r="933" spans="1:44" x14ac:dyDescent="0.3">
      <c r="A933" t="s">
        <v>66</v>
      </c>
      <c r="B933" t="s">
        <v>49</v>
      </c>
      <c r="C933" s="2" t="str">
        <f t="shared" si="14"/>
        <v>Neutral</v>
      </c>
      <c r="D933">
        <v>0.441352499998174</v>
      </c>
      <c r="E933" t="s">
        <v>47</v>
      </c>
      <c r="F933" t="s">
        <v>61</v>
      </c>
      <c r="G933" t="s">
        <v>63</v>
      </c>
      <c r="H933">
        <v>124</v>
      </c>
      <c r="I933">
        <v>4</v>
      </c>
      <c r="J933">
        <v>6</v>
      </c>
      <c r="K933" t="s">
        <v>63</v>
      </c>
      <c r="L933">
        <v>1</v>
      </c>
      <c r="M933">
        <v>0.586190200003329</v>
      </c>
      <c r="N933" t="s">
        <v>51</v>
      </c>
      <c r="O933">
        <v>6</v>
      </c>
      <c r="P933">
        <v>4</v>
      </c>
      <c r="Q933">
        <v>124</v>
      </c>
      <c r="R933">
        <v>12</v>
      </c>
      <c r="S933">
        <v>158.198653700004</v>
      </c>
      <c r="X933">
        <v>158.18748040002501</v>
      </c>
      <c r="Y933">
        <v>158.198653700004</v>
      </c>
      <c r="Z933">
        <v>158.69791290001001</v>
      </c>
      <c r="AA933">
        <v>158.69791290001001</v>
      </c>
      <c r="AB933">
        <v>158.69791290001001</v>
      </c>
      <c r="AC933">
        <v>159.28561720001699</v>
      </c>
      <c r="AD933" t="s">
        <v>63</v>
      </c>
      <c r="AE933">
        <v>1</v>
      </c>
      <c r="AF933">
        <v>0.586190200003329</v>
      </c>
      <c r="AG933" t="s">
        <v>51</v>
      </c>
      <c r="AK933" t="s">
        <v>94</v>
      </c>
      <c r="AL933">
        <v>1</v>
      </c>
      <c r="AM933" t="s">
        <v>87</v>
      </c>
      <c r="AN933" t="s">
        <v>43</v>
      </c>
      <c r="AP933" t="s">
        <v>44</v>
      </c>
      <c r="AQ933">
        <v>60.129904655169099</v>
      </c>
      <c r="AR933" t="s">
        <v>88</v>
      </c>
    </row>
    <row r="934" spans="1:44" x14ac:dyDescent="0.3">
      <c r="A934" t="s">
        <v>68</v>
      </c>
      <c r="B934" t="s">
        <v>49</v>
      </c>
      <c r="C934" s="2" t="str">
        <f t="shared" si="14"/>
        <v>Emotional-I</v>
      </c>
      <c r="D934">
        <v>0.498802400019485</v>
      </c>
      <c r="E934" t="s">
        <v>59</v>
      </c>
      <c r="F934" t="s">
        <v>53</v>
      </c>
      <c r="G934" t="s">
        <v>54</v>
      </c>
      <c r="H934">
        <v>125</v>
      </c>
      <c r="I934">
        <v>5</v>
      </c>
      <c r="J934">
        <v>6</v>
      </c>
      <c r="K934" t="s">
        <v>54</v>
      </c>
      <c r="L934">
        <v>1</v>
      </c>
      <c r="M934">
        <v>0.80024609999964003</v>
      </c>
      <c r="N934" t="s">
        <v>51</v>
      </c>
      <c r="O934">
        <v>6</v>
      </c>
      <c r="P934">
        <v>5</v>
      </c>
      <c r="Q934">
        <v>125</v>
      </c>
      <c r="R934">
        <v>6</v>
      </c>
      <c r="S934">
        <v>159.29806400003099</v>
      </c>
      <c r="X934">
        <v>159.28825590002799</v>
      </c>
      <c r="Y934">
        <v>159.29806400003099</v>
      </c>
      <c r="Z934">
        <v>159.79814800003001</v>
      </c>
      <c r="AA934">
        <v>159.79814800003001</v>
      </c>
      <c r="AB934">
        <v>159.79814800003001</v>
      </c>
      <c r="AC934">
        <v>160.60261060000599</v>
      </c>
      <c r="AD934" t="s">
        <v>54</v>
      </c>
      <c r="AE934">
        <v>1</v>
      </c>
      <c r="AF934">
        <v>0.80024609999964003</v>
      </c>
      <c r="AG934" t="s">
        <v>51</v>
      </c>
      <c r="AK934" t="s">
        <v>94</v>
      </c>
      <c r="AL934">
        <v>1</v>
      </c>
      <c r="AM934" t="s">
        <v>87</v>
      </c>
      <c r="AN934" t="s">
        <v>43</v>
      </c>
      <c r="AP934" t="s">
        <v>44</v>
      </c>
      <c r="AQ934">
        <v>60.129904655169099</v>
      </c>
      <c r="AR934" t="s">
        <v>88</v>
      </c>
    </row>
    <row r="935" spans="1:44" x14ac:dyDescent="0.3">
      <c r="A935" t="s">
        <v>69</v>
      </c>
      <c r="B935" t="s">
        <v>49</v>
      </c>
      <c r="C935" s="2" t="str">
        <f t="shared" si="14"/>
        <v>Emotional-I</v>
      </c>
      <c r="D935">
        <v>0.84700980002526105</v>
      </c>
      <c r="E935" t="s">
        <v>59</v>
      </c>
      <c r="F935" t="s">
        <v>56</v>
      </c>
      <c r="G935" t="s">
        <v>57</v>
      </c>
      <c r="H935">
        <v>126</v>
      </c>
      <c r="I935">
        <v>6</v>
      </c>
      <c r="J935">
        <v>6</v>
      </c>
      <c r="K935" t="s">
        <v>57</v>
      </c>
      <c r="L935">
        <v>1</v>
      </c>
      <c r="M935">
        <v>0.804273699992336</v>
      </c>
      <c r="N935" t="s">
        <v>51</v>
      </c>
      <c r="O935">
        <v>6</v>
      </c>
      <c r="P935">
        <v>6</v>
      </c>
      <c r="Q935">
        <v>126</v>
      </c>
      <c r="R935">
        <v>5</v>
      </c>
      <c r="S935">
        <v>160.61516729998399</v>
      </c>
      <c r="X935">
        <v>160.60623520001499</v>
      </c>
      <c r="Y935">
        <v>160.61516729998399</v>
      </c>
      <c r="Z935">
        <v>161.11552460002699</v>
      </c>
      <c r="AA935">
        <v>161.11552460002699</v>
      </c>
      <c r="AB935">
        <v>161.11552460002699</v>
      </c>
      <c r="AC935">
        <v>161.934481800009</v>
      </c>
      <c r="AD935" t="s">
        <v>57</v>
      </c>
      <c r="AE935">
        <v>1</v>
      </c>
      <c r="AF935">
        <v>0.804273699992336</v>
      </c>
      <c r="AG935" t="s">
        <v>51</v>
      </c>
      <c r="AK935" t="s">
        <v>94</v>
      </c>
      <c r="AL935">
        <v>1</v>
      </c>
      <c r="AM935" t="s">
        <v>87</v>
      </c>
      <c r="AN935" t="s">
        <v>43</v>
      </c>
      <c r="AP935" t="s">
        <v>44</v>
      </c>
      <c r="AQ935">
        <v>60.129904655169099</v>
      </c>
      <c r="AR935" t="s">
        <v>88</v>
      </c>
    </row>
    <row r="936" spans="1:44" x14ac:dyDescent="0.3">
      <c r="A936" t="s">
        <v>46</v>
      </c>
      <c r="B936" t="s">
        <v>49</v>
      </c>
      <c r="C936" s="2" t="str">
        <f t="shared" si="14"/>
        <v>Neutral</v>
      </c>
      <c r="D936">
        <v>0.74723259999882397</v>
      </c>
      <c r="E936" t="s">
        <v>47</v>
      </c>
      <c r="F936" t="s">
        <v>48</v>
      </c>
      <c r="G936" t="s">
        <v>50</v>
      </c>
      <c r="H936">
        <v>127</v>
      </c>
      <c r="I936">
        <v>7</v>
      </c>
      <c r="J936">
        <v>6</v>
      </c>
      <c r="K936" t="s">
        <v>50</v>
      </c>
      <c r="L936">
        <v>1</v>
      </c>
      <c r="M936">
        <v>0.78870049997931302</v>
      </c>
      <c r="N936" t="s">
        <v>51</v>
      </c>
      <c r="O936">
        <v>6</v>
      </c>
      <c r="P936">
        <v>7</v>
      </c>
      <c r="Q936">
        <v>127</v>
      </c>
      <c r="R936">
        <v>19</v>
      </c>
      <c r="S936">
        <v>161.94852440000901</v>
      </c>
      <c r="X936">
        <v>161.93711500003701</v>
      </c>
      <c r="Y936">
        <v>161.94852440000901</v>
      </c>
      <c r="Z936">
        <v>162.447596099984</v>
      </c>
      <c r="AA936">
        <v>162.447596099984</v>
      </c>
      <c r="AB936">
        <v>162.447596099984</v>
      </c>
      <c r="AC936">
        <v>163.25206040003101</v>
      </c>
      <c r="AD936" t="s">
        <v>50</v>
      </c>
      <c r="AE936">
        <v>1</v>
      </c>
      <c r="AF936">
        <v>0.78870049997931302</v>
      </c>
      <c r="AG936" t="s">
        <v>51</v>
      </c>
      <c r="AK936" t="s">
        <v>94</v>
      </c>
      <c r="AL936">
        <v>1</v>
      </c>
      <c r="AM936" t="s">
        <v>87</v>
      </c>
      <c r="AN936" t="s">
        <v>43</v>
      </c>
      <c r="AP936" t="s">
        <v>44</v>
      </c>
      <c r="AQ936">
        <v>60.129904655169099</v>
      </c>
      <c r="AR936" t="s">
        <v>88</v>
      </c>
    </row>
    <row r="937" spans="1:44" x14ac:dyDescent="0.3">
      <c r="A937" t="s">
        <v>72</v>
      </c>
      <c r="B937" t="s">
        <v>62</v>
      </c>
      <c r="C937" s="2" t="str">
        <f t="shared" si="14"/>
        <v>Emotional-C</v>
      </c>
      <c r="D937">
        <v>0.69010139995953002</v>
      </c>
      <c r="E937" t="s">
        <v>59</v>
      </c>
      <c r="F937" t="s">
        <v>61</v>
      </c>
      <c r="G937" t="s">
        <v>63</v>
      </c>
      <c r="H937">
        <v>128</v>
      </c>
      <c r="I937">
        <v>8</v>
      </c>
      <c r="J937">
        <v>6</v>
      </c>
      <c r="K937" t="s">
        <v>63</v>
      </c>
      <c r="L937">
        <v>1</v>
      </c>
      <c r="M937">
        <v>0.58355199999641605</v>
      </c>
      <c r="N937" t="s">
        <v>51</v>
      </c>
      <c r="O937">
        <v>6</v>
      </c>
      <c r="P937">
        <v>8</v>
      </c>
      <c r="Q937">
        <v>128</v>
      </c>
      <c r="R937">
        <v>8</v>
      </c>
      <c r="S937">
        <v>163.265177200024</v>
      </c>
      <c r="X937">
        <v>163.254703000013</v>
      </c>
      <c r="Y937">
        <v>163.265177200024</v>
      </c>
      <c r="Z937">
        <v>163.76471790001901</v>
      </c>
      <c r="AA937">
        <v>163.76471790001901</v>
      </c>
      <c r="AB937">
        <v>163.76471790001901</v>
      </c>
      <c r="AC937">
        <v>164.352460600028</v>
      </c>
      <c r="AD937" t="s">
        <v>63</v>
      </c>
      <c r="AE937">
        <v>1</v>
      </c>
      <c r="AF937">
        <v>0.58355199999641605</v>
      </c>
      <c r="AG937" t="s">
        <v>51</v>
      </c>
      <c r="AK937" t="s">
        <v>94</v>
      </c>
      <c r="AL937">
        <v>1</v>
      </c>
      <c r="AM937" t="s">
        <v>87</v>
      </c>
      <c r="AN937" t="s">
        <v>43</v>
      </c>
      <c r="AP937" t="s">
        <v>44</v>
      </c>
      <c r="AQ937">
        <v>60.129904655169099</v>
      </c>
      <c r="AR937" t="s">
        <v>88</v>
      </c>
    </row>
    <row r="938" spans="1:44" x14ac:dyDescent="0.3">
      <c r="A938" t="s">
        <v>55</v>
      </c>
      <c r="B938" t="s">
        <v>49</v>
      </c>
      <c r="C938" s="2" t="str">
        <f t="shared" si="14"/>
        <v>Neutral</v>
      </c>
      <c r="D938">
        <v>0.497337299981154</v>
      </c>
      <c r="E938" t="s">
        <v>47</v>
      </c>
      <c r="F938" t="s">
        <v>56</v>
      </c>
      <c r="G938" t="s">
        <v>57</v>
      </c>
      <c r="H938">
        <v>129</v>
      </c>
      <c r="I938">
        <v>9</v>
      </c>
      <c r="J938">
        <v>6</v>
      </c>
      <c r="K938" t="s">
        <v>57</v>
      </c>
      <c r="L938">
        <v>1</v>
      </c>
      <c r="M938">
        <v>0.71974829997634504</v>
      </c>
      <c r="N938" t="s">
        <v>51</v>
      </c>
      <c r="O938">
        <v>6</v>
      </c>
      <c r="P938">
        <v>9</v>
      </c>
      <c r="Q938">
        <v>129</v>
      </c>
      <c r="R938">
        <v>13</v>
      </c>
      <c r="S938">
        <v>164.36529610003299</v>
      </c>
      <c r="X938">
        <v>164.35692300001301</v>
      </c>
      <c r="Y938">
        <v>164.36529610003299</v>
      </c>
      <c r="Z938">
        <v>164.86461540003</v>
      </c>
      <c r="AA938">
        <v>164.86461540003</v>
      </c>
      <c r="AB938">
        <v>164.86461540003</v>
      </c>
      <c r="AC938">
        <v>165.58542180003101</v>
      </c>
      <c r="AD938" t="s">
        <v>57</v>
      </c>
      <c r="AE938">
        <v>1</v>
      </c>
      <c r="AF938">
        <v>0.71974829997634504</v>
      </c>
      <c r="AG938" t="s">
        <v>51</v>
      </c>
      <c r="AK938" t="s">
        <v>94</v>
      </c>
      <c r="AL938">
        <v>1</v>
      </c>
      <c r="AM938" t="s">
        <v>87</v>
      </c>
      <c r="AN938" t="s">
        <v>43</v>
      </c>
      <c r="AP938" t="s">
        <v>44</v>
      </c>
      <c r="AQ938">
        <v>60.129904655169099</v>
      </c>
      <c r="AR938" t="s">
        <v>88</v>
      </c>
    </row>
    <row r="939" spans="1:44" x14ac:dyDescent="0.3">
      <c r="A939" t="s">
        <v>73</v>
      </c>
      <c r="B939" t="s">
        <v>49</v>
      </c>
      <c r="C939" s="2" t="str">
        <f t="shared" si="14"/>
        <v>Emotional-I</v>
      </c>
      <c r="D939">
        <v>0.67563409998547197</v>
      </c>
      <c r="E939" t="s">
        <v>59</v>
      </c>
      <c r="F939" t="s">
        <v>56</v>
      </c>
      <c r="G939" t="s">
        <v>57</v>
      </c>
      <c r="H939">
        <v>130</v>
      </c>
      <c r="I939">
        <v>10</v>
      </c>
      <c r="J939">
        <v>6</v>
      </c>
      <c r="K939" t="s">
        <v>57</v>
      </c>
      <c r="L939">
        <v>1</v>
      </c>
      <c r="M939">
        <v>0.51293460000306301</v>
      </c>
      <c r="N939" t="s">
        <v>51</v>
      </c>
      <c r="O939">
        <v>6</v>
      </c>
      <c r="P939">
        <v>10</v>
      </c>
      <c r="Q939">
        <v>130</v>
      </c>
      <c r="R939">
        <v>1</v>
      </c>
      <c r="S939">
        <v>165.59816880000199</v>
      </c>
      <c r="X939">
        <v>165.58782240003299</v>
      </c>
      <c r="Y939">
        <v>165.59816880000199</v>
      </c>
      <c r="Z939">
        <v>166.09824750001999</v>
      </c>
      <c r="AA939">
        <v>166.09824750001999</v>
      </c>
      <c r="AB939">
        <v>166.09824750001999</v>
      </c>
      <c r="AC939">
        <v>166.61865260003799</v>
      </c>
      <c r="AD939" t="s">
        <v>57</v>
      </c>
      <c r="AE939">
        <v>1</v>
      </c>
      <c r="AF939">
        <v>0.51293460000306301</v>
      </c>
      <c r="AG939" t="s">
        <v>51</v>
      </c>
      <c r="AK939" t="s">
        <v>94</v>
      </c>
      <c r="AL939">
        <v>1</v>
      </c>
      <c r="AM939" t="s">
        <v>87</v>
      </c>
      <c r="AN939" t="s">
        <v>43</v>
      </c>
      <c r="AP939" t="s">
        <v>44</v>
      </c>
      <c r="AQ939">
        <v>60.129904655169099</v>
      </c>
      <c r="AR939" t="s">
        <v>88</v>
      </c>
    </row>
    <row r="940" spans="1:44" x14ac:dyDescent="0.3">
      <c r="A940" t="s">
        <v>78</v>
      </c>
      <c r="B940" t="s">
        <v>49</v>
      </c>
      <c r="C940" s="2" t="str">
        <f t="shared" si="14"/>
        <v>Neutral</v>
      </c>
      <c r="D940">
        <v>0.74757379997754403</v>
      </c>
      <c r="E940" t="s">
        <v>47</v>
      </c>
      <c r="F940" t="s">
        <v>56</v>
      </c>
      <c r="G940" t="s">
        <v>57</v>
      </c>
      <c r="H940">
        <v>131</v>
      </c>
      <c r="I940">
        <v>11</v>
      </c>
      <c r="J940">
        <v>6</v>
      </c>
      <c r="K940" t="s">
        <v>57</v>
      </c>
      <c r="L940">
        <v>1</v>
      </c>
      <c r="M940">
        <v>0.38160680001601499</v>
      </c>
      <c r="N940" t="s">
        <v>51</v>
      </c>
      <c r="O940">
        <v>6</v>
      </c>
      <c r="P940">
        <v>11</v>
      </c>
      <c r="Q940">
        <v>131</v>
      </c>
      <c r="R940">
        <v>17</v>
      </c>
      <c r="S940">
        <v>166.63113880000299</v>
      </c>
      <c r="X940">
        <v>166.62119780003499</v>
      </c>
      <c r="Y940">
        <v>166.63113880000299</v>
      </c>
      <c r="Z940">
        <v>167.131463600031</v>
      </c>
      <c r="AA940">
        <v>167.131463600031</v>
      </c>
      <c r="AB940">
        <v>167.131463600031</v>
      </c>
      <c r="AC940">
        <v>167.51910590002001</v>
      </c>
      <c r="AD940" t="s">
        <v>57</v>
      </c>
      <c r="AE940">
        <v>1</v>
      </c>
      <c r="AF940">
        <v>0.38160680001601499</v>
      </c>
      <c r="AG940" t="s">
        <v>51</v>
      </c>
      <c r="AK940" t="s">
        <v>94</v>
      </c>
      <c r="AL940">
        <v>1</v>
      </c>
      <c r="AM940" t="s">
        <v>87</v>
      </c>
      <c r="AN940" t="s">
        <v>43</v>
      </c>
      <c r="AP940" t="s">
        <v>44</v>
      </c>
      <c r="AQ940">
        <v>60.129904655169099</v>
      </c>
      <c r="AR940" t="s">
        <v>88</v>
      </c>
    </row>
    <row r="941" spans="1:44" hidden="1" x14ac:dyDescent="0.3">
      <c r="A941" t="s">
        <v>52</v>
      </c>
      <c r="B941" t="s">
        <v>49</v>
      </c>
      <c r="C941" s="2" t="str">
        <f t="shared" si="14"/>
        <v>Neutral</v>
      </c>
      <c r="D941">
        <v>0.97479509998811398</v>
      </c>
      <c r="E941" t="s">
        <v>47</v>
      </c>
      <c r="F941" t="s">
        <v>53</v>
      </c>
      <c r="G941" t="s">
        <v>54</v>
      </c>
      <c r="H941">
        <v>132</v>
      </c>
      <c r="I941">
        <v>12</v>
      </c>
      <c r="J941">
        <v>6</v>
      </c>
      <c r="K941" t="s">
        <v>50</v>
      </c>
      <c r="L941">
        <v>0</v>
      </c>
      <c r="M941">
        <v>0.723970400053076</v>
      </c>
      <c r="N941" t="s">
        <v>51</v>
      </c>
      <c r="O941">
        <v>6</v>
      </c>
      <c r="P941">
        <v>12</v>
      </c>
      <c r="Q941">
        <v>132</v>
      </c>
      <c r="R941">
        <v>14</v>
      </c>
      <c r="S941">
        <v>167.53078540001201</v>
      </c>
      <c r="X941">
        <v>167.52239570004099</v>
      </c>
      <c r="Y941">
        <v>167.53078540001201</v>
      </c>
      <c r="Z941">
        <v>168.03116509999299</v>
      </c>
      <c r="AA941">
        <v>168.03116509999299</v>
      </c>
      <c r="AB941">
        <v>168.03116509999299</v>
      </c>
      <c r="AC941">
        <v>168.76925519999301</v>
      </c>
      <c r="AD941" t="s">
        <v>50</v>
      </c>
      <c r="AE941">
        <v>0</v>
      </c>
      <c r="AF941">
        <v>0.723970400053076</v>
      </c>
      <c r="AG941" t="s">
        <v>51</v>
      </c>
      <c r="AK941" t="s">
        <v>94</v>
      </c>
      <c r="AL941">
        <v>1</v>
      </c>
      <c r="AM941" t="s">
        <v>87</v>
      </c>
      <c r="AN941" t="s">
        <v>43</v>
      </c>
      <c r="AP941" t="s">
        <v>44</v>
      </c>
      <c r="AQ941">
        <v>60.129904655169099</v>
      </c>
      <c r="AR941" t="s">
        <v>88</v>
      </c>
    </row>
    <row r="942" spans="1:44" x14ac:dyDescent="0.3">
      <c r="A942" t="s">
        <v>64</v>
      </c>
      <c r="B942" t="s">
        <v>49</v>
      </c>
      <c r="C942" s="2" t="str">
        <f t="shared" si="14"/>
        <v>Neutral</v>
      </c>
      <c r="D942">
        <v>0.46422379999421498</v>
      </c>
      <c r="E942" t="s">
        <v>47</v>
      </c>
      <c r="F942" t="s">
        <v>53</v>
      </c>
      <c r="G942" t="s">
        <v>54</v>
      </c>
      <c r="H942">
        <v>133</v>
      </c>
      <c r="I942">
        <v>13</v>
      </c>
      <c r="J942">
        <v>6</v>
      </c>
      <c r="K942" t="s">
        <v>54</v>
      </c>
      <c r="L942">
        <v>1</v>
      </c>
      <c r="M942">
        <v>0.65877440001349896</v>
      </c>
      <c r="N942" t="s">
        <v>51</v>
      </c>
      <c r="O942">
        <v>6</v>
      </c>
      <c r="P942">
        <v>13</v>
      </c>
      <c r="Q942">
        <v>133</v>
      </c>
      <c r="R942">
        <v>18</v>
      </c>
      <c r="S942">
        <v>168.780806399998</v>
      </c>
      <c r="X942">
        <v>168.77260259998701</v>
      </c>
      <c r="Y942">
        <v>168.780806399998</v>
      </c>
      <c r="Z942">
        <v>169.28089049999801</v>
      </c>
      <c r="AA942">
        <v>169.28089049999801</v>
      </c>
      <c r="AB942">
        <v>169.28089049999801</v>
      </c>
      <c r="AC942">
        <v>169.95120050001401</v>
      </c>
      <c r="AD942" t="s">
        <v>54</v>
      </c>
      <c r="AE942">
        <v>1</v>
      </c>
      <c r="AF942">
        <v>0.65877440001349896</v>
      </c>
      <c r="AG942" t="s">
        <v>51</v>
      </c>
      <c r="AK942" t="s">
        <v>94</v>
      </c>
      <c r="AL942">
        <v>1</v>
      </c>
      <c r="AM942" t="s">
        <v>87</v>
      </c>
      <c r="AN942" t="s">
        <v>43</v>
      </c>
      <c r="AP942" t="s">
        <v>44</v>
      </c>
      <c r="AQ942">
        <v>60.129904655169099</v>
      </c>
      <c r="AR942" t="s">
        <v>88</v>
      </c>
    </row>
    <row r="943" spans="1:44" x14ac:dyDescent="0.3">
      <c r="A943" t="s">
        <v>74</v>
      </c>
      <c r="B943" t="s">
        <v>49</v>
      </c>
      <c r="C943" s="2" t="str">
        <f t="shared" si="14"/>
        <v>Neutral</v>
      </c>
      <c r="D943">
        <v>0.408949700009543</v>
      </c>
      <c r="E943" t="s">
        <v>47</v>
      </c>
      <c r="F943" t="s">
        <v>48</v>
      </c>
      <c r="G943" t="s">
        <v>50</v>
      </c>
      <c r="H943">
        <v>134</v>
      </c>
      <c r="I943">
        <v>14</v>
      </c>
      <c r="J943">
        <v>6</v>
      </c>
      <c r="K943" t="s">
        <v>50</v>
      </c>
      <c r="L943">
        <v>1</v>
      </c>
      <c r="M943">
        <v>0.45988309994572701</v>
      </c>
      <c r="N943" t="s">
        <v>51</v>
      </c>
      <c r="O943">
        <v>6</v>
      </c>
      <c r="P943">
        <v>14</v>
      </c>
      <c r="Q943">
        <v>134</v>
      </c>
      <c r="R943">
        <v>11</v>
      </c>
      <c r="S943">
        <v>169.964684900012</v>
      </c>
      <c r="X943">
        <v>169.95396850001899</v>
      </c>
      <c r="Y943">
        <v>169.964684900012</v>
      </c>
      <c r="Z943">
        <v>170.46468620002199</v>
      </c>
      <c r="AA943">
        <v>170.46468620002199</v>
      </c>
      <c r="AB943">
        <v>170.46468620002199</v>
      </c>
      <c r="AC943">
        <v>170.93436419998699</v>
      </c>
      <c r="AD943" t="s">
        <v>50</v>
      </c>
      <c r="AE943">
        <v>1</v>
      </c>
      <c r="AF943">
        <v>0.45988309994572701</v>
      </c>
      <c r="AG943" t="s">
        <v>51</v>
      </c>
      <c r="AK943" t="s">
        <v>94</v>
      </c>
      <c r="AL943">
        <v>1</v>
      </c>
      <c r="AM943" t="s">
        <v>87</v>
      </c>
      <c r="AN943" t="s">
        <v>43</v>
      </c>
      <c r="AP943" t="s">
        <v>44</v>
      </c>
      <c r="AQ943">
        <v>60.129904655169099</v>
      </c>
      <c r="AR943" t="s">
        <v>88</v>
      </c>
    </row>
    <row r="944" spans="1:44" x14ac:dyDescent="0.3">
      <c r="A944" t="s">
        <v>76</v>
      </c>
      <c r="B944" t="s">
        <v>49</v>
      </c>
      <c r="C944" s="2" t="str">
        <f t="shared" si="14"/>
        <v>Emotional-I</v>
      </c>
      <c r="D944">
        <v>0.59620859997812603</v>
      </c>
      <c r="E944" t="s">
        <v>59</v>
      </c>
      <c r="F944" t="s">
        <v>48</v>
      </c>
      <c r="G944" t="s">
        <v>50</v>
      </c>
      <c r="H944">
        <v>135</v>
      </c>
      <c r="I944">
        <v>15</v>
      </c>
      <c r="J944">
        <v>6</v>
      </c>
      <c r="K944" t="s">
        <v>50</v>
      </c>
      <c r="L944">
        <v>1</v>
      </c>
      <c r="M944">
        <v>0.46128879999741901</v>
      </c>
      <c r="N944" t="s">
        <v>51</v>
      </c>
      <c r="O944">
        <v>6</v>
      </c>
      <c r="P944">
        <v>15</v>
      </c>
      <c r="Q944">
        <v>135</v>
      </c>
      <c r="R944">
        <v>3</v>
      </c>
      <c r="S944">
        <v>170.94754160003501</v>
      </c>
      <c r="X944">
        <v>170.93807169998701</v>
      </c>
      <c r="Y944">
        <v>170.94754160003501</v>
      </c>
      <c r="Z944">
        <v>171.447434600035</v>
      </c>
      <c r="AA944">
        <v>171.447434600035</v>
      </c>
      <c r="AB944">
        <v>171.447434600035</v>
      </c>
      <c r="AC944">
        <v>171.91829370002901</v>
      </c>
      <c r="AD944" t="s">
        <v>50</v>
      </c>
      <c r="AE944">
        <v>1</v>
      </c>
      <c r="AF944">
        <v>0.46128879999741901</v>
      </c>
      <c r="AG944" t="s">
        <v>51</v>
      </c>
      <c r="AK944" t="s">
        <v>94</v>
      </c>
      <c r="AL944">
        <v>1</v>
      </c>
      <c r="AM944" t="s">
        <v>87</v>
      </c>
      <c r="AN944" t="s">
        <v>43</v>
      </c>
      <c r="AP944" t="s">
        <v>44</v>
      </c>
      <c r="AQ944">
        <v>60.129904655169099</v>
      </c>
      <c r="AR944" t="s">
        <v>88</v>
      </c>
    </row>
    <row r="945" spans="1:44" x14ac:dyDescent="0.3">
      <c r="A945" t="s">
        <v>65</v>
      </c>
      <c r="B945" t="s">
        <v>49</v>
      </c>
      <c r="C945" s="2" t="str">
        <f t="shared" si="14"/>
        <v>Emotional-I</v>
      </c>
      <c r="D945">
        <v>0.89470860001165398</v>
      </c>
      <c r="E945" t="s">
        <v>59</v>
      </c>
      <c r="F945" t="s">
        <v>56</v>
      </c>
      <c r="G945" t="s">
        <v>57</v>
      </c>
      <c r="H945">
        <v>136</v>
      </c>
      <c r="I945">
        <v>16</v>
      </c>
      <c r="J945">
        <v>6</v>
      </c>
      <c r="K945" t="s">
        <v>57</v>
      </c>
      <c r="L945">
        <v>1</v>
      </c>
      <c r="M945">
        <v>0.64176899997983095</v>
      </c>
      <c r="N945" t="s">
        <v>51</v>
      </c>
      <c r="O945">
        <v>6</v>
      </c>
      <c r="P945">
        <v>16</v>
      </c>
      <c r="Q945">
        <v>136</v>
      </c>
      <c r="R945">
        <v>9</v>
      </c>
      <c r="S945">
        <v>171.931080800015</v>
      </c>
      <c r="X945">
        <v>171.92137190001</v>
      </c>
      <c r="Y945">
        <v>171.931080800015</v>
      </c>
      <c r="Z945">
        <v>172.43147240002801</v>
      </c>
      <c r="AA945">
        <v>172.43147240002801</v>
      </c>
      <c r="AB945">
        <v>172.43147240002801</v>
      </c>
      <c r="AC945">
        <v>173.08441750000901</v>
      </c>
      <c r="AD945" t="s">
        <v>57</v>
      </c>
      <c r="AE945">
        <v>1</v>
      </c>
      <c r="AF945">
        <v>0.64176899997983095</v>
      </c>
      <c r="AG945" t="s">
        <v>51</v>
      </c>
      <c r="AK945" t="s">
        <v>94</v>
      </c>
      <c r="AL945">
        <v>1</v>
      </c>
      <c r="AM945" t="s">
        <v>87</v>
      </c>
      <c r="AN945" t="s">
        <v>43</v>
      </c>
      <c r="AP945" t="s">
        <v>44</v>
      </c>
      <c r="AQ945">
        <v>60.129904655169099</v>
      </c>
      <c r="AR945" t="s">
        <v>88</v>
      </c>
    </row>
    <row r="946" spans="1:44" x14ac:dyDescent="0.3">
      <c r="A946" t="s">
        <v>71</v>
      </c>
      <c r="B946" t="s">
        <v>49</v>
      </c>
      <c r="C946" s="2" t="str">
        <f t="shared" si="14"/>
        <v>Neutral</v>
      </c>
      <c r="D946">
        <v>0.87992320000194002</v>
      </c>
      <c r="E946" t="s">
        <v>47</v>
      </c>
      <c r="F946" t="s">
        <v>48</v>
      </c>
      <c r="G946" t="s">
        <v>50</v>
      </c>
      <c r="H946">
        <v>137</v>
      </c>
      <c r="I946">
        <v>17</v>
      </c>
      <c r="J946">
        <v>6</v>
      </c>
      <c r="K946" t="s">
        <v>50</v>
      </c>
      <c r="L946">
        <v>1</v>
      </c>
      <c r="M946">
        <v>0.70573389995843105</v>
      </c>
      <c r="N946" t="s">
        <v>51</v>
      </c>
      <c r="O946">
        <v>6</v>
      </c>
      <c r="P946">
        <v>17</v>
      </c>
      <c r="Q946">
        <v>137</v>
      </c>
      <c r="R946">
        <v>15</v>
      </c>
      <c r="S946">
        <v>173.097666100016</v>
      </c>
      <c r="X946">
        <v>173.087823400041</v>
      </c>
      <c r="Y946">
        <v>173.097666100016</v>
      </c>
      <c r="Z946">
        <v>173.59799030004001</v>
      </c>
      <c r="AA946">
        <v>173.59799030004001</v>
      </c>
      <c r="AB946">
        <v>173.59799030004001</v>
      </c>
      <c r="AC946">
        <v>174.317781199992</v>
      </c>
      <c r="AD946" t="s">
        <v>50</v>
      </c>
      <c r="AE946">
        <v>1</v>
      </c>
      <c r="AF946">
        <v>0.70573389995843105</v>
      </c>
      <c r="AG946" t="s">
        <v>51</v>
      </c>
      <c r="AK946" t="s">
        <v>94</v>
      </c>
      <c r="AL946">
        <v>1</v>
      </c>
      <c r="AM946" t="s">
        <v>87</v>
      </c>
      <c r="AN946" t="s">
        <v>43</v>
      </c>
      <c r="AP946" t="s">
        <v>44</v>
      </c>
      <c r="AQ946">
        <v>60.129904655169099</v>
      </c>
      <c r="AR946" t="s">
        <v>88</v>
      </c>
    </row>
    <row r="947" spans="1:44" x14ac:dyDescent="0.3">
      <c r="A947" t="s">
        <v>75</v>
      </c>
      <c r="B947" t="s">
        <v>49</v>
      </c>
      <c r="C947" s="2" t="str">
        <f t="shared" si="14"/>
        <v>Neutral</v>
      </c>
      <c r="D947">
        <v>0.746933499991428</v>
      </c>
      <c r="E947" t="s">
        <v>47</v>
      </c>
      <c r="F947" t="s">
        <v>61</v>
      </c>
      <c r="G947" t="s">
        <v>63</v>
      </c>
      <c r="H947">
        <v>138</v>
      </c>
      <c r="I947">
        <v>18</v>
      </c>
      <c r="J947">
        <v>6</v>
      </c>
      <c r="K947" t="s">
        <v>63</v>
      </c>
      <c r="L947">
        <v>1</v>
      </c>
      <c r="M947">
        <v>0.53758740000193905</v>
      </c>
      <c r="N947" t="s">
        <v>51</v>
      </c>
      <c r="O947">
        <v>6</v>
      </c>
      <c r="P947">
        <v>18</v>
      </c>
      <c r="Q947">
        <v>138</v>
      </c>
      <c r="R947">
        <v>16</v>
      </c>
      <c r="S947">
        <v>174.330745299987</v>
      </c>
      <c r="X947">
        <v>174.320805200026</v>
      </c>
      <c r="Y947">
        <v>174.330745299987</v>
      </c>
      <c r="Z947">
        <v>174.83060520002601</v>
      </c>
      <c r="AA947">
        <v>174.83060520002601</v>
      </c>
      <c r="AB947">
        <v>174.83060520002601</v>
      </c>
      <c r="AC947">
        <v>175.38428870000601</v>
      </c>
      <c r="AD947" t="s">
        <v>63</v>
      </c>
      <c r="AE947">
        <v>1</v>
      </c>
      <c r="AF947">
        <v>0.53758740000193905</v>
      </c>
      <c r="AG947" t="s">
        <v>51</v>
      </c>
      <c r="AK947" t="s">
        <v>94</v>
      </c>
      <c r="AL947">
        <v>1</v>
      </c>
      <c r="AM947" t="s">
        <v>87</v>
      </c>
      <c r="AN947" t="s">
        <v>43</v>
      </c>
      <c r="AP947" t="s">
        <v>44</v>
      </c>
      <c r="AQ947">
        <v>60.129904655169099</v>
      </c>
      <c r="AR947" t="s">
        <v>88</v>
      </c>
    </row>
    <row r="948" spans="1:44" x14ac:dyDescent="0.3">
      <c r="A948" t="s">
        <v>77</v>
      </c>
      <c r="B948" t="s">
        <v>62</v>
      </c>
      <c r="C948" s="2" t="str">
        <f t="shared" si="14"/>
        <v>Emotional-C</v>
      </c>
      <c r="D948">
        <v>0.71156169997993801</v>
      </c>
      <c r="E948" t="s">
        <v>59</v>
      </c>
      <c r="F948" t="s">
        <v>61</v>
      </c>
      <c r="G948" t="s">
        <v>63</v>
      </c>
      <c r="H948">
        <v>139</v>
      </c>
      <c r="I948">
        <v>19</v>
      </c>
      <c r="J948">
        <v>6</v>
      </c>
      <c r="K948" t="s">
        <v>63</v>
      </c>
      <c r="L948">
        <v>1</v>
      </c>
      <c r="M948">
        <v>0.59659790003206503</v>
      </c>
      <c r="N948" t="s">
        <v>51</v>
      </c>
      <c r="O948">
        <v>6</v>
      </c>
      <c r="P948">
        <v>19</v>
      </c>
      <c r="Q948">
        <v>139</v>
      </c>
      <c r="R948">
        <v>4</v>
      </c>
      <c r="S948">
        <v>175.39717850001699</v>
      </c>
      <c r="X948">
        <v>175.38726149999999</v>
      </c>
      <c r="Y948">
        <v>175.39717850001699</v>
      </c>
      <c r="Z948">
        <v>175.897283500002</v>
      </c>
      <c r="AA948">
        <v>175.897283500002</v>
      </c>
      <c r="AB948">
        <v>175.897283500002</v>
      </c>
      <c r="AC948">
        <v>176.50137150002399</v>
      </c>
      <c r="AD948" t="s">
        <v>63</v>
      </c>
      <c r="AE948">
        <v>1</v>
      </c>
      <c r="AF948">
        <v>0.59659790003206503</v>
      </c>
      <c r="AG948" t="s">
        <v>51</v>
      </c>
      <c r="AK948" t="s">
        <v>94</v>
      </c>
      <c r="AL948">
        <v>1</v>
      </c>
      <c r="AM948" t="s">
        <v>87</v>
      </c>
      <c r="AN948" t="s">
        <v>43</v>
      </c>
      <c r="AP948" t="s">
        <v>44</v>
      </c>
      <c r="AQ948">
        <v>60.129904655169099</v>
      </c>
      <c r="AR948" t="s">
        <v>88</v>
      </c>
    </row>
    <row r="949" spans="1:44" x14ac:dyDescent="0.3">
      <c r="A949" t="s">
        <v>78</v>
      </c>
      <c r="B949" t="s">
        <v>49</v>
      </c>
      <c r="C949" s="2" t="str">
        <f t="shared" si="14"/>
        <v>Neutral</v>
      </c>
      <c r="D949">
        <v>1.2940307999961</v>
      </c>
      <c r="E949" t="s">
        <v>47</v>
      </c>
      <c r="F949" t="s">
        <v>56</v>
      </c>
      <c r="G949" t="s">
        <v>57</v>
      </c>
      <c r="H949">
        <v>140</v>
      </c>
      <c r="I949">
        <v>0</v>
      </c>
      <c r="J949">
        <v>7</v>
      </c>
      <c r="K949" t="s">
        <v>57</v>
      </c>
      <c r="L949">
        <v>1</v>
      </c>
      <c r="M949">
        <v>0.89773000002605796</v>
      </c>
      <c r="N949" t="s">
        <v>51</v>
      </c>
      <c r="O949">
        <v>7</v>
      </c>
      <c r="P949">
        <v>0</v>
      </c>
      <c r="Q949">
        <v>140</v>
      </c>
      <c r="R949">
        <v>17</v>
      </c>
      <c r="S949">
        <v>176.513964000041</v>
      </c>
      <c r="X949">
        <v>176.50425769999799</v>
      </c>
      <c r="Y949">
        <v>176.513964000041</v>
      </c>
      <c r="Z949">
        <v>177.01404350000601</v>
      </c>
      <c r="AA949">
        <v>177.01404350000601</v>
      </c>
      <c r="AB949">
        <v>177.01404350000601</v>
      </c>
      <c r="AC949">
        <v>177.918071600026</v>
      </c>
      <c r="AD949" t="s">
        <v>57</v>
      </c>
      <c r="AE949">
        <v>1</v>
      </c>
      <c r="AF949">
        <v>0.89773000002605796</v>
      </c>
      <c r="AG949" t="s">
        <v>51</v>
      </c>
      <c r="AK949" t="s">
        <v>94</v>
      </c>
      <c r="AL949">
        <v>1</v>
      </c>
      <c r="AM949" t="s">
        <v>87</v>
      </c>
      <c r="AN949" t="s">
        <v>43</v>
      </c>
      <c r="AP949" t="s">
        <v>44</v>
      </c>
      <c r="AQ949">
        <v>60.129904655169099</v>
      </c>
      <c r="AR949" t="s">
        <v>88</v>
      </c>
    </row>
    <row r="950" spans="1:44" x14ac:dyDescent="0.3">
      <c r="A950" t="s">
        <v>74</v>
      </c>
      <c r="B950" t="s">
        <v>49</v>
      </c>
      <c r="C950" s="2" t="str">
        <f t="shared" si="14"/>
        <v>Neutral</v>
      </c>
      <c r="E950" t="s">
        <v>47</v>
      </c>
      <c r="F950" t="s">
        <v>48</v>
      </c>
      <c r="G950" t="s">
        <v>50</v>
      </c>
      <c r="H950">
        <v>141</v>
      </c>
      <c r="I950">
        <v>1</v>
      </c>
      <c r="J950">
        <v>7</v>
      </c>
      <c r="K950" t="s">
        <v>50</v>
      </c>
      <c r="L950">
        <v>1</v>
      </c>
      <c r="M950">
        <v>0.75272459996631302</v>
      </c>
      <c r="N950" t="s">
        <v>51</v>
      </c>
      <c r="O950">
        <v>7</v>
      </c>
      <c r="P950">
        <v>1</v>
      </c>
      <c r="Q950">
        <v>141</v>
      </c>
      <c r="R950">
        <v>11</v>
      </c>
      <c r="S950">
        <v>177.930306299997</v>
      </c>
      <c r="X950">
        <v>177.92134490003801</v>
      </c>
      <c r="Y950">
        <v>177.930306299997</v>
      </c>
      <c r="Z950">
        <v>178.43074410001199</v>
      </c>
      <c r="AA950">
        <v>178.43074410001199</v>
      </c>
      <c r="AB950">
        <v>178.43074410001199</v>
      </c>
      <c r="AC950">
        <v>179.18449260003399</v>
      </c>
      <c r="AD950" t="s">
        <v>50</v>
      </c>
      <c r="AE950">
        <v>1</v>
      </c>
      <c r="AF950">
        <v>0.75272459996631302</v>
      </c>
      <c r="AG950" t="s">
        <v>51</v>
      </c>
      <c r="AK950" t="s">
        <v>94</v>
      </c>
      <c r="AL950">
        <v>1</v>
      </c>
      <c r="AM950" t="s">
        <v>87</v>
      </c>
      <c r="AN950" t="s">
        <v>43</v>
      </c>
      <c r="AP950" t="s">
        <v>44</v>
      </c>
      <c r="AQ950">
        <v>60.129904655169099</v>
      </c>
      <c r="AR950" t="s">
        <v>88</v>
      </c>
    </row>
    <row r="951" spans="1:44" x14ac:dyDescent="0.3">
      <c r="A951" t="s">
        <v>69</v>
      </c>
      <c r="B951" t="s">
        <v>49</v>
      </c>
      <c r="C951" s="2" t="str">
        <f t="shared" si="14"/>
        <v>Emotional-I</v>
      </c>
      <c r="E951" t="s">
        <v>59</v>
      </c>
      <c r="F951" t="s">
        <v>56</v>
      </c>
      <c r="G951" t="s">
        <v>57</v>
      </c>
      <c r="H951">
        <v>142</v>
      </c>
      <c r="I951">
        <v>2</v>
      </c>
      <c r="J951">
        <v>7</v>
      </c>
      <c r="K951" t="s">
        <v>57</v>
      </c>
      <c r="L951">
        <v>1</v>
      </c>
      <c r="M951">
        <v>0.76843359996564597</v>
      </c>
      <c r="N951" t="s">
        <v>51</v>
      </c>
      <c r="O951">
        <v>7</v>
      </c>
      <c r="P951">
        <v>2</v>
      </c>
      <c r="Q951">
        <v>142</v>
      </c>
      <c r="R951">
        <v>5</v>
      </c>
      <c r="S951">
        <v>179.19744379998801</v>
      </c>
      <c r="X951">
        <v>179.18742450000701</v>
      </c>
      <c r="Y951">
        <v>179.19744379998801</v>
      </c>
      <c r="Z951">
        <v>179.69664069998501</v>
      </c>
      <c r="AA951">
        <v>179.69664069998501</v>
      </c>
      <c r="AB951">
        <v>179.69664069998501</v>
      </c>
      <c r="AC951">
        <v>180.46621520002299</v>
      </c>
      <c r="AD951" t="s">
        <v>57</v>
      </c>
      <c r="AE951">
        <v>1</v>
      </c>
      <c r="AF951">
        <v>0.76843359996564597</v>
      </c>
      <c r="AG951" t="s">
        <v>51</v>
      </c>
      <c r="AK951" t="s">
        <v>94</v>
      </c>
      <c r="AL951">
        <v>1</v>
      </c>
      <c r="AM951" t="s">
        <v>87</v>
      </c>
      <c r="AN951" t="s">
        <v>43</v>
      </c>
      <c r="AP951" t="s">
        <v>44</v>
      </c>
      <c r="AQ951">
        <v>60.129904655169099</v>
      </c>
      <c r="AR951" t="s">
        <v>88</v>
      </c>
    </row>
    <row r="952" spans="1:44" x14ac:dyDescent="0.3">
      <c r="A952" t="s">
        <v>55</v>
      </c>
      <c r="B952" t="s">
        <v>49</v>
      </c>
      <c r="C952" s="2" t="str">
        <f t="shared" si="14"/>
        <v>Neutral</v>
      </c>
      <c r="E952" t="s">
        <v>47</v>
      </c>
      <c r="F952" t="s">
        <v>56</v>
      </c>
      <c r="G952" t="s">
        <v>57</v>
      </c>
      <c r="H952">
        <v>143</v>
      </c>
      <c r="I952">
        <v>3</v>
      </c>
      <c r="J952">
        <v>7</v>
      </c>
      <c r="K952" t="s">
        <v>57</v>
      </c>
      <c r="L952">
        <v>1</v>
      </c>
      <c r="M952">
        <v>0.65741549996891901</v>
      </c>
      <c r="N952" t="s">
        <v>51</v>
      </c>
      <c r="O952">
        <v>7</v>
      </c>
      <c r="P952">
        <v>3</v>
      </c>
      <c r="Q952">
        <v>143</v>
      </c>
      <c r="R952">
        <v>13</v>
      </c>
      <c r="S952">
        <v>180.479598100006</v>
      </c>
      <c r="X952">
        <v>180.46857319999199</v>
      </c>
      <c r="Y952">
        <v>180.479598100006</v>
      </c>
      <c r="Z952">
        <v>180.979981100012</v>
      </c>
      <c r="AA952">
        <v>180.979981100012</v>
      </c>
      <c r="AB952">
        <v>180.979981100012</v>
      </c>
      <c r="AC952">
        <v>181.65114949998599</v>
      </c>
      <c r="AD952" t="s">
        <v>57</v>
      </c>
      <c r="AE952">
        <v>1</v>
      </c>
      <c r="AF952">
        <v>0.65741549996891901</v>
      </c>
      <c r="AG952" t="s">
        <v>51</v>
      </c>
      <c r="AK952" t="s">
        <v>94</v>
      </c>
      <c r="AL952">
        <v>1</v>
      </c>
      <c r="AM952" t="s">
        <v>87</v>
      </c>
      <c r="AN952" t="s">
        <v>43</v>
      </c>
      <c r="AP952" t="s">
        <v>44</v>
      </c>
      <c r="AQ952">
        <v>60.129904655169099</v>
      </c>
      <c r="AR952" t="s">
        <v>88</v>
      </c>
    </row>
    <row r="953" spans="1:44" x14ac:dyDescent="0.3">
      <c r="A953" t="s">
        <v>64</v>
      </c>
      <c r="B953" t="s">
        <v>49</v>
      </c>
      <c r="C953" s="2" t="str">
        <f t="shared" si="14"/>
        <v>Neutral</v>
      </c>
      <c r="E953" t="s">
        <v>47</v>
      </c>
      <c r="F953" t="s">
        <v>53</v>
      </c>
      <c r="G953" t="s">
        <v>54</v>
      </c>
      <c r="H953">
        <v>144</v>
      </c>
      <c r="I953">
        <v>4</v>
      </c>
      <c r="J953">
        <v>7</v>
      </c>
      <c r="K953" t="s">
        <v>54</v>
      </c>
      <c r="L953">
        <v>1</v>
      </c>
      <c r="M953">
        <v>0.98097249999409497</v>
      </c>
      <c r="N953" t="s">
        <v>51</v>
      </c>
      <c r="O953">
        <v>7</v>
      </c>
      <c r="P953">
        <v>4</v>
      </c>
      <c r="Q953">
        <v>144</v>
      </c>
      <c r="R953">
        <v>18</v>
      </c>
      <c r="S953">
        <v>181.66397709999001</v>
      </c>
      <c r="X953">
        <v>181.65389369998499</v>
      </c>
      <c r="Y953">
        <v>181.66397709999001</v>
      </c>
      <c r="Z953">
        <v>182.16405190003499</v>
      </c>
      <c r="AA953">
        <v>182.16405190003499</v>
      </c>
      <c r="AB953">
        <v>182.16405190003499</v>
      </c>
      <c r="AC953">
        <v>183.15138340002099</v>
      </c>
      <c r="AD953" t="s">
        <v>54</v>
      </c>
      <c r="AE953">
        <v>1</v>
      </c>
      <c r="AF953">
        <v>0.98097249999409497</v>
      </c>
      <c r="AG953" t="s">
        <v>51</v>
      </c>
      <c r="AK953" t="s">
        <v>94</v>
      </c>
      <c r="AL953">
        <v>1</v>
      </c>
      <c r="AM953" t="s">
        <v>87</v>
      </c>
      <c r="AN953" t="s">
        <v>43</v>
      </c>
      <c r="AP953" t="s">
        <v>44</v>
      </c>
      <c r="AQ953">
        <v>60.129904655169099</v>
      </c>
      <c r="AR953" t="s">
        <v>88</v>
      </c>
    </row>
    <row r="954" spans="1:44" x14ac:dyDescent="0.3">
      <c r="A954" t="s">
        <v>58</v>
      </c>
      <c r="B954" t="s">
        <v>49</v>
      </c>
      <c r="C954" s="2" t="str">
        <f t="shared" si="14"/>
        <v>Emotional-I</v>
      </c>
      <c r="E954" t="s">
        <v>59</v>
      </c>
      <c r="F954" t="s">
        <v>48</v>
      </c>
      <c r="G954" t="s">
        <v>50</v>
      </c>
      <c r="H954">
        <v>145</v>
      </c>
      <c r="I954">
        <v>5</v>
      </c>
      <c r="J954">
        <v>7</v>
      </c>
      <c r="K954" t="s">
        <v>50</v>
      </c>
      <c r="L954">
        <v>1</v>
      </c>
      <c r="M954">
        <v>0.91624869999941405</v>
      </c>
      <c r="N954" t="s">
        <v>51</v>
      </c>
      <c r="O954">
        <v>7</v>
      </c>
      <c r="P954">
        <v>5</v>
      </c>
      <c r="Q954">
        <v>145</v>
      </c>
      <c r="R954">
        <v>7</v>
      </c>
      <c r="S954">
        <v>183.164171900018</v>
      </c>
      <c r="X954">
        <v>183.154081300017</v>
      </c>
      <c r="Y954">
        <v>183.164171900018</v>
      </c>
      <c r="Z954">
        <v>183.664112500031</v>
      </c>
      <c r="AA954">
        <v>183.664112500031</v>
      </c>
      <c r="AB954">
        <v>183.664112500031</v>
      </c>
      <c r="AC954">
        <v>184.58468949998399</v>
      </c>
      <c r="AD954" t="s">
        <v>50</v>
      </c>
      <c r="AE954">
        <v>1</v>
      </c>
      <c r="AF954">
        <v>0.91624869999941405</v>
      </c>
      <c r="AG954" t="s">
        <v>51</v>
      </c>
      <c r="AK954" t="s">
        <v>94</v>
      </c>
      <c r="AL954">
        <v>1</v>
      </c>
      <c r="AM954" t="s">
        <v>87</v>
      </c>
      <c r="AN954" t="s">
        <v>43</v>
      </c>
      <c r="AP954" t="s">
        <v>44</v>
      </c>
      <c r="AQ954">
        <v>60.129904655169099</v>
      </c>
      <c r="AR954" t="s">
        <v>88</v>
      </c>
    </row>
    <row r="955" spans="1:44" x14ac:dyDescent="0.3">
      <c r="A955" t="s">
        <v>71</v>
      </c>
      <c r="B955" t="s">
        <v>49</v>
      </c>
      <c r="C955" s="2" t="str">
        <f t="shared" si="14"/>
        <v>Neutral</v>
      </c>
      <c r="E955" t="s">
        <v>47</v>
      </c>
      <c r="F955" t="s">
        <v>48</v>
      </c>
      <c r="G955" t="s">
        <v>50</v>
      </c>
      <c r="H955">
        <v>146</v>
      </c>
      <c r="I955">
        <v>6</v>
      </c>
      <c r="J955">
        <v>7</v>
      </c>
      <c r="K955" t="s">
        <v>50</v>
      </c>
      <c r="L955">
        <v>1</v>
      </c>
      <c r="M955">
        <v>0.47649689996615002</v>
      </c>
      <c r="N955" t="s">
        <v>51</v>
      </c>
      <c r="O955">
        <v>7</v>
      </c>
      <c r="P955">
        <v>6</v>
      </c>
      <c r="Q955">
        <v>146</v>
      </c>
      <c r="R955">
        <v>15</v>
      </c>
      <c r="S955">
        <v>184.59717230004</v>
      </c>
      <c r="X955">
        <v>184.58744620002099</v>
      </c>
      <c r="Y955">
        <v>184.59717230004</v>
      </c>
      <c r="Z955">
        <v>185.09804630000099</v>
      </c>
      <c r="AA955">
        <v>185.09804630000099</v>
      </c>
      <c r="AB955">
        <v>185.09804630000099</v>
      </c>
      <c r="AC955">
        <v>185.583891200018</v>
      </c>
      <c r="AD955" t="s">
        <v>50</v>
      </c>
      <c r="AE955">
        <v>1</v>
      </c>
      <c r="AF955">
        <v>0.47649689996615002</v>
      </c>
      <c r="AG955" t="s">
        <v>51</v>
      </c>
      <c r="AK955" t="s">
        <v>94</v>
      </c>
      <c r="AL955">
        <v>1</v>
      </c>
      <c r="AM955" t="s">
        <v>87</v>
      </c>
      <c r="AN955" t="s">
        <v>43</v>
      </c>
      <c r="AP955" t="s">
        <v>44</v>
      </c>
      <c r="AQ955">
        <v>60.129904655169099</v>
      </c>
      <c r="AR955" t="s">
        <v>88</v>
      </c>
    </row>
    <row r="956" spans="1:44" x14ac:dyDescent="0.3">
      <c r="A956" t="s">
        <v>77</v>
      </c>
      <c r="B956" t="s">
        <v>62</v>
      </c>
      <c r="C956" s="2" t="str">
        <f t="shared" si="14"/>
        <v>Emotional-C</v>
      </c>
      <c r="E956" t="s">
        <v>59</v>
      </c>
      <c r="F956" t="s">
        <v>61</v>
      </c>
      <c r="G956" t="s">
        <v>63</v>
      </c>
      <c r="H956">
        <v>147</v>
      </c>
      <c r="I956">
        <v>7</v>
      </c>
      <c r="J956">
        <v>7</v>
      </c>
      <c r="K956" t="s">
        <v>63</v>
      </c>
      <c r="L956">
        <v>1</v>
      </c>
      <c r="M956">
        <v>0.68824670003959898</v>
      </c>
      <c r="N956" t="s">
        <v>51</v>
      </c>
      <c r="O956">
        <v>7</v>
      </c>
      <c r="P956">
        <v>7</v>
      </c>
      <c r="Q956">
        <v>147</v>
      </c>
      <c r="R956">
        <v>4</v>
      </c>
      <c r="S956">
        <v>185.597294500039</v>
      </c>
      <c r="X956">
        <v>185.587254200014</v>
      </c>
      <c r="Y956">
        <v>185.597294500039</v>
      </c>
      <c r="Z956">
        <v>186.096799799997</v>
      </c>
      <c r="AA956">
        <v>186.096799799997</v>
      </c>
      <c r="AB956">
        <v>186.096799799997</v>
      </c>
      <c r="AC956">
        <v>186.80171650002001</v>
      </c>
      <c r="AD956" t="s">
        <v>63</v>
      </c>
      <c r="AE956">
        <v>1</v>
      </c>
      <c r="AF956">
        <v>0.68824670003959898</v>
      </c>
      <c r="AG956" t="s">
        <v>51</v>
      </c>
      <c r="AK956" t="s">
        <v>94</v>
      </c>
      <c r="AL956">
        <v>1</v>
      </c>
      <c r="AM956" t="s">
        <v>87</v>
      </c>
      <c r="AN956" t="s">
        <v>43</v>
      </c>
      <c r="AP956" t="s">
        <v>44</v>
      </c>
      <c r="AQ956">
        <v>60.129904655169099</v>
      </c>
      <c r="AR956" t="s">
        <v>88</v>
      </c>
    </row>
    <row r="957" spans="1:44" x14ac:dyDescent="0.3">
      <c r="A957" t="s">
        <v>65</v>
      </c>
      <c r="B957" t="s">
        <v>49</v>
      </c>
      <c r="C957" s="2" t="str">
        <f t="shared" si="14"/>
        <v>Emotional-I</v>
      </c>
      <c r="E957" t="s">
        <v>59</v>
      </c>
      <c r="F957" t="s">
        <v>56</v>
      </c>
      <c r="G957" t="s">
        <v>57</v>
      </c>
      <c r="H957">
        <v>148</v>
      </c>
      <c r="I957">
        <v>8</v>
      </c>
      <c r="J957">
        <v>7</v>
      </c>
      <c r="K957" t="s">
        <v>57</v>
      </c>
      <c r="L957">
        <v>1</v>
      </c>
      <c r="M957">
        <v>0.69573149998905104</v>
      </c>
      <c r="N957" t="s">
        <v>51</v>
      </c>
      <c r="O957">
        <v>7</v>
      </c>
      <c r="P957">
        <v>8</v>
      </c>
      <c r="Q957">
        <v>148</v>
      </c>
      <c r="R957">
        <v>9</v>
      </c>
      <c r="S957">
        <v>186.81339359999399</v>
      </c>
      <c r="X957">
        <v>186.80517420003801</v>
      </c>
      <c r="Y957">
        <v>186.81339359999399</v>
      </c>
      <c r="Z957">
        <v>187.31415220000699</v>
      </c>
      <c r="AA957">
        <v>187.31415220000699</v>
      </c>
      <c r="AB957">
        <v>187.31415220000699</v>
      </c>
      <c r="AC957">
        <v>188.01774119999001</v>
      </c>
      <c r="AD957" t="s">
        <v>57</v>
      </c>
      <c r="AE957">
        <v>1</v>
      </c>
      <c r="AF957">
        <v>0.69573149998905104</v>
      </c>
      <c r="AG957" t="s">
        <v>51</v>
      </c>
      <c r="AK957" t="s">
        <v>94</v>
      </c>
      <c r="AL957">
        <v>1</v>
      </c>
      <c r="AM957" t="s">
        <v>87</v>
      </c>
      <c r="AN957" t="s">
        <v>43</v>
      </c>
      <c r="AP957" t="s">
        <v>44</v>
      </c>
      <c r="AQ957">
        <v>60.129904655169099</v>
      </c>
      <c r="AR957" t="s">
        <v>88</v>
      </c>
    </row>
    <row r="958" spans="1:44" x14ac:dyDescent="0.3">
      <c r="A958" t="s">
        <v>52</v>
      </c>
      <c r="B958" t="s">
        <v>49</v>
      </c>
      <c r="C958" s="2" t="str">
        <f t="shared" si="14"/>
        <v>Neutral</v>
      </c>
      <c r="E958" t="s">
        <v>47</v>
      </c>
      <c r="F958" t="s">
        <v>53</v>
      </c>
      <c r="G958" t="s">
        <v>54</v>
      </c>
      <c r="H958">
        <v>149</v>
      </c>
      <c r="I958">
        <v>9</v>
      </c>
      <c r="J958">
        <v>7</v>
      </c>
      <c r="K958" t="s">
        <v>54</v>
      </c>
      <c r="L958">
        <v>1</v>
      </c>
      <c r="M958">
        <v>0.92942639999091603</v>
      </c>
      <c r="N958" t="s">
        <v>51</v>
      </c>
      <c r="O958">
        <v>7</v>
      </c>
      <c r="P958">
        <v>9</v>
      </c>
      <c r="Q958">
        <v>149</v>
      </c>
      <c r="R958">
        <v>14</v>
      </c>
      <c r="S958">
        <v>188.02983070001901</v>
      </c>
      <c r="X958">
        <v>188.02074040001</v>
      </c>
      <c r="Y958">
        <v>188.02983070001901</v>
      </c>
      <c r="Z958">
        <v>188.52996900002401</v>
      </c>
      <c r="AA958">
        <v>188.52996900002401</v>
      </c>
      <c r="AB958">
        <v>188.52996900002401</v>
      </c>
      <c r="AC958">
        <v>189.46707900002301</v>
      </c>
      <c r="AD958" t="s">
        <v>54</v>
      </c>
      <c r="AE958">
        <v>1</v>
      </c>
      <c r="AF958">
        <v>0.92942639999091603</v>
      </c>
      <c r="AG958" t="s">
        <v>51</v>
      </c>
      <c r="AK958" t="s">
        <v>94</v>
      </c>
      <c r="AL958">
        <v>1</v>
      </c>
      <c r="AM958" t="s">
        <v>87</v>
      </c>
      <c r="AN958" t="s">
        <v>43</v>
      </c>
      <c r="AP958" t="s">
        <v>44</v>
      </c>
      <c r="AQ958">
        <v>60.129904655169099</v>
      </c>
      <c r="AR958" t="s">
        <v>88</v>
      </c>
    </row>
    <row r="959" spans="1:44" x14ac:dyDescent="0.3">
      <c r="A959" t="s">
        <v>46</v>
      </c>
      <c r="B959" t="s">
        <v>49</v>
      </c>
      <c r="C959" s="2" t="str">
        <f t="shared" si="14"/>
        <v>Neutral</v>
      </c>
      <c r="E959" t="s">
        <v>47</v>
      </c>
      <c r="F959" t="s">
        <v>48</v>
      </c>
      <c r="G959" t="s">
        <v>50</v>
      </c>
      <c r="H959">
        <v>150</v>
      </c>
      <c r="I959">
        <v>10</v>
      </c>
      <c r="J959">
        <v>7</v>
      </c>
      <c r="K959" t="s">
        <v>50</v>
      </c>
      <c r="L959">
        <v>1</v>
      </c>
      <c r="M959">
        <v>0.72572489996673495</v>
      </c>
      <c r="N959" t="s">
        <v>51</v>
      </c>
      <c r="O959">
        <v>7</v>
      </c>
      <c r="P959">
        <v>10</v>
      </c>
      <c r="Q959">
        <v>150</v>
      </c>
      <c r="R959">
        <v>19</v>
      </c>
      <c r="S959">
        <v>189.48017260001501</v>
      </c>
      <c r="X959">
        <v>189.46971700002899</v>
      </c>
      <c r="Y959">
        <v>189.48017260001501</v>
      </c>
      <c r="Z959">
        <v>189.980293200002</v>
      </c>
      <c r="AA959">
        <v>189.980293200002</v>
      </c>
      <c r="AB959">
        <v>189.980293200002</v>
      </c>
      <c r="AC959">
        <v>190.7174047</v>
      </c>
      <c r="AD959" t="s">
        <v>50</v>
      </c>
      <c r="AE959">
        <v>1</v>
      </c>
      <c r="AF959">
        <v>0.72572489996673495</v>
      </c>
      <c r="AG959" t="s">
        <v>51</v>
      </c>
      <c r="AK959" t="s">
        <v>94</v>
      </c>
      <c r="AL959">
        <v>1</v>
      </c>
      <c r="AM959" t="s">
        <v>87</v>
      </c>
      <c r="AN959" t="s">
        <v>43</v>
      </c>
      <c r="AP959" t="s">
        <v>44</v>
      </c>
      <c r="AQ959">
        <v>60.129904655169099</v>
      </c>
      <c r="AR959" t="s">
        <v>88</v>
      </c>
    </row>
    <row r="960" spans="1:44" x14ac:dyDescent="0.3">
      <c r="A960" t="s">
        <v>72</v>
      </c>
      <c r="B960" t="s">
        <v>62</v>
      </c>
      <c r="C960" s="2" t="str">
        <f t="shared" si="14"/>
        <v>Emotional-C</v>
      </c>
      <c r="E960" t="s">
        <v>59</v>
      </c>
      <c r="F960" t="s">
        <v>61</v>
      </c>
      <c r="G960" t="s">
        <v>63</v>
      </c>
      <c r="H960">
        <v>151</v>
      </c>
      <c r="I960">
        <v>11</v>
      </c>
      <c r="J960">
        <v>7</v>
      </c>
      <c r="K960" t="s">
        <v>63</v>
      </c>
      <c r="L960">
        <v>1</v>
      </c>
      <c r="M960">
        <v>0.59551389998523496</v>
      </c>
      <c r="N960" t="s">
        <v>51</v>
      </c>
      <c r="O960">
        <v>7</v>
      </c>
      <c r="P960">
        <v>11</v>
      </c>
      <c r="Q960">
        <v>151</v>
      </c>
      <c r="R960">
        <v>8</v>
      </c>
      <c r="S960">
        <v>190.73074540001099</v>
      </c>
      <c r="X960">
        <v>190.72000900003999</v>
      </c>
      <c r="Y960">
        <v>190.73074540001099</v>
      </c>
      <c r="Z960">
        <v>191.23102440004001</v>
      </c>
      <c r="AA960">
        <v>191.23102440004001</v>
      </c>
      <c r="AB960">
        <v>191.23102440004001</v>
      </c>
      <c r="AC960">
        <v>191.83522800001001</v>
      </c>
      <c r="AD960" t="s">
        <v>63</v>
      </c>
      <c r="AE960">
        <v>1</v>
      </c>
      <c r="AF960">
        <v>0.59551389998523496</v>
      </c>
      <c r="AG960" t="s">
        <v>51</v>
      </c>
      <c r="AK960" t="s">
        <v>94</v>
      </c>
      <c r="AL960">
        <v>1</v>
      </c>
      <c r="AM960" t="s">
        <v>87</v>
      </c>
      <c r="AN960" t="s">
        <v>43</v>
      </c>
      <c r="AP960" t="s">
        <v>44</v>
      </c>
      <c r="AQ960">
        <v>60.129904655169099</v>
      </c>
      <c r="AR960" t="s">
        <v>88</v>
      </c>
    </row>
    <row r="961" spans="1:44" x14ac:dyDescent="0.3">
      <c r="A961" t="s">
        <v>76</v>
      </c>
      <c r="B961" t="s">
        <v>49</v>
      </c>
      <c r="C961" s="2" t="str">
        <f t="shared" si="14"/>
        <v>Emotional-I</v>
      </c>
      <c r="E961" t="s">
        <v>59</v>
      </c>
      <c r="F961" t="s">
        <v>48</v>
      </c>
      <c r="G961" t="s">
        <v>50</v>
      </c>
      <c r="H961">
        <v>152</v>
      </c>
      <c r="I961">
        <v>12</v>
      </c>
      <c r="J961">
        <v>7</v>
      </c>
      <c r="K961" t="s">
        <v>50</v>
      </c>
      <c r="L961">
        <v>1</v>
      </c>
      <c r="M961">
        <v>1.11836159997619</v>
      </c>
      <c r="N961" t="s">
        <v>51</v>
      </c>
      <c r="O961">
        <v>7</v>
      </c>
      <c r="P961">
        <v>12</v>
      </c>
      <c r="Q961">
        <v>152</v>
      </c>
      <c r="R961">
        <v>3</v>
      </c>
      <c r="S961">
        <v>191.84703390003401</v>
      </c>
      <c r="X961">
        <v>191.837918400007</v>
      </c>
      <c r="Y961">
        <v>191.84703390003401</v>
      </c>
      <c r="Z961">
        <v>192.34721810003899</v>
      </c>
      <c r="AA961">
        <v>192.34721810003899</v>
      </c>
      <c r="AB961">
        <v>192.34721810003899</v>
      </c>
      <c r="AC961">
        <v>193.4681003</v>
      </c>
      <c r="AD961" t="s">
        <v>50</v>
      </c>
      <c r="AE961">
        <v>1</v>
      </c>
      <c r="AF961">
        <v>1.11836159997619</v>
      </c>
      <c r="AG961" t="s">
        <v>51</v>
      </c>
      <c r="AK961" t="s">
        <v>94</v>
      </c>
      <c r="AL961">
        <v>1</v>
      </c>
      <c r="AM961" t="s">
        <v>87</v>
      </c>
      <c r="AN961" t="s">
        <v>43</v>
      </c>
      <c r="AP961" t="s">
        <v>44</v>
      </c>
      <c r="AQ961">
        <v>60.129904655169099</v>
      </c>
      <c r="AR961" t="s">
        <v>88</v>
      </c>
    </row>
    <row r="962" spans="1:44" x14ac:dyDescent="0.3">
      <c r="A962" t="s">
        <v>70</v>
      </c>
      <c r="B962" t="s">
        <v>49</v>
      </c>
      <c r="C962" s="2" t="str">
        <f t="shared" ref="C962:C1008" si="15">IF(E962="neutral","Neutral",
IF(AND(E962="emotional",B962="C"),"Emotional-C",
IF(AND(E962="emotional",B962="I"),"Emotional-I","")))</f>
        <v>Emotional-I</v>
      </c>
      <c r="E962" t="s">
        <v>59</v>
      </c>
      <c r="F962" t="s">
        <v>53</v>
      </c>
      <c r="G962" t="s">
        <v>54</v>
      </c>
      <c r="H962">
        <v>153</v>
      </c>
      <c r="I962">
        <v>13</v>
      </c>
      <c r="J962">
        <v>7</v>
      </c>
      <c r="K962" t="s">
        <v>54</v>
      </c>
      <c r="L962">
        <v>1</v>
      </c>
      <c r="M962">
        <v>0.71744400000898101</v>
      </c>
      <c r="N962" t="s">
        <v>51</v>
      </c>
      <c r="O962">
        <v>7</v>
      </c>
      <c r="P962">
        <v>13</v>
      </c>
      <c r="Q962">
        <v>153</v>
      </c>
      <c r="R962">
        <v>2</v>
      </c>
      <c r="S962">
        <v>193.47993840003599</v>
      </c>
      <c r="X962">
        <v>193.47082430002001</v>
      </c>
      <c r="Y962">
        <v>193.47993840003599</v>
      </c>
      <c r="Z962">
        <v>193.979689400002</v>
      </c>
      <c r="AA962">
        <v>193.979689400002</v>
      </c>
      <c r="AB962">
        <v>193.979689400002</v>
      </c>
      <c r="AC962">
        <v>194.69986280001399</v>
      </c>
      <c r="AD962" t="s">
        <v>54</v>
      </c>
      <c r="AE962">
        <v>1</v>
      </c>
      <c r="AF962">
        <v>0.71744400000898101</v>
      </c>
      <c r="AG962" t="s">
        <v>51</v>
      </c>
      <c r="AK962" t="s">
        <v>94</v>
      </c>
      <c r="AL962">
        <v>1</v>
      </c>
      <c r="AM962" t="s">
        <v>87</v>
      </c>
      <c r="AN962" t="s">
        <v>43</v>
      </c>
      <c r="AP962" t="s">
        <v>44</v>
      </c>
      <c r="AQ962">
        <v>60.129904655169099</v>
      </c>
      <c r="AR962" t="s">
        <v>88</v>
      </c>
    </row>
    <row r="963" spans="1:44" x14ac:dyDescent="0.3">
      <c r="A963" t="s">
        <v>60</v>
      </c>
      <c r="B963" t="s">
        <v>62</v>
      </c>
      <c r="C963" s="2" t="str">
        <f t="shared" si="15"/>
        <v>Emotional-C</v>
      </c>
      <c r="E963" t="s">
        <v>59</v>
      </c>
      <c r="F963" t="s">
        <v>61</v>
      </c>
      <c r="G963" t="s">
        <v>63</v>
      </c>
      <c r="H963">
        <v>154</v>
      </c>
      <c r="I963">
        <v>14</v>
      </c>
      <c r="J963">
        <v>7</v>
      </c>
      <c r="K963" t="s">
        <v>63</v>
      </c>
      <c r="L963">
        <v>1</v>
      </c>
      <c r="M963">
        <v>1.0134905999875601</v>
      </c>
      <c r="N963" t="s">
        <v>51</v>
      </c>
      <c r="O963">
        <v>7</v>
      </c>
      <c r="P963">
        <v>14</v>
      </c>
      <c r="Q963">
        <v>154</v>
      </c>
      <c r="R963">
        <v>0</v>
      </c>
      <c r="S963">
        <v>194.71310340001901</v>
      </c>
      <c r="X963">
        <v>194.70228690002099</v>
      </c>
      <c r="Y963">
        <v>194.71310340001901</v>
      </c>
      <c r="Z963">
        <v>195.21297809999601</v>
      </c>
      <c r="AA963">
        <v>195.21297809999601</v>
      </c>
      <c r="AB963">
        <v>195.21297809999601</v>
      </c>
      <c r="AC963">
        <v>196.23541409999501</v>
      </c>
      <c r="AD963" t="s">
        <v>63</v>
      </c>
      <c r="AE963">
        <v>1</v>
      </c>
      <c r="AF963">
        <v>1.0134905999875601</v>
      </c>
      <c r="AG963" t="s">
        <v>51</v>
      </c>
      <c r="AK963" t="s">
        <v>94</v>
      </c>
      <c r="AL963">
        <v>1</v>
      </c>
      <c r="AM963" t="s">
        <v>87</v>
      </c>
      <c r="AN963" t="s">
        <v>43</v>
      </c>
      <c r="AP963" t="s">
        <v>44</v>
      </c>
      <c r="AQ963">
        <v>60.129904655169099</v>
      </c>
      <c r="AR963" t="s">
        <v>88</v>
      </c>
    </row>
    <row r="964" spans="1:44" x14ac:dyDescent="0.3">
      <c r="A964" t="s">
        <v>73</v>
      </c>
      <c r="B964" t="s">
        <v>49</v>
      </c>
      <c r="C964" s="2" t="str">
        <f t="shared" si="15"/>
        <v>Emotional-I</v>
      </c>
      <c r="E964" t="s">
        <v>59</v>
      </c>
      <c r="F964" t="s">
        <v>56</v>
      </c>
      <c r="G964" t="s">
        <v>57</v>
      </c>
      <c r="H964">
        <v>155</v>
      </c>
      <c r="I964">
        <v>15</v>
      </c>
      <c r="J964">
        <v>7</v>
      </c>
      <c r="K964" t="s">
        <v>57</v>
      </c>
      <c r="L964">
        <v>1</v>
      </c>
      <c r="M964">
        <v>0.68439879996003505</v>
      </c>
      <c r="N964" t="s">
        <v>51</v>
      </c>
      <c r="O964">
        <v>7</v>
      </c>
      <c r="P964">
        <v>15</v>
      </c>
      <c r="Q964">
        <v>155</v>
      </c>
      <c r="R964">
        <v>1</v>
      </c>
      <c r="S964">
        <v>196.24736109998699</v>
      </c>
      <c r="X964">
        <v>196.23951039998701</v>
      </c>
      <c r="Y964">
        <v>196.24736109998699</v>
      </c>
      <c r="Z964">
        <v>196.74700259999301</v>
      </c>
      <c r="AA964">
        <v>196.74700259999301</v>
      </c>
      <c r="AB964">
        <v>196.74700259999301</v>
      </c>
      <c r="AC964">
        <v>197.433931800012</v>
      </c>
      <c r="AD964" t="s">
        <v>57</v>
      </c>
      <c r="AE964">
        <v>1</v>
      </c>
      <c r="AF964">
        <v>0.68439879996003505</v>
      </c>
      <c r="AG964" t="s">
        <v>51</v>
      </c>
      <c r="AK964" t="s">
        <v>94</v>
      </c>
      <c r="AL964">
        <v>1</v>
      </c>
      <c r="AM964" t="s">
        <v>87</v>
      </c>
      <c r="AN964" t="s">
        <v>43</v>
      </c>
      <c r="AP964" t="s">
        <v>44</v>
      </c>
      <c r="AQ964">
        <v>60.129904655169099</v>
      </c>
      <c r="AR964" t="s">
        <v>88</v>
      </c>
    </row>
    <row r="965" spans="1:44" x14ac:dyDescent="0.3">
      <c r="A965" t="s">
        <v>75</v>
      </c>
      <c r="B965" t="s">
        <v>49</v>
      </c>
      <c r="C965" s="2" t="str">
        <f t="shared" si="15"/>
        <v>Neutral</v>
      </c>
      <c r="E965" t="s">
        <v>47</v>
      </c>
      <c r="F965" t="s">
        <v>61</v>
      </c>
      <c r="G965" t="s">
        <v>63</v>
      </c>
      <c r="H965">
        <v>156</v>
      </c>
      <c r="I965">
        <v>16</v>
      </c>
      <c r="J965">
        <v>7</v>
      </c>
      <c r="K965" t="s">
        <v>63</v>
      </c>
      <c r="L965">
        <v>1</v>
      </c>
      <c r="M965">
        <v>1.0607820000150201</v>
      </c>
      <c r="N965" t="s">
        <v>51</v>
      </c>
      <c r="O965">
        <v>7</v>
      </c>
      <c r="P965">
        <v>16</v>
      </c>
      <c r="Q965">
        <v>156</v>
      </c>
      <c r="R965">
        <v>16</v>
      </c>
      <c r="S965">
        <v>197.44637510000001</v>
      </c>
      <c r="X965">
        <v>197.43769890000101</v>
      </c>
      <c r="Y965">
        <v>197.44637510000001</v>
      </c>
      <c r="Z965">
        <v>197.946863599994</v>
      </c>
      <c r="AA965">
        <v>197.946863599994</v>
      </c>
      <c r="AB965">
        <v>197.946863599994</v>
      </c>
      <c r="AC965">
        <v>199.016550800006</v>
      </c>
      <c r="AD965" t="s">
        <v>63</v>
      </c>
      <c r="AE965">
        <v>1</v>
      </c>
      <c r="AF965">
        <v>1.0607820000150201</v>
      </c>
      <c r="AG965" t="s">
        <v>51</v>
      </c>
      <c r="AK965" t="s">
        <v>94</v>
      </c>
      <c r="AL965">
        <v>1</v>
      </c>
      <c r="AM965" t="s">
        <v>87</v>
      </c>
      <c r="AN965" t="s">
        <v>43</v>
      </c>
      <c r="AP965" t="s">
        <v>44</v>
      </c>
      <c r="AQ965">
        <v>60.129904655169099</v>
      </c>
      <c r="AR965" t="s">
        <v>88</v>
      </c>
    </row>
    <row r="966" spans="1:44" x14ac:dyDescent="0.3">
      <c r="A966" t="s">
        <v>67</v>
      </c>
      <c r="B966" t="s">
        <v>49</v>
      </c>
      <c r="C966" s="2" t="str">
        <f t="shared" si="15"/>
        <v>Neutral</v>
      </c>
      <c r="E966" t="s">
        <v>47</v>
      </c>
      <c r="F966" t="s">
        <v>53</v>
      </c>
      <c r="G966" t="s">
        <v>54</v>
      </c>
      <c r="H966">
        <v>157</v>
      </c>
      <c r="I966">
        <v>17</v>
      </c>
      <c r="J966">
        <v>7</v>
      </c>
      <c r="K966" t="s">
        <v>54</v>
      </c>
      <c r="L966">
        <v>1</v>
      </c>
      <c r="M966">
        <v>0.80317610001657103</v>
      </c>
      <c r="N966" t="s">
        <v>51</v>
      </c>
      <c r="O966">
        <v>7</v>
      </c>
      <c r="P966">
        <v>17</v>
      </c>
      <c r="Q966">
        <v>157</v>
      </c>
      <c r="R966">
        <v>10</v>
      </c>
      <c r="S966">
        <v>199.02943090000099</v>
      </c>
      <c r="X966">
        <v>199.01999440003399</v>
      </c>
      <c r="Y966">
        <v>199.02943090000099</v>
      </c>
      <c r="Z966">
        <v>199.530469099991</v>
      </c>
      <c r="AA966">
        <v>199.530469099991</v>
      </c>
      <c r="AB966">
        <v>199.530469099991</v>
      </c>
      <c r="AC966">
        <v>200.35012830002199</v>
      </c>
      <c r="AD966" t="s">
        <v>54</v>
      </c>
      <c r="AE966">
        <v>1</v>
      </c>
      <c r="AF966">
        <v>0.80317610001657103</v>
      </c>
      <c r="AG966" t="s">
        <v>51</v>
      </c>
      <c r="AK966" t="s">
        <v>94</v>
      </c>
      <c r="AL966">
        <v>1</v>
      </c>
      <c r="AM966" t="s">
        <v>87</v>
      </c>
      <c r="AN966" t="s">
        <v>43</v>
      </c>
      <c r="AP966" t="s">
        <v>44</v>
      </c>
      <c r="AQ966">
        <v>60.129904655169099</v>
      </c>
      <c r="AR966" t="s">
        <v>88</v>
      </c>
    </row>
    <row r="967" spans="1:44" x14ac:dyDescent="0.3">
      <c r="A967" t="s">
        <v>68</v>
      </c>
      <c r="B967" t="s">
        <v>49</v>
      </c>
      <c r="C967" s="2" t="str">
        <f t="shared" si="15"/>
        <v>Emotional-I</v>
      </c>
      <c r="E967" t="s">
        <v>59</v>
      </c>
      <c r="F967" t="s">
        <v>53</v>
      </c>
      <c r="G967" t="s">
        <v>54</v>
      </c>
      <c r="H967">
        <v>158</v>
      </c>
      <c r="I967">
        <v>18</v>
      </c>
      <c r="J967">
        <v>7</v>
      </c>
      <c r="K967" t="s">
        <v>54</v>
      </c>
      <c r="L967">
        <v>1</v>
      </c>
      <c r="M967">
        <v>0.55587809998542004</v>
      </c>
      <c r="N967" t="s">
        <v>51</v>
      </c>
      <c r="O967">
        <v>7</v>
      </c>
      <c r="P967">
        <v>18</v>
      </c>
      <c r="Q967">
        <v>158</v>
      </c>
      <c r="R967">
        <v>6</v>
      </c>
      <c r="S967">
        <v>200.36325530003501</v>
      </c>
      <c r="X967">
        <v>200.35264490003399</v>
      </c>
      <c r="Y967">
        <v>200.36325530003501</v>
      </c>
      <c r="Z967">
        <v>200.86331929999801</v>
      </c>
      <c r="AA967">
        <v>200.86331929999801</v>
      </c>
      <c r="AB967">
        <v>200.86331929999801</v>
      </c>
      <c r="AC967">
        <v>201.434026000031</v>
      </c>
      <c r="AD967" t="s">
        <v>54</v>
      </c>
      <c r="AE967">
        <v>1</v>
      </c>
      <c r="AF967">
        <v>0.55587809998542004</v>
      </c>
      <c r="AG967" t="s">
        <v>51</v>
      </c>
      <c r="AK967" t="s">
        <v>94</v>
      </c>
      <c r="AL967">
        <v>1</v>
      </c>
      <c r="AM967" t="s">
        <v>87</v>
      </c>
      <c r="AN967" t="s">
        <v>43</v>
      </c>
      <c r="AP967" t="s">
        <v>44</v>
      </c>
      <c r="AQ967">
        <v>60.129904655169099</v>
      </c>
      <c r="AR967" t="s">
        <v>88</v>
      </c>
    </row>
    <row r="968" spans="1:44" x14ac:dyDescent="0.3">
      <c r="A968" t="s">
        <v>66</v>
      </c>
      <c r="B968" t="s">
        <v>49</v>
      </c>
      <c r="C968" s="2" t="str">
        <f t="shared" si="15"/>
        <v>Neutral</v>
      </c>
      <c r="E968" t="s">
        <v>47</v>
      </c>
      <c r="F968" t="s">
        <v>61</v>
      </c>
      <c r="G968" t="s">
        <v>63</v>
      </c>
      <c r="H968">
        <v>159</v>
      </c>
      <c r="I968">
        <v>19</v>
      </c>
      <c r="J968">
        <v>7</v>
      </c>
      <c r="K968" t="s">
        <v>63</v>
      </c>
      <c r="L968">
        <v>1</v>
      </c>
      <c r="M968">
        <v>0.69315910001751002</v>
      </c>
      <c r="N968" t="s">
        <v>51</v>
      </c>
      <c r="O968">
        <v>7</v>
      </c>
      <c r="P968">
        <v>19</v>
      </c>
      <c r="Q968">
        <v>159</v>
      </c>
      <c r="R968">
        <v>12</v>
      </c>
      <c r="S968">
        <v>201.44606580003099</v>
      </c>
      <c r="X968">
        <v>201.437772500037</v>
      </c>
      <c r="Y968">
        <v>201.44606580003099</v>
      </c>
      <c r="Z968">
        <v>201.946536800009</v>
      </c>
      <c r="AA968">
        <v>201.946536800009</v>
      </c>
      <c r="AB968">
        <v>201.946536800009</v>
      </c>
      <c r="AC968">
        <v>202.65088080003599</v>
      </c>
      <c r="AD968" t="s">
        <v>63</v>
      </c>
      <c r="AE968">
        <v>1</v>
      </c>
      <c r="AF968">
        <v>0.69315910001751002</v>
      </c>
      <c r="AG968" t="s">
        <v>51</v>
      </c>
      <c r="AK968" t="s">
        <v>94</v>
      </c>
      <c r="AL968">
        <v>1</v>
      </c>
      <c r="AM968" t="s">
        <v>87</v>
      </c>
      <c r="AN968" t="s">
        <v>43</v>
      </c>
      <c r="AP968" t="s">
        <v>44</v>
      </c>
      <c r="AQ968">
        <v>60.129904655169099</v>
      </c>
      <c r="AR968" t="s">
        <v>88</v>
      </c>
    </row>
    <row r="969" spans="1:44" x14ac:dyDescent="0.3">
      <c r="A969" t="s">
        <v>68</v>
      </c>
      <c r="B969" t="s">
        <v>49</v>
      </c>
      <c r="C969" s="2" t="str">
        <f t="shared" si="15"/>
        <v>Emotional-I</v>
      </c>
      <c r="E969" t="s">
        <v>59</v>
      </c>
      <c r="F969" t="s">
        <v>53</v>
      </c>
      <c r="G969" t="s">
        <v>54</v>
      </c>
      <c r="H969">
        <v>160</v>
      </c>
      <c r="I969">
        <v>0</v>
      </c>
      <c r="J969">
        <v>8</v>
      </c>
      <c r="K969" t="s">
        <v>54</v>
      </c>
      <c r="L969">
        <v>1</v>
      </c>
      <c r="M969">
        <v>0.835168100020382</v>
      </c>
      <c r="N969" t="s">
        <v>51</v>
      </c>
      <c r="O969">
        <v>8</v>
      </c>
      <c r="P969">
        <v>0</v>
      </c>
      <c r="Q969">
        <v>160</v>
      </c>
      <c r="R969">
        <v>6</v>
      </c>
      <c r="S969">
        <v>202.66404490004001</v>
      </c>
      <c r="X969">
        <v>202.654826499987</v>
      </c>
      <c r="Y969">
        <v>202.66404490004001</v>
      </c>
      <c r="Z969">
        <v>203.162946800002</v>
      </c>
      <c r="AA969">
        <v>203.162946800002</v>
      </c>
      <c r="AB969">
        <v>203.162946800002</v>
      </c>
      <c r="AC969">
        <v>203.99992370000101</v>
      </c>
      <c r="AD969" t="s">
        <v>54</v>
      </c>
      <c r="AE969">
        <v>1</v>
      </c>
      <c r="AF969">
        <v>0.835168100020382</v>
      </c>
      <c r="AG969" t="s">
        <v>51</v>
      </c>
      <c r="AK969" t="s">
        <v>94</v>
      </c>
      <c r="AL969">
        <v>1</v>
      </c>
      <c r="AM969" t="s">
        <v>87</v>
      </c>
      <c r="AN969" t="s">
        <v>43</v>
      </c>
      <c r="AP969" t="s">
        <v>44</v>
      </c>
      <c r="AQ969">
        <v>60.129904655169099</v>
      </c>
      <c r="AR969" t="s">
        <v>88</v>
      </c>
    </row>
    <row r="970" spans="1:44" x14ac:dyDescent="0.3">
      <c r="A970" t="s">
        <v>65</v>
      </c>
      <c r="B970" t="s">
        <v>49</v>
      </c>
      <c r="C970" s="2" t="str">
        <f t="shared" si="15"/>
        <v>Emotional-I</v>
      </c>
      <c r="E970" t="s">
        <v>59</v>
      </c>
      <c r="F970" t="s">
        <v>56</v>
      </c>
      <c r="G970" t="s">
        <v>57</v>
      </c>
      <c r="H970">
        <v>161</v>
      </c>
      <c r="I970">
        <v>1</v>
      </c>
      <c r="J970">
        <v>8</v>
      </c>
      <c r="K970" t="s">
        <v>57</v>
      </c>
      <c r="L970">
        <v>1</v>
      </c>
      <c r="M970">
        <v>0.73700090002967</v>
      </c>
      <c r="N970" t="s">
        <v>51</v>
      </c>
      <c r="O970">
        <v>8</v>
      </c>
      <c r="P970">
        <v>1</v>
      </c>
      <c r="Q970">
        <v>161</v>
      </c>
      <c r="R970">
        <v>9</v>
      </c>
      <c r="S970">
        <v>204.012530500011</v>
      </c>
      <c r="X970">
        <v>204.002765699988</v>
      </c>
      <c r="Y970">
        <v>204.012530500011</v>
      </c>
      <c r="Z970">
        <v>204.51286429999101</v>
      </c>
      <c r="AA970">
        <v>204.51286429999101</v>
      </c>
      <c r="AB970">
        <v>204.51286429999101</v>
      </c>
      <c r="AC970">
        <v>205.25036850001101</v>
      </c>
      <c r="AD970" t="s">
        <v>57</v>
      </c>
      <c r="AE970">
        <v>1</v>
      </c>
      <c r="AF970">
        <v>0.73700090002967</v>
      </c>
      <c r="AG970" t="s">
        <v>51</v>
      </c>
      <c r="AK970" t="s">
        <v>94</v>
      </c>
      <c r="AL970">
        <v>1</v>
      </c>
      <c r="AM970" t="s">
        <v>87</v>
      </c>
      <c r="AN970" t="s">
        <v>43</v>
      </c>
      <c r="AP970" t="s">
        <v>44</v>
      </c>
      <c r="AQ970">
        <v>60.129904655169099</v>
      </c>
      <c r="AR970" t="s">
        <v>88</v>
      </c>
    </row>
    <row r="971" spans="1:44" x14ac:dyDescent="0.3">
      <c r="A971" t="s">
        <v>76</v>
      </c>
      <c r="B971" t="s">
        <v>49</v>
      </c>
      <c r="C971" s="2" t="str">
        <f t="shared" si="15"/>
        <v>Emotional-I</v>
      </c>
      <c r="E971" t="s">
        <v>59</v>
      </c>
      <c r="F971" t="s">
        <v>48</v>
      </c>
      <c r="G971" t="s">
        <v>50</v>
      </c>
      <c r="H971">
        <v>162</v>
      </c>
      <c r="I971">
        <v>2</v>
      </c>
      <c r="J971">
        <v>8</v>
      </c>
      <c r="K971" t="s">
        <v>50</v>
      </c>
      <c r="L971">
        <v>1</v>
      </c>
      <c r="M971">
        <v>0.81879529997240696</v>
      </c>
      <c r="N971" t="s">
        <v>51</v>
      </c>
      <c r="O971">
        <v>8</v>
      </c>
      <c r="P971">
        <v>2</v>
      </c>
      <c r="Q971">
        <v>162</v>
      </c>
      <c r="R971">
        <v>3</v>
      </c>
      <c r="S971">
        <v>205.26260270003601</v>
      </c>
      <c r="X971">
        <v>205.25385949999301</v>
      </c>
      <c r="Y971">
        <v>205.26260270003601</v>
      </c>
      <c r="Z971">
        <v>205.76326420000899</v>
      </c>
      <c r="AA971">
        <v>205.76326420000899</v>
      </c>
      <c r="AB971">
        <v>205.76326420000899</v>
      </c>
      <c r="AC971">
        <v>206.58423239999601</v>
      </c>
      <c r="AD971" t="s">
        <v>50</v>
      </c>
      <c r="AE971">
        <v>1</v>
      </c>
      <c r="AF971">
        <v>0.81879529997240696</v>
      </c>
      <c r="AG971" t="s">
        <v>51</v>
      </c>
      <c r="AK971" t="s">
        <v>94</v>
      </c>
      <c r="AL971">
        <v>1</v>
      </c>
      <c r="AM971" t="s">
        <v>87</v>
      </c>
      <c r="AN971" t="s">
        <v>43</v>
      </c>
      <c r="AP971" t="s">
        <v>44</v>
      </c>
      <c r="AQ971">
        <v>60.129904655169099</v>
      </c>
      <c r="AR971" t="s">
        <v>88</v>
      </c>
    </row>
    <row r="972" spans="1:44" x14ac:dyDescent="0.3">
      <c r="A972" t="s">
        <v>58</v>
      </c>
      <c r="B972" t="s">
        <v>49</v>
      </c>
      <c r="C972" s="2" t="str">
        <f t="shared" si="15"/>
        <v>Emotional-I</v>
      </c>
      <c r="E972" t="s">
        <v>59</v>
      </c>
      <c r="F972" t="s">
        <v>48</v>
      </c>
      <c r="G972" t="s">
        <v>50</v>
      </c>
      <c r="H972">
        <v>163</v>
      </c>
      <c r="I972">
        <v>3</v>
      </c>
      <c r="J972">
        <v>8</v>
      </c>
      <c r="K972" t="s">
        <v>50</v>
      </c>
      <c r="L972">
        <v>1</v>
      </c>
      <c r="M972">
        <v>0.50565700000151903</v>
      </c>
      <c r="N972" t="s">
        <v>51</v>
      </c>
      <c r="O972">
        <v>8</v>
      </c>
      <c r="P972">
        <v>3</v>
      </c>
      <c r="Q972">
        <v>163</v>
      </c>
      <c r="R972">
        <v>7</v>
      </c>
      <c r="S972">
        <v>206.596014900016</v>
      </c>
      <c r="X972">
        <v>206.58783169998699</v>
      </c>
      <c r="Y972">
        <v>206.596014900016</v>
      </c>
      <c r="Z972">
        <v>207.096453500038</v>
      </c>
      <c r="AA972">
        <v>207.096453500038</v>
      </c>
      <c r="AB972">
        <v>207.096453500038</v>
      </c>
      <c r="AC972">
        <v>207.61635800002799</v>
      </c>
      <c r="AD972" t="s">
        <v>50</v>
      </c>
      <c r="AE972">
        <v>1</v>
      </c>
      <c r="AF972">
        <v>0.50565700000151903</v>
      </c>
      <c r="AG972" t="s">
        <v>51</v>
      </c>
      <c r="AK972" t="s">
        <v>94</v>
      </c>
      <c r="AL972">
        <v>1</v>
      </c>
      <c r="AM972" t="s">
        <v>87</v>
      </c>
      <c r="AN972" t="s">
        <v>43</v>
      </c>
      <c r="AP972" t="s">
        <v>44</v>
      </c>
      <c r="AQ972">
        <v>60.129904655169099</v>
      </c>
      <c r="AR972" t="s">
        <v>88</v>
      </c>
    </row>
    <row r="973" spans="1:44" x14ac:dyDescent="0.3">
      <c r="A973" t="s">
        <v>70</v>
      </c>
      <c r="B973" t="s">
        <v>49</v>
      </c>
      <c r="C973" s="2" t="str">
        <f t="shared" si="15"/>
        <v>Emotional-I</v>
      </c>
      <c r="E973" t="s">
        <v>59</v>
      </c>
      <c r="F973" t="s">
        <v>53</v>
      </c>
      <c r="G973" t="s">
        <v>54</v>
      </c>
      <c r="H973">
        <v>164</v>
      </c>
      <c r="I973">
        <v>4</v>
      </c>
      <c r="J973">
        <v>8</v>
      </c>
      <c r="K973" t="s">
        <v>54</v>
      </c>
      <c r="L973">
        <v>1</v>
      </c>
      <c r="M973">
        <v>0.653243899985682</v>
      </c>
      <c r="N973" t="s">
        <v>51</v>
      </c>
      <c r="O973">
        <v>8</v>
      </c>
      <c r="P973">
        <v>4</v>
      </c>
      <c r="Q973">
        <v>164</v>
      </c>
      <c r="R973">
        <v>2</v>
      </c>
      <c r="S973">
        <v>207.63032280001701</v>
      </c>
      <c r="X973">
        <v>207.61878730001601</v>
      </c>
      <c r="Y973">
        <v>207.63032280001701</v>
      </c>
      <c r="Z973">
        <v>208.130263400031</v>
      </c>
      <c r="AA973">
        <v>208.130263400031</v>
      </c>
      <c r="AB973">
        <v>208.130263400031</v>
      </c>
      <c r="AC973">
        <v>208.800105100031</v>
      </c>
      <c r="AD973" t="s">
        <v>54</v>
      </c>
      <c r="AE973">
        <v>1</v>
      </c>
      <c r="AF973">
        <v>0.653243899985682</v>
      </c>
      <c r="AG973" t="s">
        <v>51</v>
      </c>
      <c r="AK973" t="s">
        <v>94</v>
      </c>
      <c r="AL973">
        <v>1</v>
      </c>
      <c r="AM973" t="s">
        <v>87</v>
      </c>
      <c r="AN973" t="s">
        <v>43</v>
      </c>
      <c r="AP973" t="s">
        <v>44</v>
      </c>
      <c r="AQ973">
        <v>60.129904655169099</v>
      </c>
      <c r="AR973" t="s">
        <v>88</v>
      </c>
    </row>
    <row r="974" spans="1:44" x14ac:dyDescent="0.3">
      <c r="A974" t="s">
        <v>74</v>
      </c>
      <c r="B974" t="s">
        <v>49</v>
      </c>
      <c r="C974" s="2" t="str">
        <f t="shared" si="15"/>
        <v>Neutral</v>
      </c>
      <c r="E974" t="s">
        <v>47</v>
      </c>
      <c r="F974" t="s">
        <v>48</v>
      </c>
      <c r="G974" t="s">
        <v>50</v>
      </c>
      <c r="H974">
        <v>165</v>
      </c>
      <c r="I974">
        <v>5</v>
      </c>
      <c r="J974">
        <v>8</v>
      </c>
      <c r="K974" t="s">
        <v>50</v>
      </c>
      <c r="L974">
        <v>1</v>
      </c>
      <c r="M974">
        <v>1.2843872000230401</v>
      </c>
      <c r="N974" t="s">
        <v>51</v>
      </c>
      <c r="O974">
        <v>8</v>
      </c>
      <c r="P974">
        <v>5</v>
      </c>
      <c r="Q974">
        <v>165</v>
      </c>
      <c r="R974">
        <v>11</v>
      </c>
      <c r="S974">
        <v>208.81260639999499</v>
      </c>
      <c r="X974">
        <v>208.80303539999201</v>
      </c>
      <c r="Y974">
        <v>208.81260639999499</v>
      </c>
      <c r="Z974">
        <v>209.31310590001499</v>
      </c>
      <c r="AA974">
        <v>209.31310590001499</v>
      </c>
      <c r="AB974">
        <v>209.31310590001499</v>
      </c>
      <c r="AC974">
        <v>210.600846800021</v>
      </c>
      <c r="AD974" t="s">
        <v>50</v>
      </c>
      <c r="AE974">
        <v>1</v>
      </c>
      <c r="AF974">
        <v>1.2843872000230401</v>
      </c>
      <c r="AG974" t="s">
        <v>51</v>
      </c>
      <c r="AK974" t="s">
        <v>94</v>
      </c>
      <c r="AL974">
        <v>1</v>
      </c>
      <c r="AM974" t="s">
        <v>87</v>
      </c>
      <c r="AN974" t="s">
        <v>43</v>
      </c>
      <c r="AP974" t="s">
        <v>44</v>
      </c>
      <c r="AQ974">
        <v>60.129904655169099</v>
      </c>
      <c r="AR974" t="s">
        <v>88</v>
      </c>
    </row>
    <row r="975" spans="1:44" x14ac:dyDescent="0.3">
      <c r="A975" t="s">
        <v>77</v>
      </c>
      <c r="B975" t="s">
        <v>62</v>
      </c>
      <c r="C975" s="2" t="str">
        <f t="shared" si="15"/>
        <v>Emotional-C</v>
      </c>
      <c r="E975" t="s">
        <v>59</v>
      </c>
      <c r="F975" t="s">
        <v>61</v>
      </c>
      <c r="G975" t="s">
        <v>63</v>
      </c>
      <c r="H975">
        <v>166</v>
      </c>
      <c r="I975">
        <v>6</v>
      </c>
      <c r="J975">
        <v>8</v>
      </c>
      <c r="K975" t="s">
        <v>63</v>
      </c>
      <c r="L975">
        <v>1</v>
      </c>
      <c r="M975">
        <v>0.94023040001047697</v>
      </c>
      <c r="N975" t="s">
        <v>51</v>
      </c>
      <c r="O975">
        <v>8</v>
      </c>
      <c r="P975">
        <v>6</v>
      </c>
      <c r="Q975">
        <v>166</v>
      </c>
      <c r="R975">
        <v>4</v>
      </c>
      <c r="S975">
        <v>210.613564900006</v>
      </c>
      <c r="X975">
        <v>210.60383570002099</v>
      </c>
      <c r="Y975">
        <v>210.613564900006</v>
      </c>
      <c r="Z975">
        <v>211.114141800033</v>
      </c>
      <c r="AA975">
        <v>211.114141800033</v>
      </c>
      <c r="AB975">
        <v>211.114141800033</v>
      </c>
      <c r="AC975">
        <v>212.06676620000499</v>
      </c>
      <c r="AD975" t="s">
        <v>63</v>
      </c>
      <c r="AE975">
        <v>1</v>
      </c>
      <c r="AF975">
        <v>0.94023040001047697</v>
      </c>
      <c r="AG975" t="s">
        <v>51</v>
      </c>
      <c r="AK975" t="s">
        <v>94</v>
      </c>
      <c r="AL975">
        <v>1</v>
      </c>
      <c r="AM975" t="s">
        <v>87</v>
      </c>
      <c r="AN975" t="s">
        <v>43</v>
      </c>
      <c r="AP975" t="s">
        <v>44</v>
      </c>
      <c r="AQ975">
        <v>60.129904655169099</v>
      </c>
      <c r="AR975" t="s">
        <v>88</v>
      </c>
    </row>
    <row r="976" spans="1:44" x14ac:dyDescent="0.3">
      <c r="A976" t="s">
        <v>75</v>
      </c>
      <c r="B976" t="s">
        <v>49</v>
      </c>
      <c r="C976" s="2" t="str">
        <f t="shared" si="15"/>
        <v>Neutral</v>
      </c>
      <c r="E976" t="s">
        <v>47</v>
      </c>
      <c r="F976" t="s">
        <v>61</v>
      </c>
      <c r="G976" t="s">
        <v>63</v>
      </c>
      <c r="H976">
        <v>167</v>
      </c>
      <c r="I976">
        <v>7</v>
      </c>
      <c r="J976">
        <v>8</v>
      </c>
      <c r="K976" t="s">
        <v>63</v>
      </c>
      <c r="L976">
        <v>1</v>
      </c>
      <c r="M976">
        <v>0.46775650000199598</v>
      </c>
      <c r="N976" t="s">
        <v>51</v>
      </c>
      <c r="O976">
        <v>8</v>
      </c>
      <c r="P976">
        <v>7</v>
      </c>
      <c r="Q976">
        <v>167</v>
      </c>
      <c r="R976">
        <v>16</v>
      </c>
      <c r="S976">
        <v>212.079330899985</v>
      </c>
      <c r="X976">
        <v>212.069646999996</v>
      </c>
      <c r="Y976">
        <v>212.079330899985</v>
      </c>
      <c r="Z976">
        <v>212.580151500005</v>
      </c>
      <c r="AA976">
        <v>212.580151500005</v>
      </c>
      <c r="AB976">
        <v>212.580151500005</v>
      </c>
      <c r="AC976">
        <v>213.05000640003701</v>
      </c>
      <c r="AD976" t="s">
        <v>63</v>
      </c>
      <c r="AE976">
        <v>1</v>
      </c>
      <c r="AF976">
        <v>0.46775650000199598</v>
      </c>
      <c r="AG976" t="s">
        <v>51</v>
      </c>
      <c r="AK976" t="s">
        <v>94</v>
      </c>
      <c r="AL976">
        <v>1</v>
      </c>
      <c r="AM976" t="s">
        <v>87</v>
      </c>
      <c r="AN976" t="s">
        <v>43</v>
      </c>
      <c r="AP976" t="s">
        <v>44</v>
      </c>
      <c r="AQ976">
        <v>60.129904655169099</v>
      </c>
      <c r="AR976" t="s">
        <v>88</v>
      </c>
    </row>
    <row r="977" spans="1:44" x14ac:dyDescent="0.3">
      <c r="A977" t="s">
        <v>66</v>
      </c>
      <c r="B977" t="s">
        <v>49</v>
      </c>
      <c r="C977" s="2" t="str">
        <f t="shared" si="15"/>
        <v>Neutral</v>
      </c>
      <c r="E977" t="s">
        <v>47</v>
      </c>
      <c r="F977" t="s">
        <v>61</v>
      </c>
      <c r="G977" t="s">
        <v>63</v>
      </c>
      <c r="H977">
        <v>168</v>
      </c>
      <c r="I977">
        <v>8</v>
      </c>
      <c r="J977">
        <v>8</v>
      </c>
      <c r="K977" t="s">
        <v>63</v>
      </c>
      <c r="L977">
        <v>1</v>
      </c>
      <c r="M977">
        <v>0.38455979997524897</v>
      </c>
      <c r="N977" t="s">
        <v>51</v>
      </c>
      <c r="O977">
        <v>8</v>
      </c>
      <c r="P977">
        <v>8</v>
      </c>
      <c r="Q977">
        <v>168</v>
      </c>
      <c r="R977">
        <v>12</v>
      </c>
      <c r="S977">
        <v>213.06242189998699</v>
      </c>
      <c r="X977">
        <v>213.05265329999301</v>
      </c>
      <c r="Y977">
        <v>213.06242189998699</v>
      </c>
      <c r="Z977">
        <v>213.562658000038</v>
      </c>
      <c r="AA977">
        <v>213.562658000038</v>
      </c>
      <c r="AB977">
        <v>213.562658000038</v>
      </c>
      <c r="AC977">
        <v>213.950121200003</v>
      </c>
      <c r="AD977" t="s">
        <v>63</v>
      </c>
      <c r="AE977">
        <v>1</v>
      </c>
      <c r="AF977">
        <v>0.38455979997524897</v>
      </c>
      <c r="AG977" t="s">
        <v>51</v>
      </c>
      <c r="AK977" t="s">
        <v>94</v>
      </c>
      <c r="AL977">
        <v>1</v>
      </c>
      <c r="AM977" t="s">
        <v>87</v>
      </c>
      <c r="AN977" t="s">
        <v>43</v>
      </c>
      <c r="AP977" t="s">
        <v>44</v>
      </c>
      <c r="AQ977">
        <v>60.129904655169099</v>
      </c>
      <c r="AR977" t="s">
        <v>88</v>
      </c>
    </row>
    <row r="978" spans="1:44" x14ac:dyDescent="0.3">
      <c r="A978" t="s">
        <v>52</v>
      </c>
      <c r="B978" t="s">
        <v>49</v>
      </c>
      <c r="C978" s="2" t="str">
        <f t="shared" si="15"/>
        <v>Neutral</v>
      </c>
      <c r="E978" t="s">
        <v>47</v>
      </c>
      <c r="F978" t="s">
        <v>53</v>
      </c>
      <c r="G978" t="s">
        <v>54</v>
      </c>
      <c r="H978">
        <v>169</v>
      </c>
      <c r="I978">
        <v>9</v>
      </c>
      <c r="J978">
        <v>8</v>
      </c>
      <c r="K978" t="s">
        <v>54</v>
      </c>
      <c r="L978">
        <v>1</v>
      </c>
      <c r="M978">
        <v>0.99489399994490602</v>
      </c>
      <c r="N978" t="s">
        <v>51</v>
      </c>
      <c r="O978">
        <v>8</v>
      </c>
      <c r="P978">
        <v>9</v>
      </c>
      <c r="Q978">
        <v>169</v>
      </c>
      <c r="R978">
        <v>14</v>
      </c>
      <c r="S978">
        <v>213.96254320000199</v>
      </c>
      <c r="X978">
        <v>213.95354080002201</v>
      </c>
      <c r="Y978">
        <v>213.96254320000199</v>
      </c>
      <c r="Z978">
        <v>214.46222710004</v>
      </c>
      <c r="AA978">
        <v>214.46222710004</v>
      </c>
      <c r="AB978">
        <v>214.46222710004</v>
      </c>
      <c r="AC978">
        <v>215.465498999983</v>
      </c>
      <c r="AD978" t="s">
        <v>54</v>
      </c>
      <c r="AE978">
        <v>1</v>
      </c>
      <c r="AF978">
        <v>0.99489399994490602</v>
      </c>
      <c r="AG978" t="s">
        <v>51</v>
      </c>
      <c r="AK978" t="s">
        <v>94</v>
      </c>
      <c r="AL978">
        <v>1</v>
      </c>
      <c r="AM978" t="s">
        <v>87</v>
      </c>
      <c r="AN978" t="s">
        <v>43</v>
      </c>
      <c r="AP978" t="s">
        <v>44</v>
      </c>
      <c r="AQ978">
        <v>60.129904655169099</v>
      </c>
      <c r="AR978" t="s">
        <v>88</v>
      </c>
    </row>
    <row r="979" spans="1:44" x14ac:dyDescent="0.3">
      <c r="A979" t="s">
        <v>67</v>
      </c>
      <c r="B979" t="s">
        <v>49</v>
      </c>
      <c r="C979" s="2" t="str">
        <f t="shared" si="15"/>
        <v>Neutral</v>
      </c>
      <c r="E979" t="s">
        <v>47</v>
      </c>
      <c r="F979" t="s">
        <v>53</v>
      </c>
      <c r="G979" t="s">
        <v>54</v>
      </c>
      <c r="H979">
        <v>170</v>
      </c>
      <c r="I979">
        <v>10</v>
      </c>
      <c r="J979">
        <v>8</v>
      </c>
      <c r="K979" t="s">
        <v>54</v>
      </c>
      <c r="L979">
        <v>1</v>
      </c>
      <c r="M979">
        <v>0.551972299988847</v>
      </c>
      <c r="N979" t="s">
        <v>51</v>
      </c>
      <c r="O979">
        <v>8</v>
      </c>
      <c r="P979">
        <v>10</v>
      </c>
      <c r="Q979">
        <v>170</v>
      </c>
      <c r="R979">
        <v>10</v>
      </c>
      <c r="S979">
        <v>215.479381000041</v>
      </c>
      <c r="X979">
        <v>215.468161600001</v>
      </c>
      <c r="Y979">
        <v>215.479381000041</v>
      </c>
      <c r="Z979">
        <v>215.979313799995</v>
      </c>
      <c r="AA979">
        <v>215.979313799995</v>
      </c>
      <c r="AB979">
        <v>215.979313799995</v>
      </c>
      <c r="AC979">
        <v>216.53318860003401</v>
      </c>
      <c r="AD979" t="s">
        <v>54</v>
      </c>
      <c r="AE979">
        <v>1</v>
      </c>
      <c r="AF979">
        <v>0.551972299988847</v>
      </c>
      <c r="AG979" t="s">
        <v>51</v>
      </c>
      <c r="AK979" t="s">
        <v>94</v>
      </c>
      <c r="AL979">
        <v>1</v>
      </c>
      <c r="AM979" t="s">
        <v>87</v>
      </c>
      <c r="AN979" t="s">
        <v>43</v>
      </c>
      <c r="AP979" t="s">
        <v>44</v>
      </c>
      <c r="AQ979">
        <v>60.129904655169099</v>
      </c>
      <c r="AR979" t="s">
        <v>88</v>
      </c>
    </row>
    <row r="980" spans="1:44" x14ac:dyDescent="0.3">
      <c r="A980" t="s">
        <v>64</v>
      </c>
      <c r="B980" t="s">
        <v>49</v>
      </c>
      <c r="C980" s="2" t="str">
        <f t="shared" si="15"/>
        <v>Neutral</v>
      </c>
      <c r="E980" t="s">
        <v>47</v>
      </c>
      <c r="F980" t="s">
        <v>53</v>
      </c>
      <c r="G980" t="s">
        <v>54</v>
      </c>
      <c r="H980">
        <v>171</v>
      </c>
      <c r="I980">
        <v>11</v>
      </c>
      <c r="J980">
        <v>8</v>
      </c>
      <c r="K980" t="s">
        <v>54</v>
      </c>
      <c r="L980">
        <v>1</v>
      </c>
      <c r="M980">
        <v>0.43958959996234598</v>
      </c>
      <c r="N980" t="s">
        <v>51</v>
      </c>
      <c r="O980">
        <v>8</v>
      </c>
      <c r="P980">
        <v>11</v>
      </c>
      <c r="Q980">
        <v>171</v>
      </c>
      <c r="R980">
        <v>18</v>
      </c>
      <c r="S980">
        <v>216.54553290002499</v>
      </c>
      <c r="X980">
        <v>216.53641180001401</v>
      </c>
      <c r="Y980">
        <v>216.54553290002499</v>
      </c>
      <c r="Z980">
        <v>217.04547300003401</v>
      </c>
      <c r="AA980">
        <v>217.04547300003401</v>
      </c>
      <c r="AB980">
        <v>217.04547300003401</v>
      </c>
      <c r="AC980">
        <v>217.500350599992</v>
      </c>
      <c r="AD980" t="s">
        <v>54</v>
      </c>
      <c r="AE980">
        <v>1</v>
      </c>
      <c r="AF980">
        <v>0.43958959996234598</v>
      </c>
      <c r="AG980" t="s">
        <v>51</v>
      </c>
      <c r="AK980" t="s">
        <v>94</v>
      </c>
      <c r="AL980">
        <v>1</v>
      </c>
      <c r="AM980" t="s">
        <v>87</v>
      </c>
      <c r="AN980" t="s">
        <v>43</v>
      </c>
      <c r="AP980" t="s">
        <v>44</v>
      </c>
      <c r="AQ980">
        <v>60.129904655169099</v>
      </c>
      <c r="AR980" t="s">
        <v>88</v>
      </c>
    </row>
    <row r="981" spans="1:44" x14ac:dyDescent="0.3">
      <c r="A981" t="s">
        <v>72</v>
      </c>
      <c r="B981" t="s">
        <v>62</v>
      </c>
      <c r="C981" s="2" t="str">
        <f t="shared" si="15"/>
        <v>Emotional-C</v>
      </c>
      <c r="E981" t="s">
        <v>59</v>
      </c>
      <c r="F981" t="s">
        <v>61</v>
      </c>
      <c r="G981" t="s">
        <v>63</v>
      </c>
      <c r="H981">
        <v>172</v>
      </c>
      <c r="I981">
        <v>12</v>
      </c>
      <c r="J981">
        <v>8</v>
      </c>
      <c r="K981" t="s">
        <v>63</v>
      </c>
      <c r="L981">
        <v>1</v>
      </c>
      <c r="M981">
        <v>0.66896570002427302</v>
      </c>
      <c r="N981" t="s">
        <v>51</v>
      </c>
      <c r="O981">
        <v>8</v>
      </c>
      <c r="P981">
        <v>12</v>
      </c>
      <c r="Q981">
        <v>172</v>
      </c>
      <c r="R981">
        <v>8</v>
      </c>
      <c r="S981">
        <v>217.512925899995</v>
      </c>
      <c r="X981">
        <v>217.502949699992</v>
      </c>
      <c r="Y981">
        <v>217.512925899995</v>
      </c>
      <c r="Z981">
        <v>218.012069499993</v>
      </c>
      <c r="AA981">
        <v>218.012069499993</v>
      </c>
      <c r="AB981">
        <v>218.012069499993</v>
      </c>
      <c r="AC981">
        <v>218.68262139998799</v>
      </c>
      <c r="AD981" t="s">
        <v>63</v>
      </c>
      <c r="AE981">
        <v>1</v>
      </c>
      <c r="AF981">
        <v>0.66896570002427302</v>
      </c>
      <c r="AG981" t="s">
        <v>51</v>
      </c>
      <c r="AK981" t="s">
        <v>94</v>
      </c>
      <c r="AL981">
        <v>1</v>
      </c>
      <c r="AM981" t="s">
        <v>87</v>
      </c>
      <c r="AN981" t="s">
        <v>43</v>
      </c>
      <c r="AP981" t="s">
        <v>44</v>
      </c>
      <c r="AQ981">
        <v>60.129904655169099</v>
      </c>
      <c r="AR981" t="s">
        <v>88</v>
      </c>
    </row>
    <row r="982" spans="1:44" x14ac:dyDescent="0.3">
      <c r="A982" t="s">
        <v>73</v>
      </c>
      <c r="B982" t="s">
        <v>49</v>
      </c>
      <c r="C982" s="2" t="str">
        <f t="shared" si="15"/>
        <v>Emotional-I</v>
      </c>
      <c r="E982" t="s">
        <v>59</v>
      </c>
      <c r="F982" t="s">
        <v>56</v>
      </c>
      <c r="G982" t="s">
        <v>57</v>
      </c>
      <c r="H982">
        <v>173</v>
      </c>
      <c r="I982">
        <v>13</v>
      </c>
      <c r="J982">
        <v>8</v>
      </c>
      <c r="K982" t="s">
        <v>57</v>
      </c>
      <c r="L982">
        <v>1</v>
      </c>
      <c r="M982">
        <v>0.63075379998190295</v>
      </c>
      <c r="N982" t="s">
        <v>51</v>
      </c>
      <c r="O982">
        <v>8</v>
      </c>
      <c r="P982">
        <v>13</v>
      </c>
      <c r="Q982">
        <v>173</v>
      </c>
      <c r="R982">
        <v>1</v>
      </c>
      <c r="S982">
        <v>218.69599269999799</v>
      </c>
      <c r="X982">
        <v>218.685668300022</v>
      </c>
      <c r="Y982">
        <v>218.69599269999799</v>
      </c>
      <c r="Z982">
        <v>219.19563520001199</v>
      </c>
      <c r="AA982">
        <v>219.19563520001199</v>
      </c>
      <c r="AB982">
        <v>219.19563520001199</v>
      </c>
      <c r="AC982">
        <v>219.83312160003601</v>
      </c>
      <c r="AD982" t="s">
        <v>57</v>
      </c>
      <c r="AE982">
        <v>1</v>
      </c>
      <c r="AF982">
        <v>0.63075379998190295</v>
      </c>
      <c r="AG982" t="s">
        <v>51</v>
      </c>
      <c r="AK982" t="s">
        <v>94</v>
      </c>
      <c r="AL982">
        <v>1</v>
      </c>
      <c r="AM982" t="s">
        <v>87</v>
      </c>
      <c r="AN982" t="s">
        <v>43</v>
      </c>
      <c r="AP982" t="s">
        <v>44</v>
      </c>
      <c r="AQ982">
        <v>60.129904655169099</v>
      </c>
      <c r="AR982" t="s">
        <v>88</v>
      </c>
    </row>
    <row r="983" spans="1:44" x14ac:dyDescent="0.3">
      <c r="A983" t="s">
        <v>46</v>
      </c>
      <c r="B983" t="s">
        <v>49</v>
      </c>
      <c r="C983" s="2" t="str">
        <f t="shared" si="15"/>
        <v>Neutral</v>
      </c>
      <c r="E983" t="s">
        <v>47</v>
      </c>
      <c r="F983" t="s">
        <v>48</v>
      </c>
      <c r="G983" t="s">
        <v>50</v>
      </c>
      <c r="H983">
        <v>174</v>
      </c>
      <c r="I983">
        <v>14</v>
      </c>
      <c r="J983">
        <v>8</v>
      </c>
      <c r="K983" t="s">
        <v>50</v>
      </c>
      <c r="L983">
        <v>1</v>
      </c>
      <c r="M983">
        <v>1.0494894000003101</v>
      </c>
      <c r="N983" t="s">
        <v>51</v>
      </c>
      <c r="O983">
        <v>8</v>
      </c>
      <c r="P983">
        <v>14</v>
      </c>
      <c r="Q983">
        <v>174</v>
      </c>
      <c r="R983">
        <v>19</v>
      </c>
      <c r="S983">
        <v>219.84566560003401</v>
      </c>
      <c r="X983">
        <v>219.83569949999199</v>
      </c>
      <c r="Y983">
        <v>219.84566560003401</v>
      </c>
      <c r="Z983">
        <v>220.34570770000499</v>
      </c>
      <c r="AA983">
        <v>220.34570770000499</v>
      </c>
      <c r="AB983">
        <v>220.34570770000499</v>
      </c>
      <c r="AC983">
        <v>221.3998594</v>
      </c>
      <c r="AD983" t="s">
        <v>50</v>
      </c>
      <c r="AE983">
        <v>1</v>
      </c>
      <c r="AF983">
        <v>1.0494894000003101</v>
      </c>
      <c r="AG983" t="s">
        <v>51</v>
      </c>
      <c r="AK983" t="s">
        <v>94</v>
      </c>
      <c r="AL983">
        <v>1</v>
      </c>
      <c r="AM983" t="s">
        <v>87</v>
      </c>
      <c r="AN983" t="s">
        <v>43</v>
      </c>
      <c r="AP983" t="s">
        <v>44</v>
      </c>
      <c r="AQ983">
        <v>60.129904655169099</v>
      </c>
      <c r="AR983" t="s">
        <v>88</v>
      </c>
    </row>
    <row r="984" spans="1:44" x14ac:dyDescent="0.3">
      <c r="A984" t="s">
        <v>69</v>
      </c>
      <c r="B984" t="s">
        <v>49</v>
      </c>
      <c r="C984" s="2" t="str">
        <f t="shared" si="15"/>
        <v>Emotional-I</v>
      </c>
      <c r="E984" t="s">
        <v>59</v>
      </c>
      <c r="F984" t="s">
        <v>56</v>
      </c>
      <c r="G984" t="s">
        <v>57</v>
      </c>
      <c r="H984">
        <v>175</v>
      </c>
      <c r="I984">
        <v>15</v>
      </c>
      <c r="J984">
        <v>8</v>
      </c>
      <c r="K984" t="s">
        <v>57</v>
      </c>
      <c r="L984">
        <v>1</v>
      </c>
      <c r="M984">
        <v>1.17555129999527</v>
      </c>
      <c r="N984" t="s">
        <v>51</v>
      </c>
      <c r="O984">
        <v>8</v>
      </c>
      <c r="P984">
        <v>15</v>
      </c>
      <c r="Q984">
        <v>175</v>
      </c>
      <c r="R984">
        <v>5</v>
      </c>
      <c r="S984">
        <v>221.412518500001</v>
      </c>
      <c r="X984">
        <v>221.40243220003299</v>
      </c>
      <c r="Y984">
        <v>221.412518500001</v>
      </c>
      <c r="Z984">
        <v>221.91163650003699</v>
      </c>
      <c r="AA984">
        <v>221.91163650003699</v>
      </c>
      <c r="AB984">
        <v>221.91163650003699</v>
      </c>
      <c r="AC984">
        <v>223.09931990003599</v>
      </c>
      <c r="AD984" t="s">
        <v>57</v>
      </c>
      <c r="AE984">
        <v>1</v>
      </c>
      <c r="AF984">
        <v>1.17555129999527</v>
      </c>
      <c r="AG984" t="s">
        <v>51</v>
      </c>
      <c r="AK984" t="s">
        <v>94</v>
      </c>
      <c r="AL984">
        <v>1</v>
      </c>
      <c r="AM984" t="s">
        <v>87</v>
      </c>
      <c r="AN984" t="s">
        <v>43</v>
      </c>
      <c r="AP984" t="s">
        <v>44</v>
      </c>
      <c r="AQ984">
        <v>60.129904655169099</v>
      </c>
      <c r="AR984" t="s">
        <v>88</v>
      </c>
    </row>
    <row r="985" spans="1:44" x14ac:dyDescent="0.3">
      <c r="A985" t="s">
        <v>78</v>
      </c>
      <c r="B985" t="s">
        <v>49</v>
      </c>
      <c r="C985" s="2" t="str">
        <f t="shared" si="15"/>
        <v>Neutral</v>
      </c>
      <c r="E985" t="s">
        <v>47</v>
      </c>
      <c r="F985" t="s">
        <v>56</v>
      </c>
      <c r="G985" t="s">
        <v>57</v>
      </c>
      <c r="H985">
        <v>176</v>
      </c>
      <c r="I985">
        <v>16</v>
      </c>
      <c r="J985">
        <v>8</v>
      </c>
      <c r="K985" t="s">
        <v>57</v>
      </c>
      <c r="L985">
        <v>1</v>
      </c>
      <c r="M985">
        <v>0.50983330002054505</v>
      </c>
      <c r="N985" t="s">
        <v>51</v>
      </c>
      <c r="O985">
        <v>8</v>
      </c>
      <c r="P985">
        <v>16</v>
      </c>
      <c r="Q985">
        <v>176</v>
      </c>
      <c r="R985">
        <v>17</v>
      </c>
      <c r="S985">
        <v>223.11186539998701</v>
      </c>
      <c r="X985">
        <v>223.10176099999799</v>
      </c>
      <c r="Y985">
        <v>223.11186539998701</v>
      </c>
      <c r="Z985">
        <v>223.61236920004001</v>
      </c>
      <c r="AA985">
        <v>223.61236920004001</v>
      </c>
      <c r="AB985">
        <v>223.61236920004001</v>
      </c>
      <c r="AC985">
        <v>224.13336810003901</v>
      </c>
      <c r="AD985" t="s">
        <v>57</v>
      </c>
      <c r="AE985">
        <v>1</v>
      </c>
      <c r="AF985">
        <v>0.50983330002054505</v>
      </c>
      <c r="AG985" t="s">
        <v>51</v>
      </c>
      <c r="AK985" t="s">
        <v>94</v>
      </c>
      <c r="AL985">
        <v>1</v>
      </c>
      <c r="AM985" t="s">
        <v>87</v>
      </c>
      <c r="AN985" t="s">
        <v>43</v>
      </c>
      <c r="AP985" t="s">
        <v>44</v>
      </c>
      <c r="AQ985">
        <v>60.129904655169099</v>
      </c>
      <c r="AR985" t="s">
        <v>88</v>
      </c>
    </row>
    <row r="986" spans="1:44" x14ac:dyDescent="0.3">
      <c r="A986" t="s">
        <v>60</v>
      </c>
      <c r="B986" t="s">
        <v>62</v>
      </c>
      <c r="C986" s="2" t="str">
        <f t="shared" si="15"/>
        <v>Emotional-C</v>
      </c>
      <c r="E986" t="s">
        <v>59</v>
      </c>
      <c r="F986" t="s">
        <v>61</v>
      </c>
      <c r="G986" t="s">
        <v>63</v>
      </c>
      <c r="H986">
        <v>177</v>
      </c>
      <c r="I986">
        <v>17</v>
      </c>
      <c r="J986">
        <v>8</v>
      </c>
      <c r="K986" t="s">
        <v>63</v>
      </c>
      <c r="L986">
        <v>1</v>
      </c>
      <c r="M986">
        <v>0.94502719998126805</v>
      </c>
      <c r="N986" t="s">
        <v>51</v>
      </c>
      <c r="O986">
        <v>8</v>
      </c>
      <c r="P986">
        <v>17</v>
      </c>
      <c r="Q986">
        <v>177</v>
      </c>
      <c r="R986">
        <v>0</v>
      </c>
      <c r="S986">
        <v>224.145272099995</v>
      </c>
      <c r="X986">
        <v>224.13667420000999</v>
      </c>
      <c r="Y986">
        <v>224.145272099995</v>
      </c>
      <c r="Z986">
        <v>224.64576889999401</v>
      </c>
      <c r="AA986">
        <v>224.64576889999401</v>
      </c>
      <c r="AB986">
        <v>224.64576889999401</v>
      </c>
      <c r="AC986">
        <v>225.59932839998501</v>
      </c>
      <c r="AD986" t="s">
        <v>63</v>
      </c>
      <c r="AE986">
        <v>1</v>
      </c>
      <c r="AF986">
        <v>0.94502719998126805</v>
      </c>
      <c r="AG986" t="s">
        <v>51</v>
      </c>
      <c r="AK986" t="s">
        <v>94</v>
      </c>
      <c r="AL986">
        <v>1</v>
      </c>
      <c r="AM986" t="s">
        <v>87</v>
      </c>
      <c r="AN986" t="s">
        <v>43</v>
      </c>
      <c r="AP986" t="s">
        <v>44</v>
      </c>
      <c r="AQ986">
        <v>60.129904655169099</v>
      </c>
      <c r="AR986" t="s">
        <v>88</v>
      </c>
    </row>
    <row r="987" spans="1:44" x14ac:dyDescent="0.3">
      <c r="A987" t="s">
        <v>55</v>
      </c>
      <c r="B987" t="s">
        <v>49</v>
      </c>
      <c r="C987" s="2" t="str">
        <f t="shared" si="15"/>
        <v>Neutral</v>
      </c>
      <c r="E987" t="s">
        <v>47</v>
      </c>
      <c r="F987" t="s">
        <v>56</v>
      </c>
      <c r="G987" t="s">
        <v>57</v>
      </c>
      <c r="H987">
        <v>178</v>
      </c>
      <c r="I987">
        <v>18</v>
      </c>
      <c r="J987">
        <v>8</v>
      </c>
      <c r="K987" t="s">
        <v>57</v>
      </c>
      <c r="L987">
        <v>1</v>
      </c>
      <c r="M987">
        <v>0.59976350003853396</v>
      </c>
      <c r="N987" t="s">
        <v>51</v>
      </c>
      <c r="O987">
        <v>8</v>
      </c>
      <c r="P987">
        <v>18</v>
      </c>
      <c r="Q987">
        <v>178</v>
      </c>
      <c r="R987">
        <v>13</v>
      </c>
      <c r="S987">
        <v>225.61229499999899</v>
      </c>
      <c r="X987">
        <v>225.60188100003799</v>
      </c>
      <c r="Y987">
        <v>225.61229499999899</v>
      </c>
      <c r="Z987">
        <v>226.11255770002001</v>
      </c>
      <c r="AA987">
        <v>226.11255770002001</v>
      </c>
      <c r="AB987">
        <v>226.11255770002001</v>
      </c>
      <c r="AC987">
        <v>226.71641490003</v>
      </c>
      <c r="AD987" t="s">
        <v>57</v>
      </c>
      <c r="AE987">
        <v>1</v>
      </c>
      <c r="AF987">
        <v>0.59976350003853396</v>
      </c>
      <c r="AG987" t="s">
        <v>51</v>
      </c>
      <c r="AK987" t="s">
        <v>94</v>
      </c>
      <c r="AL987">
        <v>1</v>
      </c>
      <c r="AM987" t="s">
        <v>87</v>
      </c>
      <c r="AN987" t="s">
        <v>43</v>
      </c>
      <c r="AP987" t="s">
        <v>44</v>
      </c>
      <c r="AQ987">
        <v>60.129904655169099</v>
      </c>
      <c r="AR987" t="s">
        <v>88</v>
      </c>
    </row>
    <row r="988" spans="1:44" x14ac:dyDescent="0.3">
      <c r="A988" t="s">
        <v>71</v>
      </c>
      <c r="B988" t="s">
        <v>49</v>
      </c>
      <c r="C988" s="2" t="str">
        <f t="shared" si="15"/>
        <v>Neutral</v>
      </c>
      <c r="E988" t="s">
        <v>47</v>
      </c>
      <c r="F988" t="s">
        <v>48</v>
      </c>
      <c r="G988" t="s">
        <v>50</v>
      </c>
      <c r="H988">
        <v>179</v>
      </c>
      <c r="I988">
        <v>19</v>
      </c>
      <c r="J988">
        <v>8</v>
      </c>
      <c r="K988" t="s">
        <v>50</v>
      </c>
      <c r="L988">
        <v>1</v>
      </c>
      <c r="M988">
        <v>0.84654729999601797</v>
      </c>
      <c r="N988" t="s">
        <v>51</v>
      </c>
      <c r="O988">
        <v>8</v>
      </c>
      <c r="P988">
        <v>19</v>
      </c>
      <c r="Q988">
        <v>179</v>
      </c>
      <c r="R988">
        <v>15</v>
      </c>
      <c r="S988">
        <v>226.728927200019</v>
      </c>
      <c r="X988">
        <v>226.71928740001701</v>
      </c>
      <c r="Y988">
        <v>226.728927200019</v>
      </c>
      <c r="Z988">
        <v>227.22893550002399</v>
      </c>
      <c r="AA988">
        <v>227.22893550002399</v>
      </c>
      <c r="AB988">
        <v>227.22893550002399</v>
      </c>
      <c r="AC988">
        <v>228.08288030000401</v>
      </c>
      <c r="AD988" t="s">
        <v>50</v>
      </c>
      <c r="AE988">
        <v>1</v>
      </c>
      <c r="AF988">
        <v>0.84654729999601797</v>
      </c>
      <c r="AG988" t="s">
        <v>51</v>
      </c>
      <c r="AK988" t="s">
        <v>94</v>
      </c>
      <c r="AL988">
        <v>1</v>
      </c>
      <c r="AM988" t="s">
        <v>87</v>
      </c>
      <c r="AN988" t="s">
        <v>43</v>
      </c>
      <c r="AP988" t="s">
        <v>44</v>
      </c>
      <c r="AQ988">
        <v>60.129904655169099</v>
      </c>
      <c r="AR988" t="s">
        <v>88</v>
      </c>
    </row>
    <row r="989" spans="1:44" x14ac:dyDescent="0.3">
      <c r="A989" t="s">
        <v>66</v>
      </c>
      <c r="B989" t="s">
        <v>49</v>
      </c>
      <c r="C989" s="2" t="str">
        <f t="shared" si="15"/>
        <v>Neutral</v>
      </c>
      <c r="E989" t="s">
        <v>47</v>
      </c>
      <c r="F989" t="s">
        <v>61</v>
      </c>
      <c r="G989" t="s">
        <v>63</v>
      </c>
      <c r="H989">
        <v>180</v>
      </c>
      <c r="I989">
        <v>0</v>
      </c>
      <c r="J989">
        <v>9</v>
      </c>
      <c r="K989" t="s">
        <v>63</v>
      </c>
      <c r="L989">
        <v>1</v>
      </c>
      <c r="M989">
        <v>0.66080370004055999</v>
      </c>
      <c r="N989" t="s">
        <v>51</v>
      </c>
      <c r="O989">
        <v>9</v>
      </c>
      <c r="P989">
        <v>0</v>
      </c>
      <c r="Q989">
        <v>180</v>
      </c>
      <c r="R989">
        <v>12</v>
      </c>
      <c r="S989">
        <v>228.095024999987</v>
      </c>
      <c r="X989">
        <v>228.08633339998701</v>
      </c>
      <c r="Y989">
        <v>228.095024999987</v>
      </c>
      <c r="Z989">
        <v>228.59522030001901</v>
      </c>
      <c r="AA989">
        <v>228.59522030001901</v>
      </c>
      <c r="AB989">
        <v>228.59522030001901</v>
      </c>
      <c r="AC989">
        <v>229.26468800002399</v>
      </c>
      <c r="AD989" t="s">
        <v>63</v>
      </c>
      <c r="AE989">
        <v>1</v>
      </c>
      <c r="AF989">
        <v>0.66080370004055999</v>
      </c>
      <c r="AG989" t="s">
        <v>51</v>
      </c>
      <c r="AK989" t="s">
        <v>94</v>
      </c>
      <c r="AL989">
        <v>1</v>
      </c>
      <c r="AM989" t="s">
        <v>87</v>
      </c>
      <c r="AN989" t="s">
        <v>43</v>
      </c>
      <c r="AP989" t="s">
        <v>44</v>
      </c>
      <c r="AQ989">
        <v>60.129904655169099</v>
      </c>
      <c r="AR989" t="s">
        <v>88</v>
      </c>
    </row>
    <row r="990" spans="1:44" x14ac:dyDescent="0.3">
      <c r="A990" t="s">
        <v>72</v>
      </c>
      <c r="B990" t="s">
        <v>62</v>
      </c>
      <c r="C990" s="2" t="str">
        <f t="shared" si="15"/>
        <v>Emotional-C</v>
      </c>
      <c r="E990" t="s">
        <v>59</v>
      </c>
      <c r="F990" t="s">
        <v>61</v>
      </c>
      <c r="G990" t="s">
        <v>63</v>
      </c>
      <c r="H990">
        <v>181</v>
      </c>
      <c r="I990">
        <v>1</v>
      </c>
      <c r="J990">
        <v>9</v>
      </c>
      <c r="K990" t="s">
        <v>63</v>
      </c>
      <c r="L990">
        <v>1</v>
      </c>
      <c r="M990">
        <v>0.441352499998174</v>
      </c>
      <c r="N990" t="s">
        <v>51</v>
      </c>
      <c r="O990">
        <v>9</v>
      </c>
      <c r="P990">
        <v>1</v>
      </c>
      <c r="Q990">
        <v>181</v>
      </c>
      <c r="R990">
        <v>8</v>
      </c>
      <c r="S990">
        <v>229.27912299998499</v>
      </c>
      <c r="X990">
        <v>229.26767860003699</v>
      </c>
      <c r="Y990">
        <v>229.27912299998499</v>
      </c>
      <c r="Z990">
        <v>229.77873650001101</v>
      </c>
      <c r="AA990">
        <v>229.77873650001101</v>
      </c>
      <c r="AB990">
        <v>229.77873650001101</v>
      </c>
      <c r="AC990">
        <v>230.23353520000799</v>
      </c>
      <c r="AD990" t="s">
        <v>63</v>
      </c>
      <c r="AE990">
        <v>1</v>
      </c>
      <c r="AF990">
        <v>0.441352499998174</v>
      </c>
      <c r="AG990" t="s">
        <v>51</v>
      </c>
      <c r="AK990" t="s">
        <v>94</v>
      </c>
      <c r="AL990">
        <v>1</v>
      </c>
      <c r="AM990" t="s">
        <v>87</v>
      </c>
      <c r="AN990" t="s">
        <v>43</v>
      </c>
      <c r="AP990" t="s">
        <v>44</v>
      </c>
      <c r="AQ990">
        <v>60.129904655169099</v>
      </c>
      <c r="AR990" t="s">
        <v>88</v>
      </c>
    </row>
    <row r="991" spans="1:44" x14ac:dyDescent="0.3">
      <c r="A991" t="s">
        <v>77</v>
      </c>
      <c r="B991" t="s">
        <v>62</v>
      </c>
      <c r="C991" s="2" t="str">
        <f t="shared" si="15"/>
        <v>Emotional-C</v>
      </c>
      <c r="E991" t="s">
        <v>59</v>
      </c>
      <c r="F991" t="s">
        <v>61</v>
      </c>
      <c r="G991" t="s">
        <v>63</v>
      </c>
      <c r="H991">
        <v>182</v>
      </c>
      <c r="I991">
        <v>2</v>
      </c>
      <c r="J991">
        <v>9</v>
      </c>
      <c r="K991" t="s">
        <v>63</v>
      </c>
      <c r="L991">
        <v>1</v>
      </c>
      <c r="M991">
        <v>0.498802400019485</v>
      </c>
      <c r="N991" t="s">
        <v>51</v>
      </c>
      <c r="O991">
        <v>9</v>
      </c>
      <c r="P991">
        <v>2</v>
      </c>
      <c r="Q991">
        <v>182</v>
      </c>
      <c r="R991">
        <v>4</v>
      </c>
      <c r="S991">
        <v>230.245804500009</v>
      </c>
      <c r="X991">
        <v>230.23768509999999</v>
      </c>
      <c r="Y991">
        <v>230.245804500009</v>
      </c>
      <c r="Z991">
        <v>230.74539300001899</v>
      </c>
      <c r="AA991">
        <v>230.74539300001899</v>
      </c>
      <c r="AB991">
        <v>230.74539300001899</v>
      </c>
      <c r="AC991">
        <v>231.24975890002599</v>
      </c>
      <c r="AD991" t="s">
        <v>63</v>
      </c>
      <c r="AE991">
        <v>1</v>
      </c>
      <c r="AF991">
        <v>0.498802400019485</v>
      </c>
      <c r="AG991" t="s">
        <v>51</v>
      </c>
      <c r="AK991" t="s">
        <v>94</v>
      </c>
      <c r="AL991">
        <v>1</v>
      </c>
      <c r="AM991" t="s">
        <v>87</v>
      </c>
      <c r="AN991" t="s">
        <v>43</v>
      </c>
      <c r="AP991" t="s">
        <v>44</v>
      </c>
      <c r="AQ991">
        <v>60.129904655169099</v>
      </c>
      <c r="AR991" t="s">
        <v>88</v>
      </c>
    </row>
    <row r="992" spans="1:44" hidden="1" x14ac:dyDescent="0.3">
      <c r="A992" t="s">
        <v>52</v>
      </c>
      <c r="B992" t="s">
        <v>49</v>
      </c>
      <c r="C992" s="2" t="str">
        <f t="shared" si="15"/>
        <v>Neutral</v>
      </c>
      <c r="E992" t="s">
        <v>47</v>
      </c>
      <c r="F992" t="s">
        <v>53</v>
      </c>
      <c r="G992" t="s">
        <v>54</v>
      </c>
      <c r="H992">
        <v>183</v>
      </c>
      <c r="I992">
        <v>3</v>
      </c>
      <c r="J992">
        <v>9</v>
      </c>
      <c r="K992" t="s">
        <v>50</v>
      </c>
      <c r="L992">
        <v>0</v>
      </c>
      <c r="M992">
        <v>0.65441519999876596</v>
      </c>
      <c r="N992" t="s">
        <v>51</v>
      </c>
      <c r="O992">
        <v>9</v>
      </c>
      <c r="P992">
        <v>3</v>
      </c>
      <c r="Q992">
        <v>183</v>
      </c>
      <c r="R992">
        <v>14</v>
      </c>
      <c r="S992">
        <v>231.26162160001601</v>
      </c>
      <c r="X992">
        <v>231.252562500012</v>
      </c>
      <c r="Y992">
        <v>231.26162160001601</v>
      </c>
      <c r="Z992">
        <v>231.76203750004001</v>
      </c>
      <c r="AA992">
        <v>231.76203750004001</v>
      </c>
      <c r="AB992">
        <v>231.76203750004001</v>
      </c>
      <c r="AC992">
        <v>232.43238529999499</v>
      </c>
      <c r="AD992" t="s">
        <v>50</v>
      </c>
      <c r="AE992">
        <v>0</v>
      </c>
      <c r="AF992">
        <v>0.65441519999876596</v>
      </c>
      <c r="AG992" t="s">
        <v>51</v>
      </c>
      <c r="AK992" t="s">
        <v>94</v>
      </c>
      <c r="AL992">
        <v>1</v>
      </c>
      <c r="AM992" t="s">
        <v>87</v>
      </c>
      <c r="AN992" t="s">
        <v>43</v>
      </c>
      <c r="AP992" t="s">
        <v>44</v>
      </c>
      <c r="AQ992">
        <v>60.129904655169099</v>
      </c>
      <c r="AR992" t="s">
        <v>88</v>
      </c>
    </row>
    <row r="993" spans="1:44" x14ac:dyDescent="0.3">
      <c r="A993" t="s">
        <v>73</v>
      </c>
      <c r="B993" t="s">
        <v>49</v>
      </c>
      <c r="C993" s="2" t="str">
        <f t="shared" si="15"/>
        <v>Emotional-I</v>
      </c>
      <c r="E993" t="s">
        <v>59</v>
      </c>
      <c r="F993" t="s">
        <v>56</v>
      </c>
      <c r="G993" t="s">
        <v>57</v>
      </c>
      <c r="H993">
        <v>184</v>
      </c>
      <c r="I993">
        <v>4</v>
      </c>
      <c r="J993">
        <v>9</v>
      </c>
      <c r="K993" t="s">
        <v>57</v>
      </c>
      <c r="L993">
        <v>1</v>
      </c>
      <c r="M993">
        <v>0.84700980002526105</v>
      </c>
      <c r="N993" t="s">
        <v>51</v>
      </c>
      <c r="O993">
        <v>9</v>
      </c>
      <c r="P993">
        <v>4</v>
      </c>
      <c r="Q993">
        <v>184</v>
      </c>
      <c r="R993">
        <v>1</v>
      </c>
      <c r="S993">
        <v>232.44499059999299</v>
      </c>
      <c r="X993">
        <v>232.43497820000599</v>
      </c>
      <c r="Y993">
        <v>232.44499059999299</v>
      </c>
      <c r="Z993">
        <v>232.94484409998401</v>
      </c>
      <c r="AA993">
        <v>232.94484409998401</v>
      </c>
      <c r="AB993">
        <v>232.94484409998401</v>
      </c>
      <c r="AC993">
        <v>233.79931830003599</v>
      </c>
      <c r="AD993" t="s">
        <v>57</v>
      </c>
      <c r="AE993">
        <v>1</v>
      </c>
      <c r="AF993">
        <v>0.84700980002526105</v>
      </c>
      <c r="AG993" t="s">
        <v>51</v>
      </c>
      <c r="AK993" t="s">
        <v>94</v>
      </c>
      <c r="AL993">
        <v>1</v>
      </c>
      <c r="AM993" t="s">
        <v>87</v>
      </c>
      <c r="AN993" t="s">
        <v>43</v>
      </c>
      <c r="AP993" t="s">
        <v>44</v>
      </c>
      <c r="AQ993">
        <v>60.129904655169099</v>
      </c>
      <c r="AR993" t="s">
        <v>88</v>
      </c>
    </row>
    <row r="994" spans="1:44" x14ac:dyDescent="0.3">
      <c r="A994" t="s">
        <v>71</v>
      </c>
      <c r="B994" t="s">
        <v>49</v>
      </c>
      <c r="C994" s="2" t="str">
        <f t="shared" si="15"/>
        <v>Neutral</v>
      </c>
      <c r="E994" t="s">
        <v>47</v>
      </c>
      <c r="F994" t="s">
        <v>48</v>
      </c>
      <c r="G994" t="s">
        <v>50</v>
      </c>
      <c r="H994">
        <v>185</v>
      </c>
      <c r="I994">
        <v>5</v>
      </c>
      <c r="J994">
        <v>9</v>
      </c>
      <c r="K994" t="s">
        <v>50</v>
      </c>
      <c r="L994">
        <v>1</v>
      </c>
      <c r="M994">
        <v>0.74723259999882397</v>
      </c>
      <c r="N994" t="s">
        <v>51</v>
      </c>
      <c r="O994">
        <v>9</v>
      </c>
      <c r="P994">
        <v>5</v>
      </c>
      <c r="Q994">
        <v>185</v>
      </c>
      <c r="R994">
        <v>15</v>
      </c>
      <c r="S994">
        <v>233.81126460002201</v>
      </c>
      <c r="X994">
        <v>233.80313920002601</v>
      </c>
      <c r="Y994">
        <v>233.81126460002201</v>
      </c>
      <c r="Z994">
        <v>234.31141040002601</v>
      </c>
      <c r="AA994">
        <v>234.31141040002601</v>
      </c>
      <c r="AB994">
        <v>234.31141040002601</v>
      </c>
      <c r="AC994">
        <v>235.06586410000401</v>
      </c>
      <c r="AD994" t="s">
        <v>50</v>
      </c>
      <c r="AE994">
        <v>1</v>
      </c>
      <c r="AF994">
        <v>0.74723259999882397</v>
      </c>
      <c r="AG994" t="s">
        <v>51</v>
      </c>
      <c r="AK994" t="s">
        <v>94</v>
      </c>
      <c r="AL994">
        <v>1</v>
      </c>
      <c r="AM994" t="s">
        <v>87</v>
      </c>
      <c r="AN994" t="s">
        <v>43</v>
      </c>
      <c r="AP994" t="s">
        <v>44</v>
      </c>
      <c r="AQ994">
        <v>60.129904655169099</v>
      </c>
      <c r="AR994" t="s">
        <v>88</v>
      </c>
    </row>
    <row r="995" spans="1:44" x14ac:dyDescent="0.3">
      <c r="A995" t="s">
        <v>78</v>
      </c>
      <c r="B995" t="s">
        <v>49</v>
      </c>
      <c r="C995" s="2" t="str">
        <f t="shared" si="15"/>
        <v>Neutral</v>
      </c>
      <c r="E995" t="s">
        <v>47</v>
      </c>
      <c r="F995" t="s">
        <v>56</v>
      </c>
      <c r="G995" t="s">
        <v>57</v>
      </c>
      <c r="H995">
        <v>186</v>
      </c>
      <c r="I995">
        <v>6</v>
      </c>
      <c r="J995">
        <v>9</v>
      </c>
      <c r="K995" t="s">
        <v>57</v>
      </c>
      <c r="L995">
        <v>1</v>
      </c>
      <c r="M995">
        <v>0.69010139995953002</v>
      </c>
      <c r="N995" t="s">
        <v>51</v>
      </c>
      <c r="O995">
        <v>9</v>
      </c>
      <c r="P995">
        <v>6</v>
      </c>
      <c r="Q995">
        <v>186</v>
      </c>
      <c r="R995">
        <v>17</v>
      </c>
      <c r="S995">
        <v>235.07867890002601</v>
      </c>
      <c r="X995">
        <v>235.06826969998599</v>
      </c>
      <c r="Y995">
        <v>235.07867890002601</v>
      </c>
      <c r="Z995">
        <v>235.57859600003499</v>
      </c>
      <c r="AA995">
        <v>235.57859600003499</v>
      </c>
      <c r="AB995">
        <v>235.57859600003499</v>
      </c>
      <c r="AC995">
        <v>236.28255410003399</v>
      </c>
      <c r="AD995" t="s">
        <v>57</v>
      </c>
      <c r="AE995">
        <v>1</v>
      </c>
      <c r="AF995">
        <v>0.69010139995953002</v>
      </c>
      <c r="AG995" t="s">
        <v>51</v>
      </c>
      <c r="AK995" t="s">
        <v>94</v>
      </c>
      <c r="AL995">
        <v>1</v>
      </c>
      <c r="AM995" t="s">
        <v>87</v>
      </c>
      <c r="AN995" t="s">
        <v>43</v>
      </c>
      <c r="AP995" t="s">
        <v>44</v>
      </c>
      <c r="AQ995">
        <v>60.129904655169099</v>
      </c>
      <c r="AR995" t="s">
        <v>88</v>
      </c>
    </row>
    <row r="996" spans="1:44" x14ac:dyDescent="0.3">
      <c r="A996" t="s">
        <v>60</v>
      </c>
      <c r="B996" t="s">
        <v>62</v>
      </c>
      <c r="C996" s="2" t="str">
        <f t="shared" si="15"/>
        <v>Emotional-C</v>
      </c>
      <c r="E996" t="s">
        <v>59</v>
      </c>
      <c r="F996" t="s">
        <v>61</v>
      </c>
      <c r="G996" t="s">
        <v>63</v>
      </c>
      <c r="H996">
        <v>187</v>
      </c>
      <c r="I996">
        <v>7</v>
      </c>
      <c r="J996">
        <v>9</v>
      </c>
      <c r="K996" t="s">
        <v>63</v>
      </c>
      <c r="L996">
        <v>1</v>
      </c>
      <c r="M996">
        <v>0.497337299981154</v>
      </c>
      <c r="N996" t="s">
        <v>51</v>
      </c>
      <c r="O996">
        <v>9</v>
      </c>
      <c r="P996">
        <v>7</v>
      </c>
      <c r="Q996">
        <v>187</v>
      </c>
      <c r="R996">
        <v>0</v>
      </c>
      <c r="S996">
        <v>236.29496640001801</v>
      </c>
      <c r="X996">
        <v>236.285710900032</v>
      </c>
      <c r="Y996">
        <v>236.29496640001801</v>
      </c>
      <c r="Z996">
        <v>236.79503790003901</v>
      </c>
      <c r="AA996">
        <v>236.79503790003901</v>
      </c>
      <c r="AB996">
        <v>236.79503790003901</v>
      </c>
      <c r="AC996">
        <v>237.298456999997</v>
      </c>
      <c r="AD996" t="s">
        <v>63</v>
      </c>
      <c r="AE996">
        <v>1</v>
      </c>
      <c r="AF996">
        <v>0.497337299981154</v>
      </c>
      <c r="AG996" t="s">
        <v>51</v>
      </c>
      <c r="AK996" t="s">
        <v>94</v>
      </c>
      <c r="AL996">
        <v>1</v>
      </c>
      <c r="AM996" t="s">
        <v>87</v>
      </c>
      <c r="AN996" t="s">
        <v>43</v>
      </c>
      <c r="AP996" t="s">
        <v>44</v>
      </c>
      <c r="AQ996">
        <v>60.129904655169099</v>
      </c>
      <c r="AR996" t="s">
        <v>88</v>
      </c>
    </row>
    <row r="997" spans="1:44" x14ac:dyDescent="0.3">
      <c r="A997" t="s">
        <v>74</v>
      </c>
      <c r="B997" t="s">
        <v>49</v>
      </c>
      <c r="C997" s="2" t="str">
        <f t="shared" si="15"/>
        <v>Neutral</v>
      </c>
      <c r="E997" t="s">
        <v>47</v>
      </c>
      <c r="F997" t="s">
        <v>48</v>
      </c>
      <c r="G997" t="s">
        <v>50</v>
      </c>
      <c r="H997">
        <v>188</v>
      </c>
      <c r="I997">
        <v>8</v>
      </c>
      <c r="J997">
        <v>9</v>
      </c>
      <c r="K997" t="s">
        <v>50</v>
      </c>
      <c r="L997">
        <v>1</v>
      </c>
      <c r="M997">
        <v>0.67563409998547197</v>
      </c>
      <c r="N997" t="s">
        <v>51</v>
      </c>
      <c r="O997">
        <v>9</v>
      </c>
      <c r="P997">
        <v>8</v>
      </c>
      <c r="Q997">
        <v>188</v>
      </c>
      <c r="R997">
        <v>11</v>
      </c>
      <c r="S997">
        <v>237.31135350000099</v>
      </c>
      <c r="X997">
        <v>237.30111270002001</v>
      </c>
      <c r="Y997">
        <v>237.31135350000099</v>
      </c>
      <c r="Z997">
        <v>237.812093499989</v>
      </c>
      <c r="AA997">
        <v>237.812093499989</v>
      </c>
      <c r="AB997">
        <v>237.812093499989</v>
      </c>
      <c r="AC997">
        <v>238.49804520001601</v>
      </c>
      <c r="AD997" t="s">
        <v>50</v>
      </c>
      <c r="AE997">
        <v>1</v>
      </c>
      <c r="AF997">
        <v>0.67563409998547197</v>
      </c>
      <c r="AG997" t="s">
        <v>51</v>
      </c>
      <c r="AK997" t="s">
        <v>94</v>
      </c>
      <c r="AL997">
        <v>1</v>
      </c>
      <c r="AM997" t="s">
        <v>87</v>
      </c>
      <c r="AN997" t="s">
        <v>43</v>
      </c>
      <c r="AP997" t="s">
        <v>44</v>
      </c>
      <c r="AQ997">
        <v>60.129904655169099</v>
      </c>
      <c r="AR997" t="s">
        <v>88</v>
      </c>
    </row>
    <row r="998" spans="1:44" x14ac:dyDescent="0.3">
      <c r="A998" t="s">
        <v>55</v>
      </c>
      <c r="B998" t="s">
        <v>49</v>
      </c>
      <c r="C998" s="2" t="str">
        <f t="shared" si="15"/>
        <v>Neutral</v>
      </c>
      <c r="E998" t="s">
        <v>47</v>
      </c>
      <c r="F998" t="s">
        <v>56</v>
      </c>
      <c r="G998" t="s">
        <v>57</v>
      </c>
      <c r="H998">
        <v>189</v>
      </c>
      <c r="I998">
        <v>9</v>
      </c>
      <c r="J998">
        <v>9</v>
      </c>
      <c r="K998" t="s">
        <v>57</v>
      </c>
      <c r="L998">
        <v>1</v>
      </c>
      <c r="M998">
        <v>0.74757379997754403</v>
      </c>
      <c r="N998" t="s">
        <v>51</v>
      </c>
      <c r="O998">
        <v>9</v>
      </c>
      <c r="P998">
        <v>9</v>
      </c>
      <c r="Q998">
        <v>189</v>
      </c>
      <c r="R998">
        <v>13</v>
      </c>
      <c r="S998">
        <v>238.51157919998499</v>
      </c>
      <c r="X998">
        <v>238.50062300002901</v>
      </c>
      <c r="Y998">
        <v>238.51157919998499</v>
      </c>
      <c r="Z998">
        <v>239.0118641</v>
      </c>
      <c r="AA998">
        <v>239.0118641</v>
      </c>
      <c r="AB998">
        <v>239.0118641</v>
      </c>
      <c r="AC998">
        <v>239.76547079999</v>
      </c>
      <c r="AD998" t="s">
        <v>57</v>
      </c>
      <c r="AE998">
        <v>1</v>
      </c>
      <c r="AF998">
        <v>0.74757379997754403</v>
      </c>
      <c r="AG998" t="s">
        <v>51</v>
      </c>
      <c r="AK998" t="s">
        <v>94</v>
      </c>
      <c r="AL998">
        <v>1</v>
      </c>
      <c r="AM998" t="s">
        <v>87</v>
      </c>
      <c r="AN998" t="s">
        <v>43</v>
      </c>
      <c r="AP998" t="s">
        <v>44</v>
      </c>
      <c r="AQ998">
        <v>60.129904655169099</v>
      </c>
      <c r="AR998" t="s">
        <v>88</v>
      </c>
    </row>
    <row r="999" spans="1:44" x14ac:dyDescent="0.3">
      <c r="A999" t="s">
        <v>75</v>
      </c>
      <c r="B999" t="s">
        <v>49</v>
      </c>
      <c r="C999" s="2" t="str">
        <f t="shared" si="15"/>
        <v>Neutral</v>
      </c>
      <c r="E999" t="s">
        <v>47</v>
      </c>
      <c r="F999" t="s">
        <v>61</v>
      </c>
      <c r="G999" t="s">
        <v>63</v>
      </c>
      <c r="H999">
        <v>190</v>
      </c>
      <c r="I999">
        <v>10</v>
      </c>
      <c r="J999">
        <v>9</v>
      </c>
      <c r="K999" t="s">
        <v>63</v>
      </c>
      <c r="L999">
        <v>1</v>
      </c>
      <c r="M999">
        <v>0.97479509998811398</v>
      </c>
      <c r="N999" t="s">
        <v>51</v>
      </c>
      <c r="O999">
        <v>9</v>
      </c>
      <c r="P999">
        <v>10</v>
      </c>
      <c r="Q999">
        <v>190</v>
      </c>
      <c r="R999">
        <v>16</v>
      </c>
      <c r="S999">
        <v>239.77872230001901</v>
      </c>
      <c r="X999">
        <v>239.7682318</v>
      </c>
      <c r="Y999">
        <v>239.77872230001901</v>
      </c>
      <c r="Z999">
        <v>240.27843060001001</v>
      </c>
      <c r="AA999">
        <v>240.27843060001001</v>
      </c>
      <c r="AB999">
        <v>240.27843060001001</v>
      </c>
      <c r="AC999">
        <v>241.26520210003901</v>
      </c>
      <c r="AD999" t="s">
        <v>63</v>
      </c>
      <c r="AE999">
        <v>1</v>
      </c>
      <c r="AF999">
        <v>0.97479509998811398</v>
      </c>
      <c r="AG999" t="s">
        <v>51</v>
      </c>
      <c r="AK999" t="s">
        <v>94</v>
      </c>
      <c r="AL999">
        <v>1</v>
      </c>
      <c r="AM999" t="s">
        <v>87</v>
      </c>
      <c r="AN999" t="s">
        <v>43</v>
      </c>
      <c r="AP999" t="s">
        <v>44</v>
      </c>
      <c r="AQ999">
        <v>60.129904655169099</v>
      </c>
      <c r="AR999" t="s">
        <v>88</v>
      </c>
    </row>
    <row r="1000" spans="1:44" x14ac:dyDescent="0.3">
      <c r="A1000" t="s">
        <v>70</v>
      </c>
      <c r="B1000" t="s">
        <v>49</v>
      </c>
      <c r="C1000" s="2" t="str">
        <f t="shared" si="15"/>
        <v>Emotional-I</v>
      </c>
      <c r="E1000" t="s">
        <v>59</v>
      </c>
      <c r="F1000" t="s">
        <v>53</v>
      </c>
      <c r="G1000" t="s">
        <v>54</v>
      </c>
      <c r="H1000">
        <v>191</v>
      </c>
      <c r="I1000">
        <v>11</v>
      </c>
      <c r="J1000">
        <v>9</v>
      </c>
      <c r="K1000" t="s">
        <v>54</v>
      </c>
      <c r="L1000">
        <v>1</v>
      </c>
      <c r="M1000">
        <v>0.46422379999421498</v>
      </c>
      <c r="N1000" t="s">
        <v>51</v>
      </c>
      <c r="O1000">
        <v>9</v>
      </c>
      <c r="P1000">
        <v>11</v>
      </c>
      <c r="Q1000">
        <v>191</v>
      </c>
      <c r="R1000">
        <v>2</v>
      </c>
      <c r="S1000">
        <v>241.27906070003499</v>
      </c>
      <c r="X1000">
        <v>241.26781739998799</v>
      </c>
      <c r="Y1000">
        <v>241.27906070003499</v>
      </c>
      <c r="Z1000">
        <v>241.77766240003899</v>
      </c>
      <c r="AA1000">
        <v>241.77766240003899</v>
      </c>
      <c r="AB1000">
        <v>241.77766240003899</v>
      </c>
      <c r="AC1000">
        <v>242.24818709998999</v>
      </c>
      <c r="AD1000" t="s">
        <v>54</v>
      </c>
      <c r="AE1000">
        <v>1</v>
      </c>
      <c r="AF1000">
        <v>0.46422379999421498</v>
      </c>
      <c r="AG1000" t="s">
        <v>51</v>
      </c>
      <c r="AK1000" t="s">
        <v>94</v>
      </c>
      <c r="AL1000">
        <v>1</v>
      </c>
      <c r="AM1000" t="s">
        <v>87</v>
      </c>
      <c r="AN1000" t="s">
        <v>43</v>
      </c>
      <c r="AP1000" t="s">
        <v>44</v>
      </c>
      <c r="AQ1000">
        <v>60.129904655169099</v>
      </c>
      <c r="AR1000" t="s">
        <v>88</v>
      </c>
    </row>
    <row r="1001" spans="1:44" x14ac:dyDescent="0.3">
      <c r="A1001" t="s">
        <v>68</v>
      </c>
      <c r="B1001" t="s">
        <v>49</v>
      </c>
      <c r="C1001" s="2" t="str">
        <f t="shared" si="15"/>
        <v>Emotional-I</v>
      </c>
      <c r="E1001" t="s">
        <v>59</v>
      </c>
      <c r="F1001" t="s">
        <v>53</v>
      </c>
      <c r="G1001" t="s">
        <v>54</v>
      </c>
      <c r="H1001">
        <v>192</v>
      </c>
      <c r="I1001">
        <v>12</v>
      </c>
      <c r="J1001">
        <v>9</v>
      </c>
      <c r="K1001" t="s">
        <v>54</v>
      </c>
      <c r="L1001">
        <v>1</v>
      </c>
      <c r="M1001">
        <v>0.408949700009543</v>
      </c>
      <c r="N1001" t="s">
        <v>51</v>
      </c>
      <c r="O1001">
        <v>9</v>
      </c>
      <c r="P1001">
        <v>12</v>
      </c>
      <c r="Q1001">
        <v>192</v>
      </c>
      <c r="R1001">
        <v>6</v>
      </c>
      <c r="S1001">
        <v>242.26106089999601</v>
      </c>
      <c r="X1001">
        <v>242.250777000037</v>
      </c>
      <c r="Y1001">
        <v>242.26106089999601</v>
      </c>
      <c r="Z1001">
        <v>242.761664999998</v>
      </c>
      <c r="AA1001">
        <v>242.761664999998</v>
      </c>
      <c r="AB1001">
        <v>242.761664999998</v>
      </c>
      <c r="AC1001">
        <v>243.18320710002399</v>
      </c>
      <c r="AD1001" t="s">
        <v>54</v>
      </c>
      <c r="AE1001">
        <v>1</v>
      </c>
      <c r="AF1001">
        <v>0.408949700009543</v>
      </c>
      <c r="AG1001" t="s">
        <v>51</v>
      </c>
      <c r="AK1001" t="s">
        <v>94</v>
      </c>
      <c r="AL1001">
        <v>1</v>
      </c>
      <c r="AM1001" t="s">
        <v>87</v>
      </c>
      <c r="AN1001" t="s">
        <v>43</v>
      </c>
      <c r="AP1001" t="s">
        <v>44</v>
      </c>
      <c r="AQ1001">
        <v>60.129904655169099</v>
      </c>
      <c r="AR1001" t="s">
        <v>88</v>
      </c>
    </row>
    <row r="1002" spans="1:44" x14ac:dyDescent="0.3">
      <c r="A1002" t="s">
        <v>76</v>
      </c>
      <c r="B1002" t="s">
        <v>49</v>
      </c>
      <c r="C1002" s="2" t="str">
        <f t="shared" si="15"/>
        <v>Emotional-I</v>
      </c>
      <c r="E1002" t="s">
        <v>59</v>
      </c>
      <c r="F1002" t="s">
        <v>48</v>
      </c>
      <c r="G1002" t="s">
        <v>50</v>
      </c>
      <c r="H1002">
        <v>193</v>
      </c>
      <c r="I1002">
        <v>13</v>
      </c>
      <c r="J1002">
        <v>9</v>
      </c>
      <c r="K1002" t="s">
        <v>50</v>
      </c>
      <c r="L1002">
        <v>1</v>
      </c>
      <c r="M1002">
        <v>0.59620859997812603</v>
      </c>
      <c r="N1002" t="s">
        <v>51</v>
      </c>
      <c r="O1002">
        <v>9</v>
      </c>
      <c r="P1002">
        <v>13</v>
      </c>
      <c r="Q1002">
        <v>193</v>
      </c>
      <c r="R1002">
        <v>3</v>
      </c>
      <c r="S1002">
        <v>243.19485949998401</v>
      </c>
      <c r="X1002">
        <v>243.18579570000199</v>
      </c>
      <c r="Y1002">
        <v>243.19485949998401</v>
      </c>
      <c r="Z1002">
        <v>243.694229400018</v>
      </c>
      <c r="AA1002">
        <v>243.694229400018</v>
      </c>
      <c r="AB1002">
        <v>243.694229400018</v>
      </c>
      <c r="AC1002">
        <v>244.298722899984</v>
      </c>
      <c r="AD1002" t="s">
        <v>50</v>
      </c>
      <c r="AE1002">
        <v>1</v>
      </c>
      <c r="AF1002">
        <v>0.59620859997812603</v>
      </c>
      <c r="AG1002" t="s">
        <v>51</v>
      </c>
      <c r="AK1002" t="s">
        <v>94</v>
      </c>
      <c r="AL1002">
        <v>1</v>
      </c>
      <c r="AM1002" t="s">
        <v>87</v>
      </c>
      <c r="AN1002" t="s">
        <v>43</v>
      </c>
      <c r="AP1002" t="s">
        <v>44</v>
      </c>
      <c r="AQ1002">
        <v>60.129904655169099</v>
      </c>
      <c r="AR1002" t="s">
        <v>88</v>
      </c>
    </row>
    <row r="1003" spans="1:44" x14ac:dyDescent="0.3">
      <c r="A1003" t="s">
        <v>46</v>
      </c>
      <c r="B1003" t="s">
        <v>49</v>
      </c>
      <c r="C1003" s="2" t="str">
        <f t="shared" si="15"/>
        <v>Neutral</v>
      </c>
      <c r="E1003" t="s">
        <v>47</v>
      </c>
      <c r="F1003" t="s">
        <v>48</v>
      </c>
      <c r="G1003" t="s">
        <v>50</v>
      </c>
      <c r="H1003">
        <v>194</v>
      </c>
      <c r="I1003">
        <v>14</v>
      </c>
      <c r="J1003">
        <v>9</v>
      </c>
      <c r="K1003" t="s">
        <v>50</v>
      </c>
      <c r="L1003">
        <v>1</v>
      </c>
      <c r="M1003">
        <v>0.89470860001165398</v>
      </c>
      <c r="N1003" t="s">
        <v>51</v>
      </c>
      <c r="O1003">
        <v>9</v>
      </c>
      <c r="P1003">
        <v>14</v>
      </c>
      <c r="Q1003">
        <v>194</v>
      </c>
      <c r="R1003">
        <v>19</v>
      </c>
      <c r="S1003">
        <v>244.31057750002901</v>
      </c>
      <c r="X1003">
        <v>244.302482800034</v>
      </c>
      <c r="Y1003">
        <v>244.31057750002901</v>
      </c>
      <c r="Z1003">
        <v>244.81148710002799</v>
      </c>
      <c r="AA1003">
        <v>244.81148710002799</v>
      </c>
      <c r="AB1003">
        <v>244.81148710002799</v>
      </c>
      <c r="AC1003">
        <v>245.71437210001699</v>
      </c>
      <c r="AD1003" t="s">
        <v>50</v>
      </c>
      <c r="AE1003">
        <v>1</v>
      </c>
      <c r="AF1003">
        <v>0.89470860001165398</v>
      </c>
      <c r="AG1003" t="s">
        <v>51</v>
      </c>
      <c r="AK1003" t="s">
        <v>94</v>
      </c>
      <c r="AL1003">
        <v>1</v>
      </c>
      <c r="AM1003" t="s">
        <v>87</v>
      </c>
      <c r="AN1003" t="s">
        <v>43</v>
      </c>
      <c r="AP1003" t="s">
        <v>44</v>
      </c>
      <c r="AQ1003">
        <v>60.129904655169099</v>
      </c>
      <c r="AR1003" t="s">
        <v>88</v>
      </c>
    </row>
    <row r="1004" spans="1:44" x14ac:dyDescent="0.3">
      <c r="A1004" t="s">
        <v>67</v>
      </c>
      <c r="B1004" t="s">
        <v>49</v>
      </c>
      <c r="C1004" s="2" t="str">
        <f t="shared" si="15"/>
        <v>Neutral</v>
      </c>
      <c r="E1004" t="s">
        <v>47</v>
      </c>
      <c r="F1004" t="s">
        <v>53</v>
      </c>
      <c r="G1004" t="s">
        <v>54</v>
      </c>
      <c r="H1004">
        <v>195</v>
      </c>
      <c r="I1004">
        <v>15</v>
      </c>
      <c r="J1004">
        <v>9</v>
      </c>
      <c r="K1004" t="s">
        <v>54</v>
      </c>
      <c r="L1004">
        <v>1</v>
      </c>
      <c r="M1004">
        <v>0.87992320000194002</v>
      </c>
      <c r="N1004" t="s">
        <v>51</v>
      </c>
      <c r="O1004">
        <v>9</v>
      </c>
      <c r="P1004">
        <v>15</v>
      </c>
      <c r="Q1004">
        <v>195</v>
      </c>
      <c r="R1004">
        <v>10</v>
      </c>
      <c r="S1004">
        <v>245.727819400024</v>
      </c>
      <c r="X1004">
        <v>245.71714900003201</v>
      </c>
      <c r="Y1004">
        <v>245.727819400024</v>
      </c>
      <c r="Z1004">
        <v>246.22797720000301</v>
      </c>
      <c r="AA1004">
        <v>246.22797720000301</v>
      </c>
      <c r="AB1004">
        <v>246.22797720000301</v>
      </c>
      <c r="AC1004">
        <v>247.11529019998801</v>
      </c>
      <c r="AD1004" t="s">
        <v>54</v>
      </c>
      <c r="AE1004">
        <v>1</v>
      </c>
      <c r="AF1004">
        <v>0.87992320000194002</v>
      </c>
      <c r="AG1004" t="s">
        <v>51</v>
      </c>
      <c r="AK1004" t="s">
        <v>94</v>
      </c>
      <c r="AL1004">
        <v>1</v>
      </c>
      <c r="AM1004" t="s">
        <v>87</v>
      </c>
      <c r="AN1004" t="s">
        <v>43</v>
      </c>
      <c r="AP1004" t="s">
        <v>44</v>
      </c>
      <c r="AQ1004">
        <v>60.129904655169099</v>
      </c>
      <c r="AR1004" t="s">
        <v>88</v>
      </c>
    </row>
    <row r="1005" spans="1:44" x14ac:dyDescent="0.3">
      <c r="A1005" t="s">
        <v>58</v>
      </c>
      <c r="B1005" t="s">
        <v>49</v>
      </c>
      <c r="C1005" s="2" t="str">
        <f t="shared" si="15"/>
        <v>Emotional-I</v>
      </c>
      <c r="E1005" t="s">
        <v>59</v>
      </c>
      <c r="F1005" t="s">
        <v>48</v>
      </c>
      <c r="G1005" t="s">
        <v>50</v>
      </c>
      <c r="H1005">
        <v>196</v>
      </c>
      <c r="I1005">
        <v>16</v>
      </c>
      <c r="J1005">
        <v>9</v>
      </c>
      <c r="K1005" t="s">
        <v>50</v>
      </c>
      <c r="L1005">
        <v>1</v>
      </c>
      <c r="M1005">
        <v>0.746933499991428</v>
      </c>
      <c r="N1005" t="s">
        <v>51</v>
      </c>
      <c r="O1005">
        <v>9</v>
      </c>
      <c r="P1005">
        <v>16</v>
      </c>
      <c r="Q1005">
        <v>196</v>
      </c>
      <c r="R1005">
        <v>7</v>
      </c>
      <c r="S1005">
        <v>247.12828770000399</v>
      </c>
      <c r="X1005">
        <v>247.11794190003999</v>
      </c>
      <c r="Y1005">
        <v>247.12828770000399</v>
      </c>
      <c r="Z1005">
        <v>247.62775740004099</v>
      </c>
      <c r="AA1005">
        <v>247.62775740004099</v>
      </c>
      <c r="AB1005">
        <v>247.62775740004099</v>
      </c>
      <c r="AC1005">
        <v>248.38160210003801</v>
      </c>
      <c r="AD1005" t="s">
        <v>50</v>
      </c>
      <c r="AE1005">
        <v>1</v>
      </c>
      <c r="AF1005">
        <v>0.746933499991428</v>
      </c>
      <c r="AG1005" t="s">
        <v>51</v>
      </c>
      <c r="AK1005" t="s">
        <v>94</v>
      </c>
      <c r="AL1005">
        <v>1</v>
      </c>
      <c r="AM1005" t="s">
        <v>87</v>
      </c>
      <c r="AN1005" t="s">
        <v>43</v>
      </c>
      <c r="AP1005" t="s">
        <v>44</v>
      </c>
      <c r="AQ1005">
        <v>60.129904655169099</v>
      </c>
      <c r="AR1005" t="s">
        <v>88</v>
      </c>
    </row>
    <row r="1006" spans="1:44" x14ac:dyDescent="0.3">
      <c r="A1006" t="s">
        <v>69</v>
      </c>
      <c r="B1006" t="s">
        <v>49</v>
      </c>
      <c r="C1006" s="2" t="str">
        <f t="shared" si="15"/>
        <v>Emotional-I</v>
      </c>
      <c r="E1006" t="s">
        <v>59</v>
      </c>
      <c r="F1006" t="s">
        <v>56</v>
      </c>
      <c r="G1006" t="s">
        <v>57</v>
      </c>
      <c r="H1006">
        <v>197</v>
      </c>
      <c r="I1006">
        <v>17</v>
      </c>
      <c r="J1006">
        <v>9</v>
      </c>
      <c r="K1006" t="s">
        <v>57</v>
      </c>
      <c r="L1006">
        <v>1</v>
      </c>
      <c r="M1006">
        <v>0.71156169997993801</v>
      </c>
      <c r="N1006" t="s">
        <v>51</v>
      </c>
      <c r="O1006">
        <v>9</v>
      </c>
      <c r="P1006">
        <v>17</v>
      </c>
      <c r="Q1006">
        <v>197</v>
      </c>
      <c r="R1006">
        <v>5</v>
      </c>
      <c r="S1006">
        <v>248.39488470001299</v>
      </c>
      <c r="X1006">
        <v>248.38422260002699</v>
      </c>
      <c r="Y1006">
        <v>248.39488470001299</v>
      </c>
      <c r="Z1006">
        <v>248.89495129999699</v>
      </c>
      <c r="AA1006">
        <v>248.89495129999699</v>
      </c>
      <c r="AB1006">
        <v>248.89495129999699</v>
      </c>
      <c r="AC1006">
        <v>249.61484380002301</v>
      </c>
      <c r="AD1006" t="s">
        <v>57</v>
      </c>
      <c r="AE1006">
        <v>1</v>
      </c>
      <c r="AF1006">
        <v>0.71156169997993801</v>
      </c>
      <c r="AG1006" t="s">
        <v>51</v>
      </c>
      <c r="AK1006" t="s">
        <v>94</v>
      </c>
      <c r="AL1006">
        <v>1</v>
      </c>
      <c r="AM1006" t="s">
        <v>87</v>
      </c>
      <c r="AN1006" t="s">
        <v>43</v>
      </c>
      <c r="AP1006" t="s">
        <v>44</v>
      </c>
      <c r="AQ1006">
        <v>60.129904655169099</v>
      </c>
      <c r="AR1006" t="s">
        <v>88</v>
      </c>
    </row>
    <row r="1007" spans="1:44" hidden="1" x14ac:dyDescent="0.3">
      <c r="A1007" t="s">
        <v>64</v>
      </c>
      <c r="B1007" t="s">
        <v>49</v>
      </c>
      <c r="C1007" s="2" t="str">
        <f t="shared" si="15"/>
        <v>Neutral</v>
      </c>
      <c r="E1007" t="s">
        <v>47</v>
      </c>
      <c r="F1007" t="s">
        <v>53</v>
      </c>
      <c r="G1007" t="s">
        <v>54</v>
      </c>
      <c r="H1007">
        <v>198</v>
      </c>
      <c r="I1007">
        <v>18</v>
      </c>
      <c r="J1007">
        <v>9</v>
      </c>
      <c r="K1007" t="s">
        <v>63</v>
      </c>
      <c r="L1007">
        <v>0</v>
      </c>
      <c r="M1007">
        <v>0.91161750000901498</v>
      </c>
      <c r="N1007" t="s">
        <v>51</v>
      </c>
      <c r="O1007">
        <v>9</v>
      </c>
      <c r="P1007">
        <v>18</v>
      </c>
      <c r="Q1007">
        <v>198</v>
      </c>
      <c r="R1007">
        <v>18</v>
      </c>
      <c r="S1007">
        <v>249.62777260004</v>
      </c>
      <c r="X1007">
        <v>249.617696900037</v>
      </c>
      <c r="Y1007">
        <v>249.62777260004</v>
      </c>
      <c r="Z1007">
        <v>250.128101999987</v>
      </c>
      <c r="AA1007">
        <v>250.128101999987</v>
      </c>
      <c r="AB1007">
        <v>250.128101999987</v>
      </c>
      <c r="AC1007">
        <v>251.04822570004001</v>
      </c>
      <c r="AD1007" t="s">
        <v>63</v>
      </c>
      <c r="AE1007">
        <v>0</v>
      </c>
      <c r="AF1007">
        <v>0.91161750000901498</v>
      </c>
      <c r="AG1007" t="s">
        <v>51</v>
      </c>
      <c r="AK1007" t="s">
        <v>94</v>
      </c>
      <c r="AL1007">
        <v>1</v>
      </c>
      <c r="AM1007" t="s">
        <v>87</v>
      </c>
      <c r="AN1007" t="s">
        <v>43</v>
      </c>
      <c r="AP1007" t="s">
        <v>44</v>
      </c>
      <c r="AQ1007">
        <v>60.129904655169099</v>
      </c>
      <c r="AR1007" t="s">
        <v>88</v>
      </c>
    </row>
    <row r="1008" spans="1:44" x14ac:dyDescent="0.3">
      <c r="A1008" t="s">
        <v>65</v>
      </c>
      <c r="B1008" t="s">
        <v>49</v>
      </c>
      <c r="C1008" s="2" t="str">
        <f t="shared" si="15"/>
        <v>Emotional-I</v>
      </c>
      <c r="E1008" t="s">
        <v>59</v>
      </c>
      <c r="F1008" t="s">
        <v>56</v>
      </c>
      <c r="G1008" t="s">
        <v>57</v>
      </c>
      <c r="H1008">
        <v>199</v>
      </c>
      <c r="I1008">
        <v>19</v>
      </c>
      <c r="J1008">
        <v>9</v>
      </c>
      <c r="K1008" t="s">
        <v>57</v>
      </c>
      <c r="L1008">
        <v>1</v>
      </c>
      <c r="M1008">
        <v>1.2940307999961</v>
      </c>
      <c r="N1008" t="s">
        <v>51</v>
      </c>
      <c r="O1008">
        <v>9</v>
      </c>
      <c r="P1008">
        <v>19</v>
      </c>
      <c r="Q1008">
        <v>199</v>
      </c>
      <c r="R1008">
        <v>9</v>
      </c>
      <c r="S1008">
        <v>251.06131349998699</v>
      </c>
      <c r="X1008">
        <v>251.05094600003201</v>
      </c>
      <c r="Y1008">
        <v>251.06131349998699</v>
      </c>
      <c r="Z1008">
        <v>251.56144070002401</v>
      </c>
      <c r="AA1008">
        <v>251.56144070002401</v>
      </c>
      <c r="AB1008">
        <v>251.56144070002401</v>
      </c>
      <c r="AC1008">
        <v>252.864042600034</v>
      </c>
      <c r="AD1008" t="s">
        <v>57</v>
      </c>
      <c r="AE1008">
        <v>1</v>
      </c>
      <c r="AF1008">
        <v>1.2940307999961</v>
      </c>
      <c r="AG1008" t="s">
        <v>51</v>
      </c>
      <c r="AK1008" t="s">
        <v>94</v>
      </c>
      <c r="AL1008">
        <v>1</v>
      </c>
      <c r="AM1008" t="s">
        <v>87</v>
      </c>
      <c r="AN1008" t="s">
        <v>43</v>
      </c>
      <c r="AP1008" t="s">
        <v>44</v>
      </c>
      <c r="AQ1008">
        <v>60.129904655169099</v>
      </c>
      <c r="AR1008" t="s">
        <v>88</v>
      </c>
    </row>
    <row r="1009" spans="34:44" hidden="1" x14ac:dyDescent="0.3">
      <c r="AH1009">
        <v>252.86419880000099</v>
      </c>
      <c r="AI1009">
        <v>252.87765839998599</v>
      </c>
      <c r="AJ1009">
        <v>253.864377600024</v>
      </c>
      <c r="AK1009" t="s">
        <v>94</v>
      </c>
      <c r="AL1009">
        <v>1</v>
      </c>
      <c r="AM1009" t="s">
        <v>87</v>
      </c>
      <c r="AN1009" t="s">
        <v>43</v>
      </c>
      <c r="AP1009" t="s">
        <v>44</v>
      </c>
      <c r="AQ1009">
        <v>60.129904655169099</v>
      </c>
      <c r="AR1009" t="s">
        <v>88</v>
      </c>
    </row>
  </sheetData>
  <autoFilter ref="A1:AT1009" xr:uid="{672AD4CD-64D6-4F85-A4CC-2FB356EC344B}">
    <filterColumn colId="11">
      <filters>
        <filter val="1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43F7-76B4-482F-865F-54A4A543DFAF}">
  <dimension ref="A3:BD31"/>
  <sheetViews>
    <sheetView defaultGridColor="0" topLeftCell="C2" colorId="8" zoomScale="92" workbookViewId="0">
      <selection activeCell="AA9" sqref="AA9"/>
    </sheetView>
  </sheetViews>
  <sheetFormatPr defaultRowHeight="14.4" x14ac:dyDescent="0.3"/>
  <cols>
    <col min="1" max="1" width="15.109375" bestFit="1" customWidth="1"/>
    <col min="2" max="2" width="11.21875" bestFit="1" customWidth="1"/>
    <col min="3" max="3" width="9.21875" bestFit="1" customWidth="1"/>
    <col min="4" max="4" width="5.5546875" bestFit="1" customWidth="1"/>
    <col min="5" max="5" width="5" bestFit="1" customWidth="1"/>
    <col min="9" max="9" width="12.109375" customWidth="1"/>
    <col min="10" max="10" width="12.44140625" customWidth="1"/>
    <col min="27" max="27" width="11.77734375" customWidth="1"/>
    <col min="30" max="30" width="13.77734375" customWidth="1"/>
    <col min="31" max="31" width="11.5546875" customWidth="1"/>
    <col min="32" max="32" width="13.33203125" customWidth="1"/>
    <col min="33" max="33" width="13.5546875" customWidth="1"/>
    <col min="46" max="46" width="20.77734375" customWidth="1"/>
    <col min="47" max="47" width="12.77734375" customWidth="1"/>
    <col min="48" max="48" width="13.44140625" customWidth="1"/>
    <col min="50" max="50" width="21.44140625" customWidth="1"/>
    <col min="51" max="51" width="18.44140625" customWidth="1"/>
    <col min="52" max="52" width="16.77734375" customWidth="1"/>
    <col min="54" max="54" width="18" customWidth="1"/>
    <col min="55" max="55" width="16.21875" customWidth="1"/>
    <col min="56" max="56" width="16.5546875" customWidth="1"/>
  </cols>
  <sheetData>
    <row r="3" spans="1:56" x14ac:dyDescent="0.3">
      <c r="A3" s="4" t="s">
        <v>34</v>
      </c>
      <c r="B3" s="4" t="s">
        <v>90</v>
      </c>
      <c r="C3" t="s">
        <v>100</v>
      </c>
      <c r="D3" t="s">
        <v>106</v>
      </c>
      <c r="E3" t="s">
        <v>107</v>
      </c>
    </row>
    <row r="4" spans="1:56" x14ac:dyDescent="0.3">
      <c r="A4" t="s">
        <v>89</v>
      </c>
      <c r="B4" t="s">
        <v>96</v>
      </c>
      <c r="C4" s="5">
        <v>0.86253098999149946</v>
      </c>
      <c r="D4" s="5">
        <v>0.33590124660976045</v>
      </c>
      <c r="E4">
        <v>30</v>
      </c>
      <c r="I4" s="6" t="s">
        <v>111</v>
      </c>
      <c r="J4" s="6" t="s">
        <v>112</v>
      </c>
      <c r="K4" s="6" t="s">
        <v>110</v>
      </c>
      <c r="R4" t="s">
        <v>113</v>
      </c>
      <c r="S4" t="s">
        <v>98</v>
      </c>
      <c r="T4" t="s">
        <v>96</v>
      </c>
      <c r="U4" t="s">
        <v>97</v>
      </c>
    </row>
    <row r="5" spans="1:56" x14ac:dyDescent="0.3">
      <c r="B5" t="s">
        <v>97</v>
      </c>
      <c r="C5" s="5">
        <v>0.91540858428758809</v>
      </c>
      <c r="D5" s="5">
        <v>0.49489663021758579</v>
      </c>
      <c r="E5">
        <v>70</v>
      </c>
      <c r="I5" s="1" t="s">
        <v>47</v>
      </c>
      <c r="J5" s="1">
        <f>AVERAGE(GETPIVOTDATA("Mean RTs",$A$3,"condition","Neutral","participant","P1"),GETPIVOTDATA("Mean RTs",$A$3,"condition","Neutral","participant","P2"),GETPIVOTDATA("Mean RTs",$A$3,"condition","Neutral","participant","P3"),GETPIVOTDATA("Mean RTs",$A$3,"condition","Neutral","participant","P4"),GETPIVOTDATA("Mean RTs",$A$3,"condition","Neutral","participant","P5"))</f>
        <v>0.79659457000030598</v>
      </c>
      <c r="K5" s="1">
        <f>_xlfn.STDEV.S(GETPIVOTDATA("SD",$A$3,"condition","Neutral","participant","P1"),GETPIVOTDATA("SD",$A$3,"condition","Neutral","participant","P2"),GETPIVOTDATA("SD",$A$3,"condition","Neutral","participant","P3"),GETPIVOTDATA("SD",$A$3,"condition","Neutral","participant","P4"),GETPIVOTDATA("SD",$A$3,"condition","Neutral","participant","P5"))</f>
        <v>7.8923713960336372E-2</v>
      </c>
      <c r="R5" t="s">
        <v>89</v>
      </c>
      <c r="S5" s="5">
        <v>0.87312951900006619</v>
      </c>
      <c r="T5" s="5">
        <v>0.86253098999149946</v>
      </c>
      <c r="U5" s="5">
        <v>0.91540858428758809</v>
      </c>
      <c r="Z5" s="7"/>
      <c r="AA5" s="7"/>
      <c r="AB5" s="7"/>
    </row>
    <row r="6" spans="1:56" x14ac:dyDescent="0.3">
      <c r="B6" t="s">
        <v>98</v>
      </c>
      <c r="C6" s="5">
        <v>0.87312951900006619</v>
      </c>
      <c r="D6" s="5">
        <v>0.39915257432473805</v>
      </c>
      <c r="E6">
        <v>100</v>
      </c>
      <c r="I6" s="1" t="s">
        <v>108</v>
      </c>
      <c r="J6" s="1">
        <f>AVERAGE(GETPIVOTDATA("Mean RTs",$A$3,"condition","Emotional-C","participant","P1"),GETPIVOTDATA("Mean RTs",$A$3,"condition","Emotional-C","participant","P2"),GETPIVOTDATA("Mean RTs",$A$3,"condition","Emotional-C","participant","P3"),GETPIVOTDATA("Mean RTs",$A$3,"condition","Emotional-C","participant","P4"),GETPIVOTDATA("Mean RTs",$A$3,"condition","Emotional-C","participant","P5"))</f>
        <v>0.74091235599946148</v>
      </c>
      <c r="K6" s="1">
        <f>_xlfn.STDEV.S(GETPIVOTDATA("SD",$A$3,"condition","Emotional-C","participant","P1"),GETPIVOTDATA("SD",$A$3,"condition","Emotional-C","participant","P2"),GETPIVOTDATA("SD",$A$3,"condition","Emotional-C","participant","P3"),GETPIVOTDATA("SD",$A$3,"condition","Emotional-C","participant","P4"),GETPIVOTDATA("SD",$A$3,"condition","Emotional-C","participant","P5"))</f>
        <v>0.16156889376339928</v>
      </c>
      <c r="R6" t="s">
        <v>91</v>
      </c>
      <c r="S6" s="5">
        <v>0.80398330599942658</v>
      </c>
      <c r="T6" s="5">
        <v>0.86826942000576812</v>
      </c>
      <c r="U6" s="5">
        <v>0.86472767142362672</v>
      </c>
      <c r="Z6" s="7"/>
      <c r="AB6" s="5"/>
    </row>
    <row r="7" spans="1:56" x14ac:dyDescent="0.3">
      <c r="A7" t="s">
        <v>101</v>
      </c>
      <c r="C7" s="5">
        <v>0.88633741249941433</v>
      </c>
      <c r="D7" s="5">
        <v>0.42555483048042403</v>
      </c>
      <c r="E7">
        <v>200</v>
      </c>
      <c r="I7" s="1" t="s">
        <v>109</v>
      </c>
      <c r="J7" s="1">
        <f>AVERAGE(GETPIVOTDATA("Mean RTs",$A$3,"condition","Emotional-I","participant","P1"),GETPIVOTDATA("Mean RTs",$A$3,"condition","Emotional-I","participant","P2"),GETPIVOTDATA("Mean RTs",$A$3,"condition","Emotional-I","participant","P3"),GETPIVOTDATA("Mean RTs",$A$3,"condition","Emotional-I","participant","P4"),GETPIVOTDATA("Mean RTs",$A$3,"condition","Emotional-I","participant","P5"))</f>
        <v>0.85671643885584159</v>
      </c>
      <c r="K7" s="1">
        <f>_xlfn.STDEV.S(GETPIVOTDATA("SD",$A$3,"condition","Emotional-I","participant","P1"),GETPIVOTDATA("SD",$A$3,"condition","Emotional-I","participant","P2"),GETPIVOTDATA("SD",$A$3,"condition","Emotional-I","participant","P3"),GETPIVOTDATA("SD",$A$3,"condition","Emotional-I","participant","P4"),GETPIVOTDATA("SD",$A$3,"condition","Emotional-I","participant","P5"))</f>
        <v>0.1710031243379857</v>
      </c>
      <c r="R7" t="s">
        <v>92</v>
      </c>
      <c r="S7" s="5">
        <v>0.81968688000226309</v>
      </c>
      <c r="T7" s="5">
        <v>0.65031127333058925</v>
      </c>
      <c r="U7" s="5">
        <v>0.80802682714586571</v>
      </c>
      <c r="Z7" s="7"/>
      <c r="AB7" s="5"/>
    </row>
    <row r="8" spans="1:56" x14ac:dyDescent="0.3">
      <c r="A8" t="s">
        <v>91</v>
      </c>
      <c r="C8" s="5"/>
      <c r="D8" s="5"/>
      <c r="R8" t="s">
        <v>93</v>
      </c>
      <c r="S8" s="5">
        <v>0.77503063400159533</v>
      </c>
      <c r="T8" s="5">
        <v>0.63278054667171035</v>
      </c>
      <c r="U8" s="5">
        <v>0.91307089285775223</v>
      </c>
      <c r="Z8" s="7"/>
      <c r="AB8" s="5"/>
    </row>
    <row r="9" spans="1:56" x14ac:dyDescent="0.3">
      <c r="B9" t="s">
        <v>96</v>
      </c>
      <c r="C9" s="5">
        <v>0.86826942000576812</v>
      </c>
      <c r="D9" s="5">
        <v>0.54385951396207022</v>
      </c>
      <c r="E9">
        <v>30</v>
      </c>
      <c r="R9" t="s">
        <v>94</v>
      </c>
      <c r="S9" s="5">
        <v>0.7111425109981786</v>
      </c>
      <c r="T9" s="5">
        <v>0.69066954999774033</v>
      </c>
      <c r="U9" s="5">
        <v>0.78234821856437542</v>
      </c>
      <c r="Z9" s="7"/>
      <c r="AA9" s="7"/>
      <c r="AB9" s="8"/>
    </row>
    <row r="10" spans="1:56" x14ac:dyDescent="0.3">
      <c r="B10" t="s">
        <v>97</v>
      </c>
      <c r="C10" s="5">
        <v>0.86472767142362672</v>
      </c>
      <c r="D10" s="5">
        <v>0.35151027537011054</v>
      </c>
      <c r="E10">
        <v>70</v>
      </c>
      <c r="Z10" s="7"/>
      <c r="AB10" s="5"/>
    </row>
    <row r="11" spans="1:56" x14ac:dyDescent="0.3">
      <c r="B11" t="s">
        <v>98</v>
      </c>
      <c r="C11" s="5">
        <v>0.80398330599942658</v>
      </c>
      <c r="D11" s="5">
        <v>0.38061845696762237</v>
      </c>
      <c r="E11">
        <v>100</v>
      </c>
      <c r="Z11" s="7"/>
      <c r="AB11" s="5"/>
      <c r="AK11" s="9"/>
      <c r="AL11" s="9"/>
      <c r="AM11" s="9"/>
      <c r="AN11" s="9"/>
      <c r="AO11" s="9"/>
      <c r="AT11" s="9"/>
      <c r="AU11" s="9"/>
      <c r="AV11" s="9"/>
      <c r="AX11" s="9"/>
      <c r="AY11" s="9"/>
      <c r="AZ11" s="9"/>
      <c r="BB11" s="9"/>
      <c r="BC11" s="9"/>
      <c r="BD11" s="9"/>
    </row>
    <row r="12" spans="1:56" x14ac:dyDescent="0.3">
      <c r="A12" t="s">
        <v>102</v>
      </c>
      <c r="C12" s="5">
        <v>0.83488675099884802</v>
      </c>
      <c r="D12" s="5">
        <v>0.39872128662023232</v>
      </c>
      <c r="E12">
        <v>200</v>
      </c>
      <c r="Z12" s="7"/>
      <c r="AB12" s="5"/>
    </row>
    <row r="13" spans="1:56" x14ac:dyDescent="0.3">
      <c r="A13" t="s">
        <v>92</v>
      </c>
      <c r="C13" s="5"/>
      <c r="D13" s="5"/>
      <c r="Z13" s="7"/>
      <c r="AB13" s="5"/>
    </row>
    <row r="14" spans="1:56" x14ac:dyDescent="0.3">
      <c r="B14" t="s">
        <v>96</v>
      </c>
      <c r="C14" s="5">
        <v>0.65031127333058925</v>
      </c>
      <c r="D14" s="5">
        <v>0.18921390521400602</v>
      </c>
      <c r="E14">
        <v>30</v>
      </c>
      <c r="Z14" s="7"/>
      <c r="AA14" s="7"/>
      <c r="AB14" s="8"/>
    </row>
    <row r="15" spans="1:56" x14ac:dyDescent="0.3">
      <c r="B15" t="s">
        <v>97</v>
      </c>
      <c r="C15" s="5">
        <v>0.80802682714586571</v>
      </c>
      <c r="D15" s="5">
        <v>0.40983929944126396</v>
      </c>
      <c r="E15">
        <v>70</v>
      </c>
      <c r="Z15" s="7"/>
      <c r="AB15" s="5"/>
    </row>
    <row r="16" spans="1:56" x14ac:dyDescent="0.3">
      <c r="B16" t="s">
        <v>98</v>
      </c>
      <c r="C16" s="5">
        <v>0.81968688000226309</v>
      </c>
      <c r="D16" s="5">
        <v>0.32935578525800768</v>
      </c>
      <c r="E16">
        <v>100</v>
      </c>
      <c r="Z16" s="7"/>
      <c r="AB16" s="5"/>
    </row>
    <row r="17" spans="1:43" x14ac:dyDescent="0.3">
      <c r="A17" t="s">
        <v>103</v>
      </c>
      <c r="C17" s="5">
        <v>0.79019952050177311</v>
      </c>
      <c r="D17" s="5">
        <v>0.3477376385199602</v>
      </c>
      <c r="E17">
        <v>200</v>
      </c>
      <c r="Z17" s="7"/>
      <c r="AB17" s="5"/>
    </row>
    <row r="18" spans="1:43" x14ac:dyDescent="0.3">
      <c r="A18" t="s">
        <v>93</v>
      </c>
      <c r="C18" s="5"/>
      <c r="D18" s="5"/>
      <c r="Z18" s="7"/>
      <c r="AB18" s="5"/>
      <c r="AK18" s="9"/>
      <c r="AL18" s="9"/>
      <c r="AM18" s="9"/>
      <c r="AN18" s="9"/>
      <c r="AO18" s="9"/>
      <c r="AP18" s="9"/>
      <c r="AQ18" s="9"/>
    </row>
    <row r="19" spans="1:43" x14ac:dyDescent="0.3">
      <c r="B19" t="s">
        <v>96</v>
      </c>
      <c r="C19" s="5">
        <v>0.63278054667171035</v>
      </c>
      <c r="D19" s="5">
        <v>0.18221428523366057</v>
      </c>
      <c r="E19">
        <v>30</v>
      </c>
      <c r="Z19" s="7"/>
      <c r="AA19" s="7"/>
      <c r="AB19" s="8"/>
    </row>
    <row r="20" spans="1:43" x14ac:dyDescent="0.3">
      <c r="B20" t="s">
        <v>97</v>
      </c>
      <c r="C20" s="5">
        <v>0.91307089285775223</v>
      </c>
      <c r="D20" s="5">
        <v>0.69337814045201807</v>
      </c>
      <c r="E20">
        <v>70</v>
      </c>
      <c r="Z20" s="7"/>
      <c r="AB20" s="5"/>
    </row>
    <row r="21" spans="1:43" x14ac:dyDescent="0.3">
      <c r="B21" t="s">
        <v>98</v>
      </c>
      <c r="C21" s="5">
        <v>0.77503063400159533</v>
      </c>
      <c r="D21" s="5">
        <v>0.30787959762300043</v>
      </c>
      <c r="E21">
        <v>100</v>
      </c>
      <c r="Z21" s="7"/>
      <c r="AB21" s="5"/>
    </row>
    <row r="22" spans="1:43" x14ac:dyDescent="0.3">
      <c r="A22" t="s">
        <v>104</v>
      </c>
      <c r="C22" s="5">
        <v>0.80200721150176746</v>
      </c>
      <c r="D22" s="5">
        <v>0.47719749017731622</v>
      </c>
      <c r="E22">
        <v>200</v>
      </c>
      <c r="Z22" s="7"/>
      <c r="AB22" s="5"/>
    </row>
    <row r="23" spans="1:43" x14ac:dyDescent="0.3">
      <c r="A23" t="s">
        <v>94</v>
      </c>
      <c r="C23" s="5"/>
      <c r="D23" s="5"/>
      <c r="Z23" s="7"/>
      <c r="AB23" s="5"/>
    </row>
    <row r="24" spans="1:43" x14ac:dyDescent="0.3">
      <c r="B24" t="s">
        <v>96</v>
      </c>
      <c r="C24" s="5">
        <v>0.69066954999774033</v>
      </c>
      <c r="D24" s="5">
        <v>0.16209176570162975</v>
      </c>
      <c r="E24">
        <v>30</v>
      </c>
      <c r="Z24" s="7"/>
      <c r="AA24" s="7"/>
      <c r="AB24" s="8"/>
    </row>
    <row r="25" spans="1:43" x14ac:dyDescent="0.3">
      <c r="B25" t="s">
        <v>97</v>
      </c>
      <c r="C25" s="5">
        <v>0.78234821856437542</v>
      </c>
      <c r="D25" s="5">
        <v>0.23739758416045292</v>
      </c>
      <c r="E25">
        <v>70</v>
      </c>
      <c r="Z25" s="7"/>
      <c r="AB25" s="5"/>
    </row>
    <row r="26" spans="1:43" x14ac:dyDescent="0.3">
      <c r="B26" t="s">
        <v>98</v>
      </c>
      <c r="C26" s="5">
        <v>0.7111425109981786</v>
      </c>
      <c r="D26" s="5">
        <v>0.19838973495696335</v>
      </c>
      <c r="E26">
        <v>100</v>
      </c>
      <c r="Z26" s="7"/>
      <c r="AB26" s="5"/>
    </row>
    <row r="27" spans="1:43" x14ac:dyDescent="0.3">
      <c r="B27" t="s">
        <v>99</v>
      </c>
      <c r="C27" s="5"/>
      <c r="D27" s="5"/>
      <c r="Z27" s="7"/>
      <c r="AB27" s="5"/>
    </row>
    <row r="28" spans="1:43" x14ac:dyDescent="0.3">
      <c r="A28" t="s">
        <v>105</v>
      </c>
      <c r="C28" s="5">
        <v>0.73299356449628195</v>
      </c>
      <c r="D28" s="5">
        <v>0.21051626212863239</v>
      </c>
      <c r="E28">
        <v>200</v>
      </c>
      <c r="Z28" s="7"/>
      <c r="AB28" s="5"/>
    </row>
    <row r="29" spans="1:43" x14ac:dyDescent="0.3">
      <c r="A29" t="s">
        <v>95</v>
      </c>
      <c r="C29" s="5">
        <v>0.80928489199961751</v>
      </c>
      <c r="D29" s="5">
        <v>0.3854710092878903</v>
      </c>
      <c r="E29">
        <v>1000</v>
      </c>
      <c r="Z29" s="7"/>
      <c r="AB29" s="5"/>
    </row>
    <row r="30" spans="1:43" x14ac:dyDescent="0.3">
      <c r="Z30" s="7"/>
      <c r="AA30" s="7"/>
      <c r="AB30" s="8"/>
    </row>
    <row r="31" spans="1:43" x14ac:dyDescent="0.3">
      <c r="Z31" s="7"/>
      <c r="AA31" s="7"/>
      <c r="AB31" s="8"/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P1</vt:lpstr>
      <vt:lpstr>P2</vt:lpstr>
      <vt:lpstr>P3</vt:lpstr>
      <vt:lpstr>P4</vt:lpstr>
      <vt:lpstr>P5</vt:lpstr>
      <vt:lpstr>Final Analysis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Harshitta Gupta</dc:creator>
  <cp:lastModifiedBy>Harshitta Gupta</cp:lastModifiedBy>
  <dcterms:created xsi:type="dcterms:W3CDTF">2025-11-19T12:40:41Z</dcterms:created>
  <dcterms:modified xsi:type="dcterms:W3CDTF">2025-11-22T08:09:28Z</dcterms:modified>
</cp:coreProperties>
</file>