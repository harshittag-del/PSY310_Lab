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19C64AF9-7EBF-40BB-9A16-8A7BC5C8ED25}" xr6:coauthVersionLast="47" xr6:coauthVersionMax="47" xr10:uidLastSave="{00000000-0000-0000-0000-000000000000}"/>
  <bookViews>
    <workbookView xWindow="-108" yWindow="-108" windowWidth="23256" windowHeight="12456" activeTab="4" xr2:uid="{74F7176D-90CA-4B27-BEB2-3FE7CCC5D18F}"/>
  </bookViews>
  <sheets>
    <sheet name="Raw (1st)" sheetId="1" r:id="rId1"/>
    <sheet name="Raw(2nd)" sheetId="2" r:id="rId2"/>
    <sheet name="Raw(3rd)" sheetId="3" r:id="rId3"/>
    <sheet name="Raw(4th)" sheetId="4" r:id="rId4"/>
    <sheet name="Data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C34" i="5"/>
  <c r="D33" i="5"/>
  <c r="C33" i="5"/>
  <c r="D32" i="5"/>
  <c r="C32" i="5"/>
  <c r="D30" i="5"/>
  <c r="C30" i="5"/>
  <c r="D29" i="5"/>
  <c r="C29" i="5"/>
  <c r="D28" i="5"/>
  <c r="C28" i="5"/>
  <c r="D27" i="5"/>
  <c r="C27" i="5"/>
</calcChain>
</file>

<file path=xl/sharedStrings.xml><?xml version="1.0" encoding="utf-8"?>
<sst xmlns="http://schemas.openxmlformats.org/spreadsheetml/2006/main" count="1354" uniqueCount="73">
  <si>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</si>
  <si>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</si>
  <si>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</si>
  <si>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</si>
  <si>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</si>
  <si>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</si>
  <si>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</si>
  <si>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</si>
  <si>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</si>
  <si>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</si>
  <si>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</si>
  <si>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</si>
  <si>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</si>
  <si>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</si>
  <si>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</si>
  <si>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</si>
  <si>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</si>
  <si>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</si>
  <si>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</si>
  <si>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</si>
  <si>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</si>
  <si>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</si>
  <si>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</si>
  <si>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</si>
  <si>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</si>
  <si>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text.stopped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</si>
  <si>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</si>
  <si>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</si>
  <si>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</si>
  <si>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</si>
  <si>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</si>
  <si>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</si>
  <si>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</si>
  <si>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</si>
  <si>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</si>
  <si>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</si>
  <si>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</si>
  <si>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</si>
  <si>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</si>
  <si>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</si>
  <si>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</si>
  <si>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</si>
  <si>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</si>
  <si>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2025-08-24_18h24.16.866</t>
  </si>
  <si>
    <t>stroop</t>
  </si>
  <si>
    <t>2025.1.1</t>
  </si>
  <si>
    <t>None</t>
  </si>
  <si>
    <t>2025-08-24 18h24.28.615349 +0530</t>
  </si>
  <si>
    <t>BLUE</t>
  </si>
  <si>
    <t>blue</t>
  </si>
  <si>
    <t>C</t>
  </si>
  <si>
    <t>b</t>
  </si>
  <si>
    <t>RED</t>
  </si>
  <si>
    <t>red</t>
  </si>
  <si>
    <t>r</t>
  </si>
  <si>
    <t>I</t>
  </si>
  <si>
    <t>2025-08-24_18h25.35.305</t>
  </si>
  <si>
    <t>2025-08-24 18h25.42.933566 +0530</t>
  </si>
  <si>
    <t>2025-08-24_18h26.19.144</t>
  </si>
  <si>
    <t>2025-08-24 18h26.25.683965 +0530</t>
  </si>
  <si>
    <t>2025-08-24_18h26.57.692</t>
  </si>
  <si>
    <t>2025-08-24 18h27.04.857526 +0530</t>
  </si>
  <si>
    <t>1st</t>
  </si>
  <si>
    <t>2nd</t>
  </si>
  <si>
    <t>3rd</t>
  </si>
  <si>
    <t>4th</t>
  </si>
  <si>
    <t>Participants</t>
  </si>
  <si>
    <t>Congruent</t>
  </si>
  <si>
    <t>Incongruent</t>
  </si>
  <si>
    <t>Grand Mean</t>
  </si>
  <si>
    <t>Standard Deviation</t>
  </si>
  <si>
    <t>Standard Error</t>
  </si>
  <si>
    <t>Grand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</si>
</sst>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Stroop</a:t>
            </a:r>
            <a:r>
              <a:rPr lang="en-US" baseline="0"/>
              <a:t>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Analysis'!$H$27</c:f>
              <c:strCache>
                <c:ptCount val="1"/>
                <c:pt idx="0">
                  <c:v>Grand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'Data Analysis'!$I$26:$J$26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'Data Analysis'!$I$27:$J$27</c:f>
              <c:numCache>
                <c:formatCode>General</c:formatCode>
                <c:ptCount val="2"/>
                <c:pt idx="0">
                  <c:v>0.71701000000000004</c:v>
                </c:pt>
                <c:pt idx="1">
                  <c:v>0.60497000000000001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9-4F7E-9A57-F0502790114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494703"/>
        <c:axId val="98155663"/>
      </c:barChart>
      <c:catAx>
        <c:axId val="213049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Congruency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5663"/>
        <c:crosses val="autoZero"/>
        <c:auto val="1"/>
        <c:lblAlgn val="ctr"/>
        <c:lblOffset val="100"/>
        <c:noMultiLvlLbl val="0"/>
      </c:catAx>
      <c:valAx>
        <c:axId val="981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(RT)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9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225489</xdr:colOff>
      <xdr:row>28</xdr:row>
      <xdr:rowOff>777</xdr:rowOff>
    </xdr:from>
    <xdr:to>
      <xdr:col>12</xdr:col>
      <xdr:colOff>552061</xdr:colOff>
      <xdr:row>42</xdr:row>
      <xdr:rowOff>131406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71AF4-C9A6-49D9-8B04-6DD0D8D51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0A63-0098-4CAA-A5D4-57502BE5E7CB}">
  <dimension ref="A1:AQ23"/>
  <sheetViews>
    <sheetView defaultGridColor="0" colorId="8" workbookViewId="0">
      <selection activeCell="I1" sqref="I1:I1048576"/>
    </sheetView>
  </sheetViews>
  <sheetFormatPr defaultRowHeight="14.4" x14ac:dyDescent="0.3"/>
  <cols>
    <col min="3" max="3" width="11.664062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48</v>
      </c>
      <c r="B2" t="s">
        <v>49</v>
      </c>
      <c r="C2" t="s">
        <v>50</v>
      </c>
      <c r="D2" t="s">
        <v>51</v>
      </c>
      <c r="E2">
        <v>0</v>
      </c>
      <c r="F2">
        <v>0</v>
      </c>
      <c r="G2">
        <v>0</v>
      </c>
      <c r="H2" t="s">
        <v>51</v>
      </c>
      <c r="I2">
        <v>1</v>
      </c>
      <c r="J2">
        <v>8.9468512000166793</v>
      </c>
      <c r="K2" t="s">
        <v>46</v>
      </c>
      <c r="L2">
        <v>0</v>
      </c>
      <c r="M2">
        <v>0</v>
      </c>
      <c r="N2">
        <v>0</v>
      </c>
      <c r="O2">
        <v>3</v>
      </c>
      <c r="P2">
        <v>1.0279312999918999</v>
      </c>
      <c r="U2">
        <v>1.0229264000081399</v>
      </c>
      <c r="V2">
        <v>1.0279312999918999</v>
      </c>
      <c r="W2">
        <v>1.5081154999788799</v>
      </c>
      <c r="X2">
        <v>1.5081154999788799</v>
      </c>
      <c r="Y2">
        <v>1.5081154999788799</v>
      </c>
      <c r="Z2">
        <v>5.9949747999780802</v>
      </c>
      <c r="AA2">
        <v>10.485464799974499</v>
      </c>
      <c r="AB2" t="s">
        <v>51</v>
      </c>
      <c r="AC2">
        <v>1</v>
      </c>
      <c r="AD2">
        <v>8.9468512000166793</v>
      </c>
      <c r="AE2" t="s">
        <v>46</v>
      </c>
      <c r="AJ2">
        <v>1</v>
      </c>
      <c r="AK2">
        <v>1</v>
      </c>
      <c r="AL2" t="s">
        <v>43</v>
      </c>
      <c r="AM2" t="s">
        <v>44</v>
      </c>
      <c r="AO2" t="s">
        <v>45</v>
      </c>
      <c r="AP2" t="s">
        <v>46</v>
      </c>
      <c r="AQ2" t="s">
        <v>47</v>
      </c>
    </row>
    <row r="3" spans="1:43" x14ac:dyDescent="0.3">
      <c r="A3" t="s">
        <v>52</v>
      </c>
      <c r="B3" t="s">
        <v>53</v>
      </c>
      <c r="C3" t="s">
        <v>50</v>
      </c>
      <c r="D3" t="s">
        <v>54</v>
      </c>
      <c r="E3">
        <v>1</v>
      </c>
      <c r="F3">
        <v>1</v>
      </c>
      <c r="G3">
        <v>0</v>
      </c>
      <c r="H3" t="s">
        <v>54</v>
      </c>
      <c r="I3">
        <v>1</v>
      </c>
      <c r="J3">
        <v>1.0670106000034101</v>
      </c>
      <c r="K3" t="s">
        <v>46</v>
      </c>
      <c r="L3">
        <v>0</v>
      </c>
      <c r="M3">
        <v>1</v>
      </c>
      <c r="N3">
        <v>1</v>
      </c>
      <c r="O3">
        <v>0</v>
      </c>
      <c r="P3">
        <v>10.5076792999752</v>
      </c>
      <c r="U3">
        <v>10.492733299965</v>
      </c>
      <c r="V3">
        <v>10.5076792999752</v>
      </c>
      <c r="W3">
        <v>10.987074799952</v>
      </c>
      <c r="X3">
        <v>10.987074799952</v>
      </c>
      <c r="Y3">
        <v>10.987074799952</v>
      </c>
      <c r="AA3">
        <v>12.067071500001401</v>
      </c>
      <c r="AB3" t="s">
        <v>54</v>
      </c>
      <c r="AC3">
        <v>1</v>
      </c>
      <c r="AD3">
        <v>1.0670106000034101</v>
      </c>
      <c r="AE3" t="s">
        <v>46</v>
      </c>
      <c r="AJ3">
        <v>1</v>
      </c>
      <c r="AK3">
        <v>1</v>
      </c>
      <c r="AL3" t="s">
        <v>43</v>
      </c>
      <c r="AM3" t="s">
        <v>44</v>
      </c>
      <c r="AO3" t="s">
        <v>45</v>
      </c>
      <c r="AP3" t="s">
        <v>46</v>
      </c>
      <c r="AQ3" t="s">
        <v>47</v>
      </c>
    </row>
    <row r="4" spans="1:43" x14ac:dyDescent="0.3">
      <c r="A4" t="s">
        <v>48</v>
      </c>
      <c r="B4" t="s">
        <v>49</v>
      </c>
      <c r="C4" t="s">
        <v>50</v>
      </c>
      <c r="D4" t="s">
        <v>51</v>
      </c>
      <c r="E4">
        <v>4</v>
      </c>
      <c r="F4">
        <v>0</v>
      </c>
      <c r="G4">
        <v>1</v>
      </c>
      <c r="H4" t="s">
        <v>51</v>
      </c>
      <c r="I4">
        <v>1</v>
      </c>
      <c r="J4">
        <v>0.74795470002572895</v>
      </c>
      <c r="K4" t="s">
        <v>46</v>
      </c>
      <c r="L4">
        <v>1</v>
      </c>
      <c r="M4">
        <v>0</v>
      </c>
      <c r="N4">
        <v>4</v>
      </c>
      <c r="O4">
        <v>3</v>
      </c>
      <c r="P4">
        <v>15.014717899961299</v>
      </c>
      <c r="U4">
        <v>15.0048144999891</v>
      </c>
      <c r="V4">
        <v>15.014717899961299</v>
      </c>
      <c r="W4">
        <v>15.5079926999751</v>
      </c>
      <c r="X4">
        <v>15.5079926999751</v>
      </c>
      <c r="Y4">
        <v>15.5079926999751</v>
      </c>
      <c r="AA4">
        <v>16.262029199977398</v>
      </c>
      <c r="AB4" t="s">
        <v>51</v>
      </c>
      <c r="AC4">
        <v>1</v>
      </c>
      <c r="AD4">
        <v>0.74795470002572895</v>
      </c>
      <c r="AE4" t="s">
        <v>46</v>
      </c>
      <c r="AJ4">
        <v>1</v>
      </c>
      <c r="AK4">
        <v>1</v>
      </c>
      <c r="AL4" t="s">
        <v>43</v>
      </c>
      <c r="AM4" t="s">
        <v>44</v>
      </c>
      <c r="AO4" t="s">
        <v>45</v>
      </c>
      <c r="AP4" t="s">
        <v>46</v>
      </c>
      <c r="AQ4" t="s">
        <v>47</v>
      </c>
    </row>
    <row r="5" spans="1:43" x14ac:dyDescent="0.3">
      <c r="A5" t="s">
        <v>52</v>
      </c>
      <c r="B5" t="s">
        <v>53</v>
      </c>
      <c r="C5" t="s">
        <v>50</v>
      </c>
      <c r="D5" t="s">
        <v>54</v>
      </c>
      <c r="E5">
        <v>6</v>
      </c>
      <c r="F5">
        <v>2</v>
      </c>
      <c r="G5">
        <v>1</v>
      </c>
      <c r="H5" t="s">
        <v>54</v>
      </c>
      <c r="I5">
        <v>1</v>
      </c>
      <c r="J5">
        <v>0.72641689999727499</v>
      </c>
      <c r="K5" t="s">
        <v>46</v>
      </c>
      <c r="L5">
        <v>1</v>
      </c>
      <c r="M5">
        <v>2</v>
      </c>
      <c r="N5">
        <v>6</v>
      </c>
      <c r="O5">
        <v>0</v>
      </c>
      <c r="P5">
        <v>17.604278199956699</v>
      </c>
      <c r="U5">
        <v>17.5965902999741</v>
      </c>
      <c r="V5">
        <v>17.604278199956699</v>
      </c>
      <c r="W5">
        <v>18.083686499972799</v>
      </c>
      <c r="X5">
        <v>18.083686499972799</v>
      </c>
      <c r="Y5">
        <v>18.083686499972799</v>
      </c>
      <c r="AA5">
        <v>18.816065699968</v>
      </c>
      <c r="AB5" t="s">
        <v>54</v>
      </c>
      <c r="AC5">
        <v>1</v>
      </c>
      <c r="AD5">
        <v>0.72641689999727499</v>
      </c>
      <c r="AE5" t="s">
        <v>46</v>
      </c>
      <c r="AJ5">
        <v>1</v>
      </c>
      <c r="AK5">
        <v>1</v>
      </c>
      <c r="AL5" t="s">
        <v>43</v>
      </c>
      <c r="AM5" t="s">
        <v>44</v>
      </c>
      <c r="AO5" t="s">
        <v>45</v>
      </c>
      <c r="AP5" t="s">
        <v>46</v>
      </c>
      <c r="AQ5" t="s">
        <v>47</v>
      </c>
    </row>
    <row r="6" spans="1:43" x14ac:dyDescent="0.3">
      <c r="A6" t="s">
        <v>48</v>
      </c>
      <c r="B6" t="s">
        <v>49</v>
      </c>
      <c r="C6" t="s">
        <v>50</v>
      </c>
      <c r="D6" t="s">
        <v>51</v>
      </c>
      <c r="E6">
        <v>8</v>
      </c>
      <c r="F6">
        <v>0</v>
      </c>
      <c r="G6">
        <v>2</v>
      </c>
      <c r="H6" t="s">
        <v>51</v>
      </c>
      <c r="I6">
        <v>1</v>
      </c>
      <c r="J6">
        <v>0.56999380001798206</v>
      </c>
      <c r="K6" t="s">
        <v>46</v>
      </c>
      <c r="L6">
        <v>2</v>
      </c>
      <c r="M6">
        <v>0</v>
      </c>
      <c r="N6">
        <v>8</v>
      </c>
      <c r="O6">
        <v>3</v>
      </c>
      <c r="P6">
        <v>20.048677299986501</v>
      </c>
      <c r="U6">
        <v>20.041592800000199</v>
      </c>
      <c r="V6">
        <v>20.048677299986501</v>
      </c>
      <c r="W6">
        <v>20.535067699966</v>
      </c>
      <c r="X6">
        <v>20.535067699966</v>
      </c>
      <c r="Y6">
        <v>20.535067699966</v>
      </c>
      <c r="AA6">
        <v>21.1078605999937</v>
      </c>
      <c r="AB6" t="s">
        <v>51</v>
      </c>
      <c r="AC6">
        <v>1</v>
      </c>
      <c r="AD6">
        <v>0.56999380001798206</v>
      </c>
      <c r="AE6" t="s">
        <v>46</v>
      </c>
      <c r="AJ6">
        <v>1</v>
      </c>
      <c r="AK6">
        <v>1</v>
      </c>
      <c r="AL6" t="s">
        <v>43</v>
      </c>
      <c r="AM6" t="s">
        <v>44</v>
      </c>
      <c r="AO6" t="s">
        <v>45</v>
      </c>
      <c r="AP6" t="s">
        <v>46</v>
      </c>
      <c r="AQ6" t="s">
        <v>47</v>
      </c>
    </row>
    <row r="7" spans="1:43" x14ac:dyDescent="0.3">
      <c r="A7" t="s">
        <v>52</v>
      </c>
      <c r="B7" t="s">
        <v>53</v>
      </c>
      <c r="C7" t="s">
        <v>50</v>
      </c>
      <c r="D7" t="s">
        <v>54</v>
      </c>
      <c r="E7">
        <v>10</v>
      </c>
      <c r="F7">
        <v>2</v>
      </c>
      <c r="G7">
        <v>2</v>
      </c>
      <c r="H7" t="s">
        <v>54</v>
      </c>
      <c r="I7">
        <v>1</v>
      </c>
      <c r="J7">
        <v>0.48178530001314301</v>
      </c>
      <c r="K7" t="s">
        <v>46</v>
      </c>
      <c r="L7">
        <v>2</v>
      </c>
      <c r="M7">
        <v>2</v>
      </c>
      <c r="N7">
        <v>10</v>
      </c>
      <c r="O7">
        <v>0</v>
      </c>
      <c r="P7">
        <v>22.083670699968899</v>
      </c>
      <c r="U7">
        <v>22.073639699956399</v>
      </c>
      <c r="V7">
        <v>22.083670699968899</v>
      </c>
      <c r="W7">
        <v>22.570369599969101</v>
      </c>
      <c r="X7">
        <v>22.570369599969101</v>
      </c>
      <c r="Y7">
        <v>22.570369599969101</v>
      </c>
      <c r="AA7">
        <v>23.059482399956298</v>
      </c>
      <c r="AB7" t="s">
        <v>54</v>
      </c>
      <c r="AC7">
        <v>1</v>
      </c>
      <c r="AD7">
        <v>0.48178530001314301</v>
      </c>
      <c r="AE7" t="s">
        <v>46</v>
      </c>
      <c r="AJ7">
        <v>1</v>
      </c>
      <c r="AK7">
        <v>1</v>
      </c>
      <c r="AL7" t="s">
        <v>43</v>
      </c>
      <c r="AM7" t="s">
        <v>44</v>
      </c>
      <c r="AO7" t="s">
        <v>45</v>
      </c>
      <c r="AP7" t="s">
        <v>46</v>
      </c>
      <c r="AQ7" t="s">
        <v>47</v>
      </c>
    </row>
    <row r="8" spans="1:43" x14ac:dyDescent="0.3">
      <c r="A8" t="s">
        <v>52</v>
      </c>
      <c r="B8" t="s">
        <v>53</v>
      </c>
      <c r="C8" t="s">
        <v>50</v>
      </c>
      <c r="D8" t="s">
        <v>54</v>
      </c>
      <c r="E8">
        <v>12</v>
      </c>
      <c r="F8">
        <v>0</v>
      </c>
      <c r="G8">
        <v>3</v>
      </c>
      <c r="H8" t="s">
        <v>54</v>
      </c>
      <c r="I8">
        <v>1</v>
      </c>
      <c r="J8">
        <v>0.35902989999158302</v>
      </c>
      <c r="K8" t="s">
        <v>46</v>
      </c>
      <c r="L8">
        <v>3</v>
      </c>
      <c r="M8">
        <v>0</v>
      </c>
      <c r="N8">
        <v>12</v>
      </c>
      <c r="O8">
        <v>0</v>
      </c>
      <c r="P8">
        <v>23.9722420999896</v>
      </c>
      <c r="U8">
        <v>23.964334399963199</v>
      </c>
      <c r="V8">
        <v>23.9722420999896</v>
      </c>
      <c r="W8">
        <v>24.4590763999731</v>
      </c>
      <c r="X8">
        <v>24.4590763999731</v>
      </c>
      <c r="Y8">
        <v>24.4590763999731</v>
      </c>
      <c r="AA8">
        <v>24.823262099991499</v>
      </c>
      <c r="AB8" t="s">
        <v>54</v>
      </c>
      <c r="AC8">
        <v>1</v>
      </c>
      <c r="AD8">
        <v>0.35902989999158302</v>
      </c>
      <c r="AE8" t="s">
        <v>46</v>
      </c>
      <c r="AJ8">
        <v>1</v>
      </c>
      <c r="AK8">
        <v>1</v>
      </c>
      <c r="AL8" t="s">
        <v>43</v>
      </c>
      <c r="AM8" t="s">
        <v>44</v>
      </c>
      <c r="AO8" t="s">
        <v>45</v>
      </c>
      <c r="AP8" t="s">
        <v>46</v>
      </c>
      <c r="AQ8" t="s">
        <v>47</v>
      </c>
    </row>
    <row r="9" spans="1:43" x14ac:dyDescent="0.3">
      <c r="A9" t="s">
        <v>48</v>
      </c>
      <c r="B9" t="s">
        <v>49</v>
      </c>
      <c r="C9" t="s">
        <v>50</v>
      </c>
      <c r="D9" t="s">
        <v>51</v>
      </c>
      <c r="E9">
        <v>14</v>
      </c>
      <c r="F9">
        <v>2</v>
      </c>
      <c r="G9">
        <v>3</v>
      </c>
      <c r="H9" t="s">
        <v>51</v>
      </c>
      <c r="I9">
        <v>1</v>
      </c>
      <c r="J9">
        <v>0.377896399993915</v>
      </c>
      <c r="K9" t="s">
        <v>46</v>
      </c>
      <c r="L9">
        <v>3</v>
      </c>
      <c r="M9">
        <v>2</v>
      </c>
      <c r="N9">
        <v>14</v>
      </c>
      <c r="O9">
        <v>3</v>
      </c>
      <c r="P9">
        <v>25.937956299982002</v>
      </c>
      <c r="U9">
        <v>25.9296364999609</v>
      </c>
      <c r="V9">
        <v>25.937956299982002</v>
      </c>
      <c r="W9">
        <v>26.417336799960999</v>
      </c>
      <c r="X9">
        <v>26.417336799960999</v>
      </c>
      <c r="Y9">
        <v>26.417336799960999</v>
      </c>
      <c r="AA9">
        <v>26.802754000003901</v>
      </c>
      <c r="AB9" t="s">
        <v>51</v>
      </c>
      <c r="AC9">
        <v>1</v>
      </c>
      <c r="AD9">
        <v>0.377896399993915</v>
      </c>
      <c r="AE9" t="s">
        <v>46</v>
      </c>
      <c r="AJ9">
        <v>1</v>
      </c>
      <c r="AK9">
        <v>1</v>
      </c>
      <c r="AL9" t="s">
        <v>43</v>
      </c>
      <c r="AM9" t="s">
        <v>44</v>
      </c>
      <c r="AO9" t="s">
        <v>45</v>
      </c>
      <c r="AP9" t="s">
        <v>46</v>
      </c>
      <c r="AQ9" t="s">
        <v>47</v>
      </c>
    </row>
    <row r="10" spans="1:43" x14ac:dyDescent="0.3">
      <c r="A10" t="s">
        <v>52</v>
      </c>
      <c r="B10" t="s">
        <v>53</v>
      </c>
      <c r="C10" t="s">
        <v>50</v>
      </c>
      <c r="D10" t="s">
        <v>54</v>
      </c>
      <c r="E10">
        <v>16</v>
      </c>
      <c r="F10">
        <v>0</v>
      </c>
      <c r="G10">
        <v>4</v>
      </c>
      <c r="H10" t="s">
        <v>54</v>
      </c>
      <c r="I10">
        <v>1</v>
      </c>
      <c r="J10">
        <v>1.123900400009</v>
      </c>
      <c r="K10" t="s">
        <v>46</v>
      </c>
      <c r="L10">
        <v>4</v>
      </c>
      <c r="M10">
        <v>0</v>
      </c>
      <c r="N10">
        <v>16</v>
      </c>
      <c r="O10">
        <v>0</v>
      </c>
      <c r="P10">
        <v>27.9171484999824</v>
      </c>
      <c r="U10">
        <v>27.908249799977</v>
      </c>
      <c r="V10">
        <v>27.9171484999824</v>
      </c>
      <c r="W10">
        <v>28.396469099971</v>
      </c>
      <c r="X10">
        <v>28.396469099971</v>
      </c>
      <c r="Y10">
        <v>28.396469099971</v>
      </c>
      <c r="AA10">
        <v>29.524648399965301</v>
      </c>
      <c r="AB10" t="s">
        <v>54</v>
      </c>
      <c r="AC10">
        <v>1</v>
      </c>
      <c r="AD10">
        <v>1.123900400009</v>
      </c>
      <c r="AE10" t="s">
        <v>46</v>
      </c>
      <c r="AJ10">
        <v>1</v>
      </c>
      <c r="AK10">
        <v>1</v>
      </c>
      <c r="AL10" t="s">
        <v>43</v>
      </c>
      <c r="AM10" t="s">
        <v>44</v>
      </c>
      <c r="AO10" t="s">
        <v>45</v>
      </c>
      <c r="AP10" t="s">
        <v>46</v>
      </c>
      <c r="AQ10" t="s">
        <v>47</v>
      </c>
    </row>
    <row r="11" spans="1:43" x14ac:dyDescent="0.3">
      <c r="A11" t="s">
        <v>48</v>
      </c>
      <c r="B11" t="s">
        <v>49</v>
      </c>
      <c r="C11" t="s">
        <v>50</v>
      </c>
      <c r="D11" t="s">
        <v>51</v>
      </c>
      <c r="E11">
        <v>18</v>
      </c>
      <c r="F11">
        <v>2</v>
      </c>
      <c r="G11">
        <v>4</v>
      </c>
      <c r="H11" t="s">
        <v>51</v>
      </c>
      <c r="I11">
        <v>1</v>
      </c>
      <c r="J11">
        <v>0.56778779998421602</v>
      </c>
      <c r="K11" t="s">
        <v>46</v>
      </c>
      <c r="L11">
        <v>4</v>
      </c>
      <c r="M11">
        <v>2</v>
      </c>
      <c r="N11">
        <v>18</v>
      </c>
      <c r="O11">
        <v>3</v>
      </c>
      <c r="P11">
        <v>30.743180199991901</v>
      </c>
      <c r="U11">
        <v>30.733325399982199</v>
      </c>
      <c r="V11">
        <v>30.743180199991901</v>
      </c>
      <c r="W11">
        <v>31.2226863999967</v>
      </c>
      <c r="X11">
        <v>31.2226863999967</v>
      </c>
      <c r="Y11">
        <v>31.2226863999967</v>
      </c>
      <c r="AA11">
        <v>31.795257299963801</v>
      </c>
      <c r="AB11" t="s">
        <v>51</v>
      </c>
      <c r="AC11">
        <v>1</v>
      </c>
      <c r="AD11">
        <v>0.56778779998421602</v>
      </c>
      <c r="AE11" t="s">
        <v>46</v>
      </c>
      <c r="AJ11">
        <v>1</v>
      </c>
      <c r="AK11">
        <v>1</v>
      </c>
      <c r="AL11" t="s">
        <v>43</v>
      </c>
      <c r="AM11" t="s">
        <v>44</v>
      </c>
      <c r="AO11" t="s">
        <v>45</v>
      </c>
      <c r="AP11" t="s">
        <v>46</v>
      </c>
      <c r="AQ11" t="s">
        <v>47</v>
      </c>
    </row>
    <row r="12" spans="1:43" x14ac:dyDescent="0.3">
      <c r="A12" t="s">
        <v>52</v>
      </c>
      <c r="B12" t="s">
        <v>49</v>
      </c>
      <c r="C12" t="s">
        <v>55</v>
      </c>
      <c r="D12" t="s">
        <v>51</v>
      </c>
      <c r="E12">
        <v>2</v>
      </c>
      <c r="F12">
        <v>2</v>
      </c>
      <c r="G12">
        <v>0</v>
      </c>
      <c r="H12" t="s">
        <v>51</v>
      </c>
      <c r="I12">
        <v>1</v>
      </c>
      <c r="J12">
        <v>1.1099708999972699</v>
      </c>
      <c r="K12" t="s">
        <v>46</v>
      </c>
      <c r="L12">
        <v>0</v>
      </c>
      <c r="M12">
        <v>2</v>
      </c>
      <c r="N12">
        <v>2</v>
      </c>
      <c r="O12">
        <v>1</v>
      </c>
      <c r="P12">
        <v>12.0774491999764</v>
      </c>
      <c r="U12">
        <v>12.067607200006</v>
      </c>
      <c r="V12">
        <v>12.0774491999764</v>
      </c>
      <c r="W12">
        <v>12.5634510999661</v>
      </c>
      <c r="X12">
        <v>12.5634510999661</v>
      </c>
      <c r="Y12">
        <v>12.5634510999661</v>
      </c>
      <c r="AA12">
        <v>13.685163499962</v>
      </c>
      <c r="AB12" t="s">
        <v>51</v>
      </c>
      <c r="AC12">
        <v>1</v>
      </c>
      <c r="AD12">
        <v>1.1099708999972699</v>
      </c>
      <c r="AE12" t="s">
        <v>46</v>
      </c>
      <c r="AJ12">
        <v>1</v>
      </c>
      <c r="AK12">
        <v>1</v>
      </c>
      <c r="AL12" t="s">
        <v>43</v>
      </c>
      <c r="AM12" t="s">
        <v>44</v>
      </c>
      <c r="AO12" t="s">
        <v>45</v>
      </c>
      <c r="AP12" t="s">
        <v>46</v>
      </c>
      <c r="AQ12" t="s">
        <v>47</v>
      </c>
    </row>
    <row r="13" spans="1:43" x14ac:dyDescent="0.3">
      <c r="A13" t="s">
        <v>48</v>
      </c>
      <c r="B13" t="s">
        <v>53</v>
      </c>
      <c r="C13" t="s">
        <v>55</v>
      </c>
      <c r="D13" t="s">
        <v>54</v>
      </c>
      <c r="E13">
        <v>3</v>
      </c>
      <c r="F13">
        <v>3</v>
      </c>
      <c r="G13">
        <v>0</v>
      </c>
      <c r="H13" t="s">
        <v>54</v>
      </c>
      <c r="I13">
        <v>1</v>
      </c>
      <c r="J13">
        <v>0.81387089996133</v>
      </c>
      <c r="K13" t="s">
        <v>46</v>
      </c>
      <c r="L13">
        <v>0</v>
      </c>
      <c r="M13">
        <v>3</v>
      </c>
      <c r="N13">
        <v>3</v>
      </c>
      <c r="O13">
        <v>2</v>
      </c>
      <c r="P13">
        <v>13.695165699988101</v>
      </c>
      <c r="U13">
        <v>13.688406599976499</v>
      </c>
      <c r="V13">
        <v>13.695165699988101</v>
      </c>
      <c r="W13">
        <v>14.1814872999675</v>
      </c>
      <c r="X13">
        <v>14.1814872999675</v>
      </c>
      <c r="Y13">
        <v>14.1814872999675</v>
      </c>
      <c r="AA13">
        <v>15.0043335999944</v>
      </c>
      <c r="AB13" t="s">
        <v>54</v>
      </c>
      <c r="AC13">
        <v>1</v>
      </c>
      <c r="AD13">
        <v>0.81387089996133</v>
      </c>
      <c r="AE13" t="s">
        <v>46</v>
      </c>
      <c r="AJ13">
        <v>1</v>
      </c>
      <c r="AK13">
        <v>1</v>
      </c>
      <c r="AL13" t="s">
        <v>43</v>
      </c>
      <c r="AM13" t="s">
        <v>44</v>
      </c>
      <c r="AO13" t="s">
        <v>45</v>
      </c>
      <c r="AP13" t="s">
        <v>46</v>
      </c>
      <c r="AQ13" t="s">
        <v>47</v>
      </c>
    </row>
    <row r="14" spans="1:43" x14ac:dyDescent="0.3">
      <c r="A14" t="s">
        <v>48</v>
      </c>
      <c r="B14" t="s">
        <v>53</v>
      </c>
      <c r="C14" t="s">
        <v>55</v>
      </c>
      <c r="D14" t="s">
        <v>54</v>
      </c>
      <c r="E14">
        <v>5</v>
      </c>
      <c r="F14">
        <v>1</v>
      </c>
      <c r="G14">
        <v>1</v>
      </c>
      <c r="H14" t="s">
        <v>54</v>
      </c>
      <c r="I14">
        <v>1</v>
      </c>
      <c r="J14">
        <v>0.81714880000799806</v>
      </c>
      <c r="K14" t="s">
        <v>46</v>
      </c>
      <c r="L14">
        <v>1</v>
      </c>
      <c r="M14">
        <v>1</v>
      </c>
      <c r="N14">
        <v>5</v>
      </c>
      <c r="O14">
        <v>2</v>
      </c>
      <c r="P14">
        <v>16.271694399998498</v>
      </c>
      <c r="U14">
        <v>16.262891599966601</v>
      </c>
      <c r="V14">
        <v>16.271694399998498</v>
      </c>
      <c r="W14">
        <v>16.771701999998101</v>
      </c>
      <c r="X14">
        <v>16.771701999998101</v>
      </c>
      <c r="Y14">
        <v>16.771701999998101</v>
      </c>
      <c r="AA14">
        <v>17.593899199971901</v>
      </c>
      <c r="AB14" t="s">
        <v>54</v>
      </c>
      <c r="AC14">
        <v>1</v>
      </c>
      <c r="AD14">
        <v>0.81714880000799806</v>
      </c>
      <c r="AE14" t="s">
        <v>46</v>
      </c>
      <c r="AJ14">
        <v>1</v>
      </c>
      <c r="AK14">
        <v>1</v>
      </c>
      <c r="AL14" t="s">
        <v>43</v>
      </c>
      <c r="AM14" t="s">
        <v>44</v>
      </c>
      <c r="AO14" t="s">
        <v>45</v>
      </c>
      <c r="AP14" t="s">
        <v>46</v>
      </c>
      <c r="AQ14" t="s">
        <v>47</v>
      </c>
    </row>
    <row r="15" spans="1:43" x14ac:dyDescent="0.3">
      <c r="A15" t="s">
        <v>52</v>
      </c>
      <c r="B15" t="s">
        <v>49</v>
      </c>
      <c r="C15" t="s">
        <v>55</v>
      </c>
      <c r="D15" t="s">
        <v>51</v>
      </c>
      <c r="E15">
        <v>7</v>
      </c>
      <c r="F15">
        <v>3</v>
      </c>
      <c r="G15">
        <v>1</v>
      </c>
      <c r="H15" t="s">
        <v>51</v>
      </c>
      <c r="I15">
        <v>1</v>
      </c>
      <c r="J15">
        <v>0.72913410002365697</v>
      </c>
      <c r="K15" t="s">
        <v>46</v>
      </c>
      <c r="L15">
        <v>1</v>
      </c>
      <c r="M15">
        <v>3</v>
      </c>
      <c r="N15">
        <v>7</v>
      </c>
      <c r="O15">
        <v>1</v>
      </c>
      <c r="P15">
        <v>18.826440399978299</v>
      </c>
      <c r="U15">
        <v>18.816499499953299</v>
      </c>
      <c r="V15">
        <v>18.826440399978299</v>
      </c>
      <c r="W15">
        <v>19.306195299955998</v>
      </c>
      <c r="X15">
        <v>19.306195299955998</v>
      </c>
      <c r="Y15">
        <v>19.306195299955998</v>
      </c>
      <c r="AA15">
        <v>20.038704899954599</v>
      </c>
      <c r="AB15" t="s">
        <v>51</v>
      </c>
      <c r="AC15">
        <v>1</v>
      </c>
      <c r="AD15">
        <v>0.72913410002365697</v>
      </c>
      <c r="AE15" t="s">
        <v>46</v>
      </c>
      <c r="AJ15">
        <v>1</v>
      </c>
      <c r="AK15">
        <v>1</v>
      </c>
      <c r="AL15" t="s">
        <v>43</v>
      </c>
      <c r="AM15" t="s">
        <v>44</v>
      </c>
      <c r="AO15" t="s">
        <v>45</v>
      </c>
      <c r="AP15" t="s">
        <v>46</v>
      </c>
      <c r="AQ15" t="s">
        <v>47</v>
      </c>
    </row>
    <row r="16" spans="1:43" x14ac:dyDescent="0.3">
      <c r="A16" t="s">
        <v>52</v>
      </c>
      <c r="B16" t="s">
        <v>49</v>
      </c>
      <c r="C16" t="s">
        <v>55</v>
      </c>
      <c r="D16" t="s">
        <v>51</v>
      </c>
      <c r="E16">
        <v>9</v>
      </c>
      <c r="F16">
        <v>1</v>
      </c>
      <c r="G16">
        <v>2</v>
      </c>
      <c r="H16" t="s">
        <v>51</v>
      </c>
      <c r="I16">
        <v>1</v>
      </c>
      <c r="J16">
        <v>0.46374289999948798</v>
      </c>
      <c r="K16" t="s">
        <v>46</v>
      </c>
      <c r="L16">
        <v>2</v>
      </c>
      <c r="M16">
        <v>1</v>
      </c>
      <c r="N16">
        <v>9</v>
      </c>
      <c r="O16">
        <v>1</v>
      </c>
      <c r="P16">
        <v>21.1180716999806</v>
      </c>
      <c r="U16">
        <v>21.110552199999798</v>
      </c>
      <c r="V16">
        <v>21.1180716999806</v>
      </c>
      <c r="W16">
        <v>21.6046244999743</v>
      </c>
      <c r="X16">
        <v>21.6046244999743</v>
      </c>
      <c r="Y16">
        <v>21.6046244999743</v>
      </c>
      <c r="AA16">
        <v>22.0732146999798</v>
      </c>
      <c r="AB16" t="s">
        <v>51</v>
      </c>
      <c r="AC16">
        <v>1</v>
      </c>
      <c r="AD16">
        <v>0.46374289999948798</v>
      </c>
      <c r="AE16" t="s">
        <v>46</v>
      </c>
      <c r="AJ16">
        <v>1</v>
      </c>
      <c r="AK16">
        <v>1</v>
      </c>
      <c r="AL16" t="s">
        <v>43</v>
      </c>
      <c r="AM16" t="s">
        <v>44</v>
      </c>
      <c r="AO16" t="s">
        <v>45</v>
      </c>
      <c r="AP16" t="s">
        <v>46</v>
      </c>
      <c r="AQ16" t="s">
        <v>47</v>
      </c>
    </row>
    <row r="17" spans="1:43" x14ac:dyDescent="0.3">
      <c r="A17" t="s">
        <v>48</v>
      </c>
      <c r="B17" t="s">
        <v>53</v>
      </c>
      <c r="C17" t="s">
        <v>55</v>
      </c>
      <c r="D17" t="s">
        <v>54</v>
      </c>
      <c r="E17">
        <v>11</v>
      </c>
      <c r="F17">
        <v>3</v>
      </c>
      <c r="G17">
        <v>2</v>
      </c>
      <c r="H17" t="s">
        <v>54</v>
      </c>
      <c r="I17">
        <v>1</v>
      </c>
      <c r="J17">
        <v>0.39968370000133202</v>
      </c>
      <c r="K17" t="s">
        <v>46</v>
      </c>
      <c r="L17">
        <v>2</v>
      </c>
      <c r="M17">
        <v>3</v>
      </c>
      <c r="N17">
        <v>11</v>
      </c>
      <c r="O17">
        <v>2</v>
      </c>
      <c r="P17">
        <v>23.070309899980199</v>
      </c>
      <c r="U17">
        <v>23.0624911999912</v>
      </c>
      <c r="V17">
        <v>23.070309899980199</v>
      </c>
      <c r="W17">
        <v>23.5563145999913</v>
      </c>
      <c r="X17">
        <v>23.5563145999913</v>
      </c>
      <c r="Y17">
        <v>23.5563145999913</v>
      </c>
      <c r="AA17">
        <v>23.9621340999729</v>
      </c>
      <c r="AB17" t="s">
        <v>54</v>
      </c>
      <c r="AC17">
        <v>1</v>
      </c>
      <c r="AD17">
        <v>0.39968370000133202</v>
      </c>
      <c r="AE17" t="s">
        <v>46</v>
      </c>
      <c r="AJ17">
        <v>1</v>
      </c>
      <c r="AK17">
        <v>1</v>
      </c>
      <c r="AL17" t="s">
        <v>43</v>
      </c>
      <c r="AM17" t="s">
        <v>44</v>
      </c>
      <c r="AO17" t="s">
        <v>45</v>
      </c>
      <c r="AP17" t="s">
        <v>46</v>
      </c>
      <c r="AQ17" t="s">
        <v>47</v>
      </c>
    </row>
    <row r="18" spans="1:43" x14ac:dyDescent="0.3">
      <c r="A18" t="s">
        <v>52</v>
      </c>
      <c r="B18" t="s">
        <v>49</v>
      </c>
      <c r="C18" t="s">
        <v>55</v>
      </c>
      <c r="D18" t="s">
        <v>51</v>
      </c>
      <c r="E18">
        <v>13</v>
      </c>
      <c r="F18">
        <v>1</v>
      </c>
      <c r="G18">
        <v>3</v>
      </c>
      <c r="H18" t="s">
        <v>51</v>
      </c>
      <c r="I18">
        <v>1</v>
      </c>
      <c r="J18">
        <v>0.60896079998928998</v>
      </c>
      <c r="K18" t="s">
        <v>46</v>
      </c>
      <c r="L18">
        <v>3</v>
      </c>
      <c r="M18">
        <v>1</v>
      </c>
      <c r="N18">
        <v>13</v>
      </c>
      <c r="O18">
        <v>1</v>
      </c>
      <c r="P18">
        <v>24.833563099964501</v>
      </c>
      <c r="U18">
        <v>24.823688199976399</v>
      </c>
      <c r="V18">
        <v>24.833563099964501</v>
      </c>
      <c r="W18">
        <v>25.313239599985501</v>
      </c>
      <c r="X18">
        <v>25.313239599985501</v>
      </c>
      <c r="Y18">
        <v>25.313239599985501</v>
      </c>
      <c r="AA18">
        <v>25.927434899960598</v>
      </c>
      <c r="AB18" t="s">
        <v>51</v>
      </c>
      <c r="AC18">
        <v>1</v>
      </c>
      <c r="AD18">
        <v>0.60896079998928998</v>
      </c>
      <c r="AE18" t="s">
        <v>46</v>
      </c>
      <c r="AJ18">
        <v>1</v>
      </c>
      <c r="AK18">
        <v>1</v>
      </c>
      <c r="AL18" t="s">
        <v>43</v>
      </c>
      <c r="AM18" t="s">
        <v>44</v>
      </c>
      <c r="AO18" t="s">
        <v>45</v>
      </c>
      <c r="AP18" t="s">
        <v>46</v>
      </c>
      <c r="AQ18" t="s">
        <v>47</v>
      </c>
    </row>
    <row r="19" spans="1:43" x14ac:dyDescent="0.3">
      <c r="A19" t="s">
        <v>48</v>
      </c>
      <c r="B19" t="s">
        <v>53</v>
      </c>
      <c r="C19" t="s">
        <v>55</v>
      </c>
      <c r="D19" t="s">
        <v>54</v>
      </c>
      <c r="E19">
        <v>15</v>
      </c>
      <c r="F19">
        <v>3</v>
      </c>
      <c r="G19">
        <v>3</v>
      </c>
      <c r="H19" t="s">
        <v>54</v>
      </c>
      <c r="I19">
        <v>1</v>
      </c>
      <c r="J19">
        <v>0.60058559995377403</v>
      </c>
      <c r="K19" t="s">
        <v>46</v>
      </c>
      <c r="L19">
        <v>3</v>
      </c>
      <c r="M19">
        <v>3</v>
      </c>
      <c r="N19">
        <v>15</v>
      </c>
      <c r="O19">
        <v>2</v>
      </c>
      <c r="P19">
        <v>26.8130943999858</v>
      </c>
      <c r="U19">
        <v>26.8031770999659</v>
      </c>
      <c r="V19">
        <v>26.8130943999858</v>
      </c>
      <c r="W19">
        <v>27.299122700001998</v>
      </c>
      <c r="X19">
        <v>27.299122700001998</v>
      </c>
      <c r="Y19">
        <v>27.299122700001998</v>
      </c>
      <c r="AA19">
        <v>27.906147699977701</v>
      </c>
      <c r="AB19" t="s">
        <v>54</v>
      </c>
      <c r="AC19">
        <v>1</v>
      </c>
      <c r="AD19">
        <v>0.60058559995377403</v>
      </c>
      <c r="AE19" t="s">
        <v>46</v>
      </c>
      <c r="AJ19">
        <v>1</v>
      </c>
      <c r="AK19">
        <v>1</v>
      </c>
      <c r="AL19" t="s">
        <v>43</v>
      </c>
      <c r="AM19" t="s">
        <v>44</v>
      </c>
      <c r="AO19" t="s">
        <v>45</v>
      </c>
      <c r="AP19" t="s">
        <v>46</v>
      </c>
      <c r="AQ19" t="s">
        <v>47</v>
      </c>
    </row>
    <row r="20" spans="1:43" x14ac:dyDescent="0.3">
      <c r="A20" t="s">
        <v>48</v>
      </c>
      <c r="B20" t="s">
        <v>53</v>
      </c>
      <c r="C20" t="s">
        <v>55</v>
      </c>
      <c r="D20" t="s">
        <v>54</v>
      </c>
      <c r="E20">
        <v>17</v>
      </c>
      <c r="F20">
        <v>1</v>
      </c>
      <c r="G20">
        <v>4</v>
      </c>
      <c r="H20" t="s">
        <v>54</v>
      </c>
      <c r="I20">
        <v>1</v>
      </c>
      <c r="J20">
        <v>0.70921820000512503</v>
      </c>
      <c r="K20" t="s">
        <v>46</v>
      </c>
      <c r="L20">
        <v>4</v>
      </c>
      <c r="M20">
        <v>1</v>
      </c>
      <c r="N20">
        <v>17</v>
      </c>
      <c r="O20">
        <v>2</v>
      </c>
      <c r="P20">
        <v>29.5349524999619</v>
      </c>
      <c r="U20">
        <v>29.526856899959899</v>
      </c>
      <c r="V20">
        <v>29.5349524999619</v>
      </c>
      <c r="W20">
        <v>30.021695899951698</v>
      </c>
      <c r="X20">
        <v>30.021695899951698</v>
      </c>
      <c r="Y20">
        <v>30.021695899951698</v>
      </c>
      <c r="AA20">
        <v>30.7329008000087</v>
      </c>
      <c r="AB20" t="s">
        <v>54</v>
      </c>
      <c r="AC20">
        <v>1</v>
      </c>
      <c r="AD20">
        <v>0.70921820000512503</v>
      </c>
      <c r="AE20" t="s">
        <v>46</v>
      </c>
      <c r="AJ20">
        <v>1</v>
      </c>
      <c r="AK20">
        <v>1</v>
      </c>
      <c r="AL20" t="s">
        <v>43</v>
      </c>
      <c r="AM20" t="s">
        <v>44</v>
      </c>
      <c r="AO20" t="s">
        <v>45</v>
      </c>
      <c r="AP20" t="s">
        <v>46</v>
      </c>
      <c r="AQ20" t="s">
        <v>47</v>
      </c>
    </row>
    <row r="21" spans="1:43" x14ac:dyDescent="0.3">
      <c r="A21" t="s">
        <v>52</v>
      </c>
      <c r="B21" t="s">
        <v>49</v>
      </c>
      <c r="C21" t="s">
        <v>55</v>
      </c>
      <c r="D21" t="s">
        <v>51</v>
      </c>
      <c r="E21">
        <v>19</v>
      </c>
      <c r="F21">
        <v>3</v>
      </c>
      <c r="G21">
        <v>4</v>
      </c>
      <c r="H21" t="s">
        <v>51</v>
      </c>
      <c r="I21">
        <v>1</v>
      </c>
      <c r="J21">
        <v>0.335447699995711</v>
      </c>
      <c r="K21" t="s">
        <v>46</v>
      </c>
      <c r="L21">
        <v>4</v>
      </c>
      <c r="M21">
        <v>3</v>
      </c>
      <c r="N21">
        <v>19</v>
      </c>
      <c r="O21">
        <v>1</v>
      </c>
      <c r="P21">
        <v>31.805540999979701</v>
      </c>
      <c r="U21">
        <v>31.797436399967399</v>
      </c>
      <c r="V21">
        <v>31.805540999979701</v>
      </c>
      <c r="W21">
        <v>32.292307399969999</v>
      </c>
      <c r="X21">
        <v>32.292307399969999</v>
      </c>
      <c r="Y21">
        <v>32.292307399969999</v>
      </c>
      <c r="AA21">
        <v>32.628875700000201</v>
      </c>
      <c r="AB21" t="s">
        <v>51</v>
      </c>
      <c r="AC21">
        <v>1</v>
      </c>
      <c r="AD21">
        <v>0.335447699995711</v>
      </c>
      <c r="AE21" t="s">
        <v>46</v>
      </c>
      <c r="AJ21">
        <v>1</v>
      </c>
      <c r="AK21">
        <v>1</v>
      </c>
      <c r="AL21" t="s">
        <v>43</v>
      </c>
      <c r="AM21" t="s">
        <v>44</v>
      </c>
      <c r="AO21" t="s">
        <v>45</v>
      </c>
      <c r="AP21" t="s">
        <v>46</v>
      </c>
      <c r="AQ21" t="s">
        <v>47</v>
      </c>
    </row>
    <row r="22" spans="1:43" x14ac:dyDescent="0.3">
      <c r="R22">
        <v>1.9401800003833999E-2</v>
      </c>
      <c r="S22">
        <v>5.8489799965172999E-2</v>
      </c>
      <c r="T22">
        <v>1.0045437999651701</v>
      </c>
      <c r="AJ22">
        <v>1</v>
      </c>
      <c r="AK22">
        <v>1</v>
      </c>
      <c r="AL22" t="s">
        <v>43</v>
      </c>
      <c r="AM22" t="s">
        <v>44</v>
      </c>
      <c r="AO22" t="s">
        <v>45</v>
      </c>
      <c r="AP22" t="s">
        <v>46</v>
      </c>
      <c r="AQ22" t="s">
        <v>47</v>
      </c>
    </row>
    <row r="23" spans="1:43" x14ac:dyDescent="0.3">
      <c r="AF23">
        <v>32.629018099978502</v>
      </c>
      <c r="AG23">
        <v>32.639088199997701</v>
      </c>
      <c r="AH23">
        <v>33.632303599966598</v>
      </c>
      <c r="AI23">
        <v>33.628106799966098</v>
      </c>
      <c r="AJ23">
        <v>1</v>
      </c>
      <c r="AK23">
        <v>1</v>
      </c>
      <c r="AL23" t="s">
        <v>43</v>
      </c>
      <c r="AM23" t="s">
        <v>44</v>
      </c>
      <c r="AO23" t="s">
        <v>45</v>
      </c>
      <c r="AP23" t="s">
        <v>46</v>
      </c>
      <c r="AQ23" t="s">
        <v>47</v>
      </c>
    </row>
  </sheetData>
  <sortState xmlns:xlrd2="http://schemas.microsoft.com/office/spreadsheetml/2017/richdata2" ref="A2:AQ23">
    <sortCondition ref="C1:C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A5ED-4DEF-4AB1-897B-5E50F24323D1}">
  <dimension ref="A1:AP23"/>
  <sheetViews>
    <sheetView workbookViewId="0">
      <selection activeCell="I1" sqref="I1:I104857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3">
      <c r="A2" t="s">
        <v>48</v>
      </c>
      <c r="B2" t="s">
        <v>49</v>
      </c>
      <c r="C2" t="s">
        <v>50</v>
      </c>
      <c r="D2" t="s">
        <v>51</v>
      </c>
      <c r="E2">
        <v>2</v>
      </c>
      <c r="F2">
        <v>2</v>
      </c>
      <c r="G2">
        <v>0</v>
      </c>
      <c r="H2" t="s">
        <v>51</v>
      </c>
      <c r="I2">
        <v>1</v>
      </c>
      <c r="J2">
        <v>0.58844580000732005</v>
      </c>
      <c r="K2" t="s">
        <v>46</v>
      </c>
      <c r="L2">
        <v>0</v>
      </c>
      <c r="M2">
        <v>2</v>
      </c>
      <c r="N2">
        <v>2</v>
      </c>
      <c r="O2">
        <v>3</v>
      </c>
      <c r="P2">
        <v>4.4549106000340499</v>
      </c>
      <c r="U2">
        <v>4.4443389000371099</v>
      </c>
      <c r="V2">
        <v>4.4549106000340499</v>
      </c>
      <c r="W2">
        <v>4.9340089000179397</v>
      </c>
      <c r="X2">
        <v>4.9340089000179397</v>
      </c>
      <c r="Y2">
        <v>4.9340089000179397</v>
      </c>
      <c r="Z2">
        <v>5.5272820999962198</v>
      </c>
      <c r="AA2" t="s">
        <v>51</v>
      </c>
      <c r="AB2">
        <v>1</v>
      </c>
      <c r="AC2">
        <v>0.58844580000732005</v>
      </c>
      <c r="AD2" t="s">
        <v>46</v>
      </c>
      <c r="AI2">
        <v>2</v>
      </c>
      <c r="AJ2">
        <v>1</v>
      </c>
      <c r="AK2" t="s">
        <v>56</v>
      </c>
      <c r="AL2" t="s">
        <v>44</v>
      </c>
      <c r="AN2" t="s">
        <v>45</v>
      </c>
      <c r="AO2" t="s">
        <v>46</v>
      </c>
      <c r="AP2" t="s">
        <v>57</v>
      </c>
    </row>
    <row r="3" spans="1:42" x14ac:dyDescent="0.3">
      <c r="A3" t="s">
        <v>52</v>
      </c>
      <c r="B3" t="s">
        <v>53</v>
      </c>
      <c r="C3" t="s">
        <v>50</v>
      </c>
      <c r="D3" t="s">
        <v>54</v>
      </c>
      <c r="E3">
        <v>3</v>
      </c>
      <c r="F3">
        <v>3</v>
      </c>
      <c r="G3">
        <v>0</v>
      </c>
      <c r="H3" t="s">
        <v>54</v>
      </c>
      <c r="I3">
        <v>1</v>
      </c>
      <c r="J3">
        <v>0.45638009998947299</v>
      </c>
      <c r="K3" t="s">
        <v>46</v>
      </c>
      <c r="L3">
        <v>0</v>
      </c>
      <c r="M3">
        <v>3</v>
      </c>
      <c r="N3">
        <v>3</v>
      </c>
      <c r="O3">
        <v>0</v>
      </c>
      <c r="P3">
        <v>5.5377561000059297</v>
      </c>
      <c r="U3">
        <v>5.52965949999634</v>
      </c>
      <c r="V3">
        <v>5.5377561000059297</v>
      </c>
      <c r="W3">
        <v>6.0243955000187199</v>
      </c>
      <c r="X3">
        <v>6.0243955000187199</v>
      </c>
      <c r="Y3">
        <v>6.0243955000187199</v>
      </c>
      <c r="Z3">
        <v>6.48564969998551</v>
      </c>
      <c r="AA3" t="s">
        <v>54</v>
      </c>
      <c r="AB3">
        <v>1</v>
      </c>
      <c r="AC3">
        <v>0.45638009998947299</v>
      </c>
      <c r="AD3" t="s">
        <v>46</v>
      </c>
      <c r="AI3">
        <v>2</v>
      </c>
      <c r="AJ3">
        <v>1</v>
      </c>
      <c r="AK3" t="s">
        <v>56</v>
      </c>
      <c r="AL3" t="s">
        <v>44</v>
      </c>
      <c r="AN3" t="s">
        <v>45</v>
      </c>
      <c r="AO3" t="s">
        <v>46</v>
      </c>
      <c r="AP3" t="s">
        <v>57</v>
      </c>
    </row>
    <row r="4" spans="1:42" x14ac:dyDescent="0.3">
      <c r="A4" t="s">
        <v>48</v>
      </c>
      <c r="B4" t="s">
        <v>49</v>
      </c>
      <c r="C4" t="s">
        <v>50</v>
      </c>
      <c r="D4" t="s">
        <v>51</v>
      </c>
      <c r="E4">
        <v>5</v>
      </c>
      <c r="F4">
        <v>1</v>
      </c>
      <c r="G4">
        <v>1</v>
      </c>
      <c r="H4" t="s">
        <v>51</v>
      </c>
      <c r="I4">
        <v>1</v>
      </c>
      <c r="J4">
        <v>0.56045250000897795</v>
      </c>
      <c r="K4" t="s">
        <v>46</v>
      </c>
      <c r="L4">
        <v>1</v>
      </c>
      <c r="M4">
        <v>1</v>
      </c>
      <c r="N4">
        <v>5</v>
      </c>
      <c r="O4">
        <v>3</v>
      </c>
      <c r="P4">
        <v>7.7603466000291501</v>
      </c>
      <c r="U4">
        <v>7.7505110999918498</v>
      </c>
      <c r="V4">
        <v>7.7603466000291501</v>
      </c>
      <c r="W4">
        <v>8.2461409000097703</v>
      </c>
      <c r="X4">
        <v>8.2461409000097703</v>
      </c>
      <c r="Y4">
        <v>8.2461409000097703</v>
      </c>
      <c r="Z4">
        <v>8.8124267000239307</v>
      </c>
      <c r="AA4" t="s">
        <v>51</v>
      </c>
      <c r="AB4">
        <v>1</v>
      </c>
      <c r="AC4">
        <v>0.56045250000897795</v>
      </c>
      <c r="AD4" t="s">
        <v>46</v>
      </c>
      <c r="AI4">
        <v>2</v>
      </c>
      <c r="AJ4">
        <v>1</v>
      </c>
      <c r="AK4" t="s">
        <v>56</v>
      </c>
      <c r="AL4" t="s">
        <v>44</v>
      </c>
      <c r="AN4" t="s">
        <v>45</v>
      </c>
      <c r="AO4" t="s">
        <v>46</v>
      </c>
      <c r="AP4" t="s">
        <v>57</v>
      </c>
    </row>
    <row r="5" spans="1:42" x14ac:dyDescent="0.3">
      <c r="A5" t="s">
        <v>52</v>
      </c>
      <c r="B5" t="s">
        <v>53</v>
      </c>
      <c r="C5" t="s">
        <v>50</v>
      </c>
      <c r="D5" t="s">
        <v>54</v>
      </c>
      <c r="E5">
        <v>7</v>
      </c>
      <c r="F5">
        <v>3</v>
      </c>
      <c r="G5">
        <v>1</v>
      </c>
      <c r="H5" t="s">
        <v>54</v>
      </c>
      <c r="I5">
        <v>1</v>
      </c>
      <c r="J5">
        <v>0.61307229998055801</v>
      </c>
      <c r="K5" t="s">
        <v>46</v>
      </c>
      <c r="L5">
        <v>1</v>
      </c>
      <c r="M5">
        <v>3</v>
      </c>
      <c r="N5">
        <v>7</v>
      </c>
      <c r="O5">
        <v>0</v>
      </c>
      <c r="P5">
        <v>9.9200251000002009</v>
      </c>
      <c r="U5">
        <v>9.9161618000361997</v>
      </c>
      <c r="V5">
        <v>9.9200251000002009</v>
      </c>
      <c r="W5">
        <v>10.412982400041001</v>
      </c>
      <c r="X5">
        <v>10.412982400041001</v>
      </c>
      <c r="Y5">
        <v>10.412982400041001</v>
      </c>
      <c r="Z5">
        <v>11.0274949999875</v>
      </c>
      <c r="AA5" t="s">
        <v>54</v>
      </c>
      <c r="AB5">
        <v>1</v>
      </c>
      <c r="AC5">
        <v>0.61307229998055801</v>
      </c>
      <c r="AD5" t="s">
        <v>46</v>
      </c>
      <c r="AI5">
        <v>2</v>
      </c>
      <c r="AJ5">
        <v>1</v>
      </c>
      <c r="AK5" t="s">
        <v>56</v>
      </c>
      <c r="AL5" t="s">
        <v>44</v>
      </c>
      <c r="AN5" t="s">
        <v>45</v>
      </c>
      <c r="AO5" t="s">
        <v>46</v>
      </c>
      <c r="AP5" t="s">
        <v>57</v>
      </c>
    </row>
    <row r="6" spans="1:42" x14ac:dyDescent="0.3">
      <c r="A6" t="s">
        <v>48</v>
      </c>
      <c r="B6" t="s">
        <v>49</v>
      </c>
      <c r="C6" t="s">
        <v>50</v>
      </c>
      <c r="D6" t="s">
        <v>51</v>
      </c>
      <c r="E6">
        <v>8</v>
      </c>
      <c r="F6">
        <v>0</v>
      </c>
      <c r="G6">
        <v>2</v>
      </c>
      <c r="H6" t="s">
        <v>51</v>
      </c>
      <c r="I6">
        <v>1</v>
      </c>
      <c r="J6">
        <v>0.61441229999763802</v>
      </c>
      <c r="K6" t="s">
        <v>46</v>
      </c>
      <c r="L6">
        <v>2</v>
      </c>
      <c r="M6">
        <v>0</v>
      </c>
      <c r="N6">
        <v>8</v>
      </c>
      <c r="O6">
        <v>3</v>
      </c>
      <c r="P6">
        <v>11.037835800030701</v>
      </c>
      <c r="U6">
        <v>11.0302486</v>
      </c>
      <c r="V6">
        <v>11.037835800030701</v>
      </c>
      <c r="W6">
        <v>11.5171180000179</v>
      </c>
      <c r="X6">
        <v>11.5171180000179</v>
      </c>
      <c r="Y6">
        <v>11.5171180000179</v>
      </c>
      <c r="Z6">
        <v>12.145785500004401</v>
      </c>
      <c r="AA6" t="s">
        <v>51</v>
      </c>
      <c r="AB6">
        <v>1</v>
      </c>
      <c r="AC6">
        <v>0.61441229999763802</v>
      </c>
      <c r="AD6" t="s">
        <v>46</v>
      </c>
      <c r="AI6">
        <v>2</v>
      </c>
      <c r="AJ6">
        <v>1</v>
      </c>
      <c r="AK6" t="s">
        <v>56</v>
      </c>
      <c r="AL6" t="s">
        <v>44</v>
      </c>
      <c r="AN6" t="s">
        <v>45</v>
      </c>
      <c r="AO6" t="s">
        <v>46</v>
      </c>
      <c r="AP6" t="s">
        <v>57</v>
      </c>
    </row>
    <row r="7" spans="1:42" x14ac:dyDescent="0.3">
      <c r="A7" t="s">
        <v>52</v>
      </c>
      <c r="B7" t="s">
        <v>53</v>
      </c>
      <c r="C7" t="s">
        <v>50</v>
      </c>
      <c r="D7" t="s">
        <v>54</v>
      </c>
      <c r="E7">
        <v>10</v>
      </c>
      <c r="F7">
        <v>2</v>
      </c>
      <c r="G7">
        <v>2</v>
      </c>
      <c r="H7" t="s">
        <v>54</v>
      </c>
      <c r="I7">
        <v>1</v>
      </c>
      <c r="J7">
        <v>0.64868509996449497</v>
      </c>
      <c r="K7" t="s">
        <v>46</v>
      </c>
      <c r="L7">
        <v>2</v>
      </c>
      <c r="M7">
        <v>2</v>
      </c>
      <c r="N7">
        <v>10</v>
      </c>
      <c r="O7">
        <v>0</v>
      </c>
      <c r="P7">
        <v>13.1209237999864</v>
      </c>
      <c r="U7">
        <v>13.1131043999921</v>
      </c>
      <c r="V7">
        <v>13.1209237999864</v>
      </c>
      <c r="W7">
        <v>13.6005042000324</v>
      </c>
      <c r="X7">
        <v>13.6005042000324</v>
      </c>
      <c r="Y7">
        <v>13.6005042000324</v>
      </c>
      <c r="Z7">
        <v>14.2565653999918</v>
      </c>
      <c r="AA7" t="s">
        <v>54</v>
      </c>
      <c r="AB7">
        <v>1</v>
      </c>
      <c r="AC7">
        <v>0.64868509996449497</v>
      </c>
      <c r="AD7" t="s">
        <v>46</v>
      </c>
      <c r="AI7">
        <v>2</v>
      </c>
      <c r="AJ7">
        <v>1</v>
      </c>
      <c r="AK7" t="s">
        <v>56</v>
      </c>
      <c r="AL7" t="s">
        <v>44</v>
      </c>
      <c r="AN7" t="s">
        <v>45</v>
      </c>
      <c r="AO7" t="s">
        <v>46</v>
      </c>
      <c r="AP7" t="s">
        <v>57</v>
      </c>
    </row>
    <row r="8" spans="1:42" x14ac:dyDescent="0.3">
      <c r="A8" t="s">
        <v>48</v>
      </c>
      <c r="B8" t="s">
        <v>49</v>
      </c>
      <c r="C8" t="s">
        <v>50</v>
      </c>
      <c r="D8" t="s">
        <v>51</v>
      </c>
      <c r="E8">
        <v>14</v>
      </c>
      <c r="F8">
        <v>2</v>
      </c>
      <c r="G8">
        <v>3</v>
      </c>
      <c r="H8" t="s">
        <v>51</v>
      </c>
      <c r="I8">
        <v>1</v>
      </c>
      <c r="J8">
        <v>0.44419549999292901</v>
      </c>
      <c r="K8" t="s">
        <v>46</v>
      </c>
      <c r="L8">
        <v>3</v>
      </c>
      <c r="M8">
        <v>2</v>
      </c>
      <c r="N8">
        <v>14</v>
      </c>
      <c r="O8">
        <v>3</v>
      </c>
      <c r="P8">
        <v>17.788152399996701</v>
      </c>
      <c r="U8">
        <v>17.7805530999903</v>
      </c>
      <c r="V8">
        <v>17.788152399996701</v>
      </c>
      <c r="W8">
        <v>18.274102399998799</v>
      </c>
      <c r="X8">
        <v>18.274102399998799</v>
      </c>
      <c r="Y8">
        <v>18.274102399998799</v>
      </c>
      <c r="Z8">
        <v>18.721543600025999</v>
      </c>
      <c r="AA8" t="s">
        <v>51</v>
      </c>
      <c r="AB8">
        <v>1</v>
      </c>
      <c r="AC8">
        <v>0.44419549999292901</v>
      </c>
      <c r="AD8" t="s">
        <v>46</v>
      </c>
      <c r="AI8">
        <v>2</v>
      </c>
      <c r="AJ8">
        <v>1</v>
      </c>
      <c r="AK8" t="s">
        <v>56</v>
      </c>
      <c r="AL8" t="s">
        <v>44</v>
      </c>
      <c r="AN8" t="s">
        <v>45</v>
      </c>
      <c r="AO8" t="s">
        <v>46</v>
      </c>
      <c r="AP8" t="s">
        <v>57</v>
      </c>
    </row>
    <row r="9" spans="1:42" x14ac:dyDescent="0.3">
      <c r="A9" t="s">
        <v>52</v>
      </c>
      <c r="B9" t="s">
        <v>53</v>
      </c>
      <c r="C9" t="s">
        <v>50</v>
      </c>
      <c r="D9" t="s">
        <v>54</v>
      </c>
      <c r="E9">
        <v>15</v>
      </c>
      <c r="F9">
        <v>3</v>
      </c>
      <c r="G9">
        <v>3</v>
      </c>
      <c r="H9" t="s">
        <v>54</v>
      </c>
      <c r="I9">
        <v>1</v>
      </c>
      <c r="J9">
        <v>0.47859070001868498</v>
      </c>
      <c r="K9" t="s">
        <v>46</v>
      </c>
      <c r="L9">
        <v>3</v>
      </c>
      <c r="M9">
        <v>3</v>
      </c>
      <c r="N9">
        <v>15</v>
      </c>
      <c r="O9">
        <v>0</v>
      </c>
      <c r="P9">
        <v>18.731968700012601</v>
      </c>
      <c r="U9">
        <v>18.723862199985799</v>
      </c>
      <c r="V9">
        <v>18.731968700012601</v>
      </c>
      <c r="W9">
        <v>19.218806100019702</v>
      </c>
      <c r="X9">
        <v>19.218806100019702</v>
      </c>
      <c r="Y9">
        <v>19.218806100019702</v>
      </c>
      <c r="Z9">
        <v>19.700702300004099</v>
      </c>
      <c r="AA9" t="s">
        <v>54</v>
      </c>
      <c r="AB9">
        <v>1</v>
      </c>
      <c r="AC9">
        <v>0.47859070001868498</v>
      </c>
      <c r="AD9" t="s">
        <v>46</v>
      </c>
      <c r="AI9">
        <v>2</v>
      </c>
      <c r="AJ9">
        <v>1</v>
      </c>
      <c r="AK9" t="s">
        <v>56</v>
      </c>
      <c r="AL9" t="s">
        <v>44</v>
      </c>
      <c r="AN9" t="s">
        <v>45</v>
      </c>
      <c r="AO9" t="s">
        <v>46</v>
      </c>
      <c r="AP9" t="s">
        <v>57</v>
      </c>
    </row>
    <row r="10" spans="1:42" x14ac:dyDescent="0.3">
      <c r="A10" t="s">
        <v>52</v>
      </c>
      <c r="B10" t="s">
        <v>53</v>
      </c>
      <c r="C10" t="s">
        <v>50</v>
      </c>
      <c r="D10" t="s">
        <v>54</v>
      </c>
      <c r="E10">
        <v>17</v>
      </c>
      <c r="F10">
        <v>1</v>
      </c>
      <c r="G10">
        <v>4</v>
      </c>
      <c r="H10" t="s">
        <v>54</v>
      </c>
      <c r="I10">
        <v>1</v>
      </c>
      <c r="J10">
        <v>0.43688809999730399</v>
      </c>
      <c r="K10" t="s">
        <v>46</v>
      </c>
      <c r="L10">
        <v>4</v>
      </c>
      <c r="M10">
        <v>1</v>
      </c>
      <c r="N10">
        <v>17</v>
      </c>
      <c r="O10">
        <v>0</v>
      </c>
      <c r="P10">
        <v>20.773979499994301</v>
      </c>
      <c r="U10">
        <v>20.7635373999946</v>
      </c>
      <c r="V10">
        <v>20.773979499994301</v>
      </c>
      <c r="W10">
        <v>21.2604487999924</v>
      </c>
      <c r="X10">
        <v>21.2604487999924</v>
      </c>
      <c r="Y10">
        <v>21.2604487999924</v>
      </c>
      <c r="Z10">
        <v>21.700655599997798</v>
      </c>
      <c r="AA10" t="s">
        <v>54</v>
      </c>
      <c r="AB10">
        <v>1</v>
      </c>
      <c r="AC10">
        <v>0.43688809999730399</v>
      </c>
      <c r="AD10" t="s">
        <v>46</v>
      </c>
      <c r="AI10">
        <v>2</v>
      </c>
      <c r="AJ10">
        <v>1</v>
      </c>
      <c r="AK10" t="s">
        <v>56</v>
      </c>
      <c r="AL10" t="s">
        <v>44</v>
      </c>
      <c r="AN10" t="s">
        <v>45</v>
      </c>
      <c r="AO10" t="s">
        <v>46</v>
      </c>
      <c r="AP10" t="s">
        <v>57</v>
      </c>
    </row>
    <row r="11" spans="1:42" x14ac:dyDescent="0.3">
      <c r="A11" t="s">
        <v>48</v>
      </c>
      <c r="B11" t="s">
        <v>49</v>
      </c>
      <c r="C11" t="s">
        <v>50</v>
      </c>
      <c r="D11" t="s">
        <v>51</v>
      </c>
      <c r="E11">
        <v>18</v>
      </c>
      <c r="F11">
        <v>2</v>
      </c>
      <c r="G11">
        <v>4</v>
      </c>
      <c r="H11" t="s">
        <v>51</v>
      </c>
      <c r="I11">
        <v>1</v>
      </c>
      <c r="J11">
        <v>0.54519500001333598</v>
      </c>
      <c r="K11" t="s">
        <v>46</v>
      </c>
      <c r="L11">
        <v>4</v>
      </c>
      <c r="M11">
        <v>2</v>
      </c>
      <c r="N11">
        <v>18</v>
      </c>
      <c r="O11">
        <v>3</v>
      </c>
      <c r="P11">
        <v>21.710962600016501</v>
      </c>
      <c r="U11">
        <v>21.702995800005699</v>
      </c>
      <c r="V11">
        <v>21.710962600016501</v>
      </c>
      <c r="W11">
        <v>22.190684900036999</v>
      </c>
      <c r="X11">
        <v>22.190684900036999</v>
      </c>
      <c r="Y11">
        <v>22.190684900036999</v>
      </c>
      <c r="Z11">
        <v>22.749455099983599</v>
      </c>
      <c r="AA11" t="s">
        <v>51</v>
      </c>
      <c r="AB11">
        <v>1</v>
      </c>
      <c r="AC11">
        <v>0.54519500001333598</v>
      </c>
      <c r="AD11" t="s">
        <v>46</v>
      </c>
      <c r="AI11">
        <v>2</v>
      </c>
      <c r="AJ11">
        <v>1</v>
      </c>
      <c r="AK11" t="s">
        <v>56</v>
      </c>
      <c r="AL11" t="s">
        <v>44</v>
      </c>
      <c r="AN11" t="s">
        <v>45</v>
      </c>
      <c r="AO11" t="s">
        <v>46</v>
      </c>
      <c r="AP11" t="s">
        <v>57</v>
      </c>
    </row>
    <row r="12" spans="1:42" x14ac:dyDescent="0.3">
      <c r="A12" t="s">
        <v>52</v>
      </c>
      <c r="B12" t="s">
        <v>49</v>
      </c>
      <c r="C12" t="s">
        <v>55</v>
      </c>
      <c r="D12" t="s">
        <v>51</v>
      </c>
      <c r="E12">
        <v>0</v>
      </c>
      <c r="F12">
        <v>0</v>
      </c>
      <c r="G12">
        <v>0</v>
      </c>
      <c r="H12" t="s">
        <v>51</v>
      </c>
      <c r="I12">
        <v>1</v>
      </c>
      <c r="J12">
        <v>1.07888479996472</v>
      </c>
      <c r="K12" t="s">
        <v>46</v>
      </c>
      <c r="L12">
        <v>0</v>
      </c>
      <c r="M12">
        <v>0</v>
      </c>
      <c r="N12">
        <v>0</v>
      </c>
      <c r="O12">
        <v>1</v>
      </c>
      <c r="P12">
        <v>1.03098169999429</v>
      </c>
      <c r="U12">
        <v>1.0207146999891801</v>
      </c>
      <c r="V12">
        <v>1.03098169999429</v>
      </c>
      <c r="W12">
        <v>1.50309000001288</v>
      </c>
      <c r="X12">
        <v>1.50309000001288</v>
      </c>
      <c r="Y12">
        <v>1.50309000001288</v>
      </c>
      <c r="Z12">
        <v>2.5963896000175701</v>
      </c>
      <c r="AA12" t="s">
        <v>51</v>
      </c>
      <c r="AB12">
        <v>1</v>
      </c>
      <c r="AC12">
        <v>1.07888479996472</v>
      </c>
      <c r="AD12" t="s">
        <v>46</v>
      </c>
      <c r="AI12">
        <v>2</v>
      </c>
      <c r="AJ12">
        <v>1</v>
      </c>
      <c r="AK12" t="s">
        <v>56</v>
      </c>
      <c r="AL12" t="s">
        <v>44</v>
      </c>
      <c r="AN12" t="s">
        <v>45</v>
      </c>
      <c r="AO12" t="s">
        <v>46</v>
      </c>
      <c r="AP12" t="s">
        <v>57</v>
      </c>
    </row>
    <row r="13" spans="1:42" x14ac:dyDescent="0.3">
      <c r="A13" t="s">
        <v>48</v>
      </c>
      <c r="B13" t="s">
        <v>53</v>
      </c>
      <c r="C13" t="s">
        <v>55</v>
      </c>
      <c r="D13" t="s">
        <v>54</v>
      </c>
      <c r="E13">
        <v>1</v>
      </c>
      <c r="F13">
        <v>1</v>
      </c>
      <c r="G13">
        <v>0</v>
      </c>
      <c r="H13" t="s">
        <v>54</v>
      </c>
      <c r="I13">
        <v>1</v>
      </c>
      <c r="J13">
        <v>1.3439445000258201</v>
      </c>
      <c r="K13" t="s">
        <v>46</v>
      </c>
      <c r="L13">
        <v>0</v>
      </c>
      <c r="M13">
        <v>1</v>
      </c>
      <c r="N13">
        <v>1</v>
      </c>
      <c r="O13">
        <v>2</v>
      </c>
      <c r="P13">
        <v>2.6067584000411399</v>
      </c>
      <c r="U13">
        <v>2.6005815000389698</v>
      </c>
      <c r="V13">
        <v>2.6067584000411399</v>
      </c>
      <c r="W13">
        <v>3.0932922000065401</v>
      </c>
      <c r="X13">
        <v>3.0932922000065401</v>
      </c>
      <c r="Y13">
        <v>3.0932922000065401</v>
      </c>
      <c r="Z13">
        <v>4.4438525000005002</v>
      </c>
      <c r="AA13" t="s">
        <v>54</v>
      </c>
      <c r="AB13">
        <v>1</v>
      </c>
      <c r="AC13">
        <v>1.3439445000258201</v>
      </c>
      <c r="AD13" t="s">
        <v>46</v>
      </c>
      <c r="AI13">
        <v>2</v>
      </c>
      <c r="AJ13">
        <v>1</v>
      </c>
      <c r="AK13" t="s">
        <v>56</v>
      </c>
      <c r="AL13" t="s">
        <v>44</v>
      </c>
      <c r="AN13" t="s">
        <v>45</v>
      </c>
      <c r="AO13" t="s">
        <v>46</v>
      </c>
      <c r="AP13" t="s">
        <v>57</v>
      </c>
    </row>
    <row r="14" spans="1:42" x14ac:dyDescent="0.3">
      <c r="A14" t="s">
        <v>48</v>
      </c>
      <c r="B14" t="s">
        <v>53</v>
      </c>
      <c r="C14" t="s">
        <v>55</v>
      </c>
      <c r="D14" t="s">
        <v>54</v>
      </c>
      <c r="E14">
        <v>4</v>
      </c>
      <c r="F14">
        <v>0</v>
      </c>
      <c r="G14">
        <v>1</v>
      </c>
      <c r="H14" t="s">
        <v>54</v>
      </c>
      <c r="I14">
        <v>1</v>
      </c>
      <c r="J14">
        <v>0.763730600010603</v>
      </c>
      <c r="K14" t="s">
        <v>46</v>
      </c>
      <c r="L14">
        <v>1</v>
      </c>
      <c r="M14">
        <v>0</v>
      </c>
      <c r="N14">
        <v>4</v>
      </c>
      <c r="O14">
        <v>2</v>
      </c>
      <c r="P14">
        <v>6.4965632000239504</v>
      </c>
      <c r="U14">
        <v>6.4881661999970603</v>
      </c>
      <c r="V14">
        <v>6.4965632000239504</v>
      </c>
      <c r="W14">
        <v>6.9831754000042503</v>
      </c>
      <c r="X14">
        <v>6.9831754000042503</v>
      </c>
      <c r="Y14">
        <v>6.9831754000042503</v>
      </c>
      <c r="Z14">
        <v>7.7498837999883099</v>
      </c>
      <c r="AA14" t="s">
        <v>54</v>
      </c>
      <c r="AB14">
        <v>1</v>
      </c>
      <c r="AC14">
        <v>0.763730600010603</v>
      </c>
      <c r="AD14" t="s">
        <v>46</v>
      </c>
      <c r="AI14">
        <v>2</v>
      </c>
      <c r="AJ14">
        <v>1</v>
      </c>
      <c r="AK14" t="s">
        <v>56</v>
      </c>
      <c r="AL14" t="s">
        <v>44</v>
      </c>
      <c r="AN14" t="s">
        <v>45</v>
      </c>
      <c r="AO14" t="s">
        <v>46</v>
      </c>
      <c r="AP14" t="s">
        <v>57</v>
      </c>
    </row>
    <row r="15" spans="1:42" x14ac:dyDescent="0.3">
      <c r="A15" t="s">
        <v>52</v>
      </c>
      <c r="B15" t="s">
        <v>49</v>
      </c>
      <c r="C15" t="s">
        <v>55</v>
      </c>
      <c r="D15" t="s">
        <v>51</v>
      </c>
      <c r="E15">
        <v>6</v>
      </c>
      <c r="F15">
        <v>2</v>
      </c>
      <c r="G15">
        <v>1</v>
      </c>
      <c r="H15" t="s">
        <v>54</v>
      </c>
      <c r="I15">
        <v>0</v>
      </c>
      <c r="J15">
        <v>0.60110889998031702</v>
      </c>
      <c r="K15" t="s">
        <v>46</v>
      </c>
      <c r="L15">
        <v>1</v>
      </c>
      <c r="M15">
        <v>2</v>
      </c>
      <c r="N15">
        <v>6</v>
      </c>
      <c r="O15">
        <v>1</v>
      </c>
      <c r="P15">
        <v>8.8221864000079204</v>
      </c>
      <c r="U15">
        <v>8.8149410000187292</v>
      </c>
      <c r="V15">
        <v>8.8221864000079204</v>
      </c>
      <c r="W15">
        <v>9.3085044000181298</v>
      </c>
      <c r="X15">
        <v>9.3085044000181298</v>
      </c>
      <c r="Y15">
        <v>9.3085044000181298</v>
      </c>
      <c r="Z15">
        <v>9.9157342000398696</v>
      </c>
      <c r="AA15" t="s">
        <v>54</v>
      </c>
      <c r="AB15">
        <v>0</v>
      </c>
      <c r="AC15">
        <v>0.60110889998031702</v>
      </c>
      <c r="AD15" t="s">
        <v>46</v>
      </c>
      <c r="AI15">
        <v>2</v>
      </c>
      <c r="AJ15">
        <v>1</v>
      </c>
      <c r="AK15" t="s">
        <v>56</v>
      </c>
      <c r="AL15" t="s">
        <v>44</v>
      </c>
      <c r="AN15" t="s">
        <v>45</v>
      </c>
      <c r="AO15" t="s">
        <v>46</v>
      </c>
      <c r="AP15" t="s">
        <v>57</v>
      </c>
    </row>
    <row r="16" spans="1:42" x14ac:dyDescent="0.3">
      <c r="A16" t="s">
        <v>48</v>
      </c>
      <c r="B16" t="s">
        <v>53</v>
      </c>
      <c r="C16" t="s">
        <v>55</v>
      </c>
      <c r="D16" t="s">
        <v>54</v>
      </c>
      <c r="E16">
        <v>9</v>
      </c>
      <c r="F16">
        <v>1</v>
      </c>
      <c r="G16">
        <v>2</v>
      </c>
      <c r="H16" t="s">
        <v>54</v>
      </c>
      <c r="I16">
        <v>1</v>
      </c>
      <c r="J16">
        <v>0.467481800005771</v>
      </c>
      <c r="K16" t="s">
        <v>46</v>
      </c>
      <c r="L16">
        <v>2</v>
      </c>
      <c r="M16">
        <v>1</v>
      </c>
      <c r="N16">
        <v>9</v>
      </c>
      <c r="O16">
        <v>2</v>
      </c>
      <c r="P16">
        <v>12.156298900023099</v>
      </c>
      <c r="U16">
        <v>12.1462079000193</v>
      </c>
      <c r="V16">
        <v>12.156298900023099</v>
      </c>
      <c r="W16">
        <v>12.6420905999839</v>
      </c>
      <c r="X16">
        <v>12.6420905999839</v>
      </c>
      <c r="Y16">
        <v>12.6420905999839</v>
      </c>
      <c r="Z16">
        <v>13.1106820999993</v>
      </c>
      <c r="AA16" t="s">
        <v>54</v>
      </c>
      <c r="AB16">
        <v>1</v>
      </c>
      <c r="AC16">
        <v>0.467481800005771</v>
      </c>
      <c r="AD16" t="s">
        <v>46</v>
      </c>
      <c r="AI16">
        <v>2</v>
      </c>
      <c r="AJ16">
        <v>1</v>
      </c>
      <c r="AK16" t="s">
        <v>56</v>
      </c>
      <c r="AL16" t="s">
        <v>44</v>
      </c>
      <c r="AN16" t="s">
        <v>45</v>
      </c>
      <c r="AO16" t="s">
        <v>46</v>
      </c>
      <c r="AP16" t="s">
        <v>57</v>
      </c>
    </row>
    <row r="17" spans="1:42" x14ac:dyDescent="0.3">
      <c r="A17" t="s">
        <v>52</v>
      </c>
      <c r="B17" t="s">
        <v>49</v>
      </c>
      <c r="C17" t="s">
        <v>55</v>
      </c>
      <c r="D17" t="s">
        <v>51</v>
      </c>
      <c r="E17">
        <v>11</v>
      </c>
      <c r="F17">
        <v>3</v>
      </c>
      <c r="G17">
        <v>2</v>
      </c>
      <c r="H17" t="s">
        <v>51</v>
      </c>
      <c r="I17">
        <v>1</v>
      </c>
      <c r="J17">
        <v>0.47226020001107799</v>
      </c>
      <c r="K17" t="s">
        <v>46</v>
      </c>
      <c r="L17">
        <v>2</v>
      </c>
      <c r="M17">
        <v>3</v>
      </c>
      <c r="N17">
        <v>11</v>
      </c>
      <c r="O17">
        <v>1</v>
      </c>
      <c r="P17">
        <v>14.267264900030501</v>
      </c>
      <c r="U17">
        <v>14.256999900040601</v>
      </c>
      <c r="V17">
        <v>14.267264900030501</v>
      </c>
      <c r="W17">
        <v>14.746267499984199</v>
      </c>
      <c r="X17">
        <v>14.746267499984199</v>
      </c>
      <c r="Y17">
        <v>14.746267499984199</v>
      </c>
      <c r="Z17">
        <v>15.221728200034701</v>
      </c>
      <c r="AA17" t="s">
        <v>51</v>
      </c>
      <c r="AB17">
        <v>1</v>
      </c>
      <c r="AC17">
        <v>0.47226020001107799</v>
      </c>
      <c r="AD17" t="s">
        <v>46</v>
      </c>
      <c r="AI17">
        <v>2</v>
      </c>
      <c r="AJ17">
        <v>1</v>
      </c>
      <c r="AK17" t="s">
        <v>56</v>
      </c>
      <c r="AL17" t="s">
        <v>44</v>
      </c>
      <c r="AN17" t="s">
        <v>45</v>
      </c>
      <c r="AO17" t="s">
        <v>46</v>
      </c>
      <c r="AP17" t="s">
        <v>57</v>
      </c>
    </row>
    <row r="18" spans="1:42" x14ac:dyDescent="0.3">
      <c r="A18" t="s">
        <v>48</v>
      </c>
      <c r="B18" t="s">
        <v>53</v>
      </c>
      <c r="C18" t="s">
        <v>55</v>
      </c>
      <c r="D18" t="s">
        <v>54</v>
      </c>
      <c r="E18">
        <v>12</v>
      </c>
      <c r="F18">
        <v>0</v>
      </c>
      <c r="G18">
        <v>3</v>
      </c>
      <c r="H18" t="s">
        <v>54</v>
      </c>
      <c r="I18">
        <v>1</v>
      </c>
      <c r="J18">
        <v>0.96624429995426897</v>
      </c>
      <c r="K18" t="s">
        <v>46</v>
      </c>
      <c r="L18">
        <v>3</v>
      </c>
      <c r="M18">
        <v>0</v>
      </c>
      <c r="N18">
        <v>12</v>
      </c>
      <c r="O18">
        <v>2</v>
      </c>
      <c r="P18">
        <v>15.232156499987401</v>
      </c>
      <c r="U18">
        <v>15.224109600007001</v>
      </c>
      <c r="V18">
        <v>15.232156499987401</v>
      </c>
      <c r="W18">
        <v>15.7184647000394</v>
      </c>
      <c r="X18">
        <v>15.7184647000394</v>
      </c>
      <c r="Y18">
        <v>15.7184647000394</v>
      </c>
      <c r="Z18">
        <v>16.6868878999957</v>
      </c>
      <c r="AA18" t="s">
        <v>54</v>
      </c>
      <c r="AB18">
        <v>1</v>
      </c>
      <c r="AC18">
        <v>0.96624429995426897</v>
      </c>
      <c r="AD18" t="s">
        <v>46</v>
      </c>
      <c r="AI18">
        <v>2</v>
      </c>
      <c r="AJ18">
        <v>1</v>
      </c>
      <c r="AK18" t="s">
        <v>56</v>
      </c>
      <c r="AL18" t="s">
        <v>44</v>
      </c>
      <c r="AN18" t="s">
        <v>45</v>
      </c>
      <c r="AO18" t="s">
        <v>46</v>
      </c>
      <c r="AP18" t="s">
        <v>57</v>
      </c>
    </row>
    <row r="19" spans="1:42" x14ac:dyDescent="0.3">
      <c r="A19" t="s">
        <v>52</v>
      </c>
      <c r="B19" t="s">
        <v>49</v>
      </c>
      <c r="C19" t="s">
        <v>55</v>
      </c>
      <c r="D19" t="s">
        <v>51</v>
      </c>
      <c r="E19">
        <v>13</v>
      </c>
      <c r="F19">
        <v>1</v>
      </c>
      <c r="G19">
        <v>3</v>
      </c>
      <c r="H19" t="s">
        <v>51</v>
      </c>
      <c r="I19">
        <v>1</v>
      </c>
      <c r="J19">
        <v>0.592908999999053</v>
      </c>
      <c r="K19" t="s">
        <v>46</v>
      </c>
      <c r="L19">
        <v>3</v>
      </c>
      <c r="M19">
        <v>1</v>
      </c>
      <c r="N19">
        <v>13</v>
      </c>
      <c r="O19">
        <v>1</v>
      </c>
      <c r="P19">
        <v>16.697155700006899</v>
      </c>
      <c r="U19">
        <v>16.689271399984101</v>
      </c>
      <c r="V19">
        <v>16.697155700006899</v>
      </c>
      <c r="W19">
        <v>17.177122800028801</v>
      </c>
      <c r="X19">
        <v>17.177122800028801</v>
      </c>
      <c r="Y19">
        <v>17.177122800028801</v>
      </c>
      <c r="Z19">
        <v>17.777640999993299</v>
      </c>
      <c r="AA19" t="s">
        <v>51</v>
      </c>
      <c r="AB19">
        <v>1</v>
      </c>
      <c r="AC19">
        <v>0.592908999999053</v>
      </c>
      <c r="AD19" t="s">
        <v>46</v>
      </c>
      <c r="AI19">
        <v>2</v>
      </c>
      <c r="AJ19">
        <v>1</v>
      </c>
      <c r="AK19" t="s">
        <v>56</v>
      </c>
      <c r="AL19" t="s">
        <v>44</v>
      </c>
      <c r="AN19" t="s">
        <v>45</v>
      </c>
      <c r="AO19" t="s">
        <v>46</v>
      </c>
      <c r="AP19" t="s">
        <v>57</v>
      </c>
    </row>
    <row r="20" spans="1:42" x14ac:dyDescent="0.3">
      <c r="A20" t="s">
        <v>52</v>
      </c>
      <c r="B20" t="s">
        <v>49</v>
      </c>
      <c r="C20" t="s">
        <v>55</v>
      </c>
      <c r="D20" t="s">
        <v>51</v>
      </c>
      <c r="E20">
        <v>16</v>
      </c>
      <c r="F20">
        <v>0</v>
      </c>
      <c r="G20">
        <v>4</v>
      </c>
      <c r="H20" t="s">
        <v>51</v>
      </c>
      <c r="I20">
        <v>1</v>
      </c>
      <c r="J20">
        <v>0.570088899985421</v>
      </c>
      <c r="K20" t="s">
        <v>46</v>
      </c>
      <c r="L20">
        <v>4</v>
      </c>
      <c r="M20">
        <v>0</v>
      </c>
      <c r="N20">
        <v>16</v>
      </c>
      <c r="O20">
        <v>1</v>
      </c>
      <c r="P20">
        <v>19.710977000009699</v>
      </c>
      <c r="U20">
        <v>19.701132800022599</v>
      </c>
      <c r="V20">
        <v>19.710977000009699</v>
      </c>
      <c r="W20">
        <v>20.190422600018699</v>
      </c>
      <c r="X20">
        <v>20.190422600018699</v>
      </c>
      <c r="Y20">
        <v>20.190422600018699</v>
      </c>
      <c r="Z20">
        <v>20.7631259000045</v>
      </c>
      <c r="AA20" t="s">
        <v>51</v>
      </c>
      <c r="AB20">
        <v>1</v>
      </c>
      <c r="AC20">
        <v>0.570088899985421</v>
      </c>
      <c r="AD20" t="s">
        <v>46</v>
      </c>
      <c r="AI20">
        <v>2</v>
      </c>
      <c r="AJ20">
        <v>1</v>
      </c>
      <c r="AK20" t="s">
        <v>56</v>
      </c>
      <c r="AL20" t="s">
        <v>44</v>
      </c>
      <c r="AN20" t="s">
        <v>45</v>
      </c>
      <c r="AO20" t="s">
        <v>46</v>
      </c>
      <c r="AP20" t="s">
        <v>57</v>
      </c>
    </row>
    <row r="21" spans="1:42" x14ac:dyDescent="0.3">
      <c r="A21" t="s">
        <v>48</v>
      </c>
      <c r="B21" t="s">
        <v>53</v>
      </c>
      <c r="C21" t="s">
        <v>55</v>
      </c>
      <c r="D21" t="s">
        <v>54</v>
      </c>
      <c r="E21">
        <v>19</v>
      </c>
      <c r="F21">
        <v>3</v>
      </c>
      <c r="G21">
        <v>4</v>
      </c>
      <c r="H21" t="s">
        <v>54</v>
      </c>
      <c r="I21">
        <v>1</v>
      </c>
      <c r="J21">
        <v>0.57862099999328998</v>
      </c>
      <c r="K21" t="s">
        <v>46</v>
      </c>
      <c r="L21">
        <v>4</v>
      </c>
      <c r="M21">
        <v>3</v>
      </c>
      <c r="N21">
        <v>19</v>
      </c>
      <c r="O21">
        <v>2</v>
      </c>
      <c r="P21">
        <v>22.760373600001898</v>
      </c>
      <c r="U21">
        <v>22.749866200028901</v>
      </c>
      <c r="V21">
        <v>22.760373600001898</v>
      </c>
      <c r="W21">
        <v>23.2389999000006</v>
      </c>
      <c r="X21">
        <v>23.2389999000006</v>
      </c>
      <c r="Y21">
        <v>23.2389999000006</v>
      </c>
      <c r="Z21">
        <v>23.818906200001901</v>
      </c>
      <c r="AA21" t="s">
        <v>54</v>
      </c>
      <c r="AB21">
        <v>1</v>
      </c>
      <c r="AC21">
        <v>0.57862099999328998</v>
      </c>
      <c r="AD21" t="s">
        <v>46</v>
      </c>
      <c r="AI21">
        <v>2</v>
      </c>
      <c r="AJ21">
        <v>1</v>
      </c>
      <c r="AK21" t="s">
        <v>56</v>
      </c>
      <c r="AL21" t="s">
        <v>44</v>
      </c>
      <c r="AN21" t="s">
        <v>45</v>
      </c>
      <c r="AO21" t="s">
        <v>46</v>
      </c>
      <c r="AP21" t="s">
        <v>57</v>
      </c>
    </row>
    <row r="22" spans="1:42" x14ac:dyDescent="0.3">
      <c r="R22">
        <v>2.08675999892875E-2</v>
      </c>
      <c r="S22">
        <v>3.1670800002757397E-2</v>
      </c>
      <c r="T22">
        <v>1.0067527000210199</v>
      </c>
      <c r="AI22">
        <v>2</v>
      </c>
      <c r="AJ22">
        <v>1</v>
      </c>
      <c r="AK22" t="s">
        <v>56</v>
      </c>
      <c r="AL22" t="s">
        <v>44</v>
      </c>
      <c r="AN22" t="s">
        <v>45</v>
      </c>
      <c r="AO22" t="s">
        <v>46</v>
      </c>
      <c r="AP22" t="s">
        <v>57</v>
      </c>
    </row>
    <row r="23" spans="1:42" x14ac:dyDescent="0.3">
      <c r="AE23">
        <v>23.819024400028798</v>
      </c>
      <c r="AF23">
        <v>23.8294118000194</v>
      </c>
      <c r="AG23">
        <v>24.822589999996101</v>
      </c>
      <c r="AH23">
        <v>24.818487000011299</v>
      </c>
      <c r="AI23">
        <v>2</v>
      </c>
      <c r="AJ23">
        <v>1</v>
      </c>
      <c r="AK23" t="s">
        <v>56</v>
      </c>
      <c r="AL23" t="s">
        <v>44</v>
      </c>
      <c r="AN23" t="s">
        <v>45</v>
      </c>
      <c r="AO23" t="s">
        <v>46</v>
      </c>
      <c r="AP23" t="s">
        <v>57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A08A-C5C0-422B-80FD-C06806C9E0D5}">
  <dimension ref="A1:AP23"/>
  <sheetViews>
    <sheetView workbookViewId="0">
      <selection activeCell="I1" sqref="I1:I104857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3">
      <c r="A2" t="s">
        <v>52</v>
      </c>
      <c r="B2" t="s">
        <v>53</v>
      </c>
      <c r="C2" t="s">
        <v>50</v>
      </c>
      <c r="D2" t="s">
        <v>54</v>
      </c>
      <c r="E2">
        <v>2</v>
      </c>
      <c r="F2">
        <v>2</v>
      </c>
      <c r="G2">
        <v>0</v>
      </c>
      <c r="H2" t="s">
        <v>54</v>
      </c>
      <c r="I2">
        <v>1</v>
      </c>
      <c r="J2">
        <v>0.46506219997536302</v>
      </c>
      <c r="K2" t="s">
        <v>46</v>
      </c>
      <c r="L2">
        <v>0</v>
      </c>
      <c r="M2">
        <v>2</v>
      </c>
      <c r="N2">
        <v>2</v>
      </c>
      <c r="O2">
        <v>0</v>
      </c>
      <c r="P2">
        <v>3.1378454000223401</v>
      </c>
      <c r="U2">
        <v>3.1280256000463802</v>
      </c>
      <c r="V2">
        <v>3.1378454000223401</v>
      </c>
      <c r="W2">
        <v>3.6240669999970101</v>
      </c>
      <c r="X2">
        <v>3.6240669999970101</v>
      </c>
      <c r="Y2">
        <v>3.6240669999970101</v>
      </c>
      <c r="Z2">
        <v>4.0927747000241599</v>
      </c>
      <c r="AA2" t="s">
        <v>54</v>
      </c>
      <c r="AB2">
        <v>1</v>
      </c>
      <c r="AC2">
        <v>0.46506219997536302</v>
      </c>
      <c r="AD2" t="s">
        <v>46</v>
      </c>
      <c r="AI2">
        <v>3</v>
      </c>
      <c r="AJ2">
        <v>1</v>
      </c>
      <c r="AK2" t="s">
        <v>58</v>
      </c>
      <c r="AL2" t="s">
        <v>44</v>
      </c>
      <c r="AN2" t="s">
        <v>45</v>
      </c>
      <c r="AO2" t="s">
        <v>46</v>
      </c>
      <c r="AP2" t="s">
        <v>59</v>
      </c>
    </row>
    <row r="3" spans="1:42" x14ac:dyDescent="0.3">
      <c r="A3" t="s">
        <v>48</v>
      </c>
      <c r="B3" t="s">
        <v>49</v>
      </c>
      <c r="C3" t="s">
        <v>50</v>
      </c>
      <c r="D3" t="s">
        <v>51</v>
      </c>
      <c r="E3">
        <v>3</v>
      </c>
      <c r="F3">
        <v>3</v>
      </c>
      <c r="G3">
        <v>0</v>
      </c>
      <c r="H3" t="s">
        <v>51</v>
      </c>
      <c r="I3">
        <v>1</v>
      </c>
      <c r="J3">
        <v>0.36984170001232902</v>
      </c>
      <c r="K3" t="s">
        <v>46</v>
      </c>
      <c r="L3">
        <v>0</v>
      </c>
      <c r="M3">
        <v>3</v>
      </c>
      <c r="N3">
        <v>3</v>
      </c>
      <c r="O3">
        <v>3</v>
      </c>
      <c r="P3">
        <v>4.1030380000011002</v>
      </c>
      <c r="U3">
        <v>4.0962108999956399</v>
      </c>
      <c r="V3">
        <v>4.1030380000011002</v>
      </c>
      <c r="W3">
        <v>4.5893449000432103</v>
      </c>
      <c r="X3">
        <v>4.5893449000432103</v>
      </c>
      <c r="Y3">
        <v>4.5893449000432103</v>
      </c>
      <c r="Z3">
        <v>4.9674841000232801</v>
      </c>
      <c r="AA3" t="s">
        <v>51</v>
      </c>
      <c r="AB3">
        <v>1</v>
      </c>
      <c r="AC3">
        <v>0.36984170001232902</v>
      </c>
      <c r="AD3" t="s">
        <v>46</v>
      </c>
      <c r="AI3">
        <v>3</v>
      </c>
      <c r="AJ3">
        <v>1</v>
      </c>
      <c r="AK3" t="s">
        <v>58</v>
      </c>
      <c r="AL3" t="s">
        <v>44</v>
      </c>
      <c r="AN3" t="s">
        <v>45</v>
      </c>
      <c r="AO3" t="s">
        <v>46</v>
      </c>
      <c r="AP3" t="s">
        <v>59</v>
      </c>
    </row>
    <row r="4" spans="1:42" x14ac:dyDescent="0.3">
      <c r="A4" t="s">
        <v>52</v>
      </c>
      <c r="B4" t="s">
        <v>53</v>
      </c>
      <c r="C4" t="s">
        <v>50</v>
      </c>
      <c r="D4" t="s">
        <v>54</v>
      </c>
      <c r="E4">
        <v>5</v>
      </c>
      <c r="F4">
        <v>1</v>
      </c>
      <c r="G4">
        <v>1</v>
      </c>
      <c r="H4" t="s">
        <v>54</v>
      </c>
      <c r="I4">
        <v>1</v>
      </c>
      <c r="J4">
        <v>0.45480439998209399</v>
      </c>
      <c r="K4" t="s">
        <v>46</v>
      </c>
      <c r="L4">
        <v>1</v>
      </c>
      <c r="M4">
        <v>1</v>
      </c>
      <c r="N4">
        <v>5</v>
      </c>
      <c r="O4">
        <v>0</v>
      </c>
      <c r="P4">
        <v>5.8667276999913103</v>
      </c>
      <c r="U4">
        <v>5.8611651000101102</v>
      </c>
      <c r="V4">
        <v>5.8667276999913103</v>
      </c>
      <c r="W4">
        <v>6.3601099000079504</v>
      </c>
      <c r="X4">
        <v>6.3601099000079504</v>
      </c>
      <c r="Y4">
        <v>6.3601099000079504</v>
      </c>
      <c r="Z4">
        <v>6.8155262999934996</v>
      </c>
      <c r="AA4" t="s">
        <v>54</v>
      </c>
      <c r="AB4">
        <v>1</v>
      </c>
      <c r="AC4">
        <v>0.45480439998209399</v>
      </c>
      <c r="AD4" t="s">
        <v>46</v>
      </c>
      <c r="AI4">
        <v>3</v>
      </c>
      <c r="AJ4">
        <v>1</v>
      </c>
      <c r="AK4" t="s">
        <v>58</v>
      </c>
      <c r="AL4" t="s">
        <v>44</v>
      </c>
      <c r="AN4" t="s">
        <v>45</v>
      </c>
      <c r="AO4" t="s">
        <v>46</v>
      </c>
      <c r="AP4" t="s">
        <v>59</v>
      </c>
    </row>
    <row r="5" spans="1:42" x14ac:dyDescent="0.3">
      <c r="A5" t="s">
        <v>48</v>
      </c>
      <c r="B5" t="s">
        <v>49</v>
      </c>
      <c r="C5" t="s">
        <v>50</v>
      </c>
      <c r="D5" t="s">
        <v>51</v>
      </c>
      <c r="E5">
        <v>6</v>
      </c>
      <c r="F5">
        <v>2</v>
      </c>
      <c r="G5">
        <v>1</v>
      </c>
      <c r="H5" t="s">
        <v>51</v>
      </c>
      <c r="I5">
        <v>1</v>
      </c>
      <c r="J5">
        <v>0.29590809997171102</v>
      </c>
      <c r="K5" t="s">
        <v>46</v>
      </c>
      <c r="L5">
        <v>1</v>
      </c>
      <c r="M5">
        <v>2</v>
      </c>
      <c r="N5">
        <v>6</v>
      </c>
      <c r="O5">
        <v>3</v>
      </c>
      <c r="P5">
        <v>6.8255845000385298</v>
      </c>
      <c r="U5">
        <v>6.8199365999898802</v>
      </c>
      <c r="V5">
        <v>6.8255845000385298</v>
      </c>
      <c r="W5">
        <v>7.3254929000395297</v>
      </c>
      <c r="X5">
        <v>7.3254929000395297</v>
      </c>
      <c r="Y5">
        <v>7.3254929000395297</v>
      </c>
      <c r="Z5">
        <v>7.64833029999863</v>
      </c>
      <c r="AA5" t="s">
        <v>51</v>
      </c>
      <c r="AB5">
        <v>1</v>
      </c>
      <c r="AC5">
        <v>0.29590809997171102</v>
      </c>
      <c r="AD5" t="s">
        <v>46</v>
      </c>
      <c r="AI5">
        <v>3</v>
      </c>
      <c r="AJ5">
        <v>1</v>
      </c>
      <c r="AK5" t="s">
        <v>58</v>
      </c>
      <c r="AL5" t="s">
        <v>44</v>
      </c>
      <c r="AN5" t="s">
        <v>45</v>
      </c>
      <c r="AO5" t="s">
        <v>46</v>
      </c>
      <c r="AP5" t="s">
        <v>59</v>
      </c>
    </row>
    <row r="6" spans="1:42" x14ac:dyDescent="0.3">
      <c r="A6" t="s">
        <v>48</v>
      </c>
      <c r="B6" t="s">
        <v>49</v>
      </c>
      <c r="C6" t="s">
        <v>50</v>
      </c>
      <c r="D6" t="s">
        <v>51</v>
      </c>
      <c r="E6">
        <v>8</v>
      </c>
      <c r="F6">
        <v>0</v>
      </c>
      <c r="G6">
        <v>2</v>
      </c>
      <c r="H6" t="s">
        <v>51</v>
      </c>
      <c r="I6">
        <v>1</v>
      </c>
      <c r="J6">
        <v>0.40712099999654999</v>
      </c>
      <c r="K6" t="s">
        <v>46</v>
      </c>
      <c r="L6">
        <v>2</v>
      </c>
      <c r="M6">
        <v>0</v>
      </c>
      <c r="N6">
        <v>8</v>
      </c>
      <c r="O6">
        <v>3</v>
      </c>
      <c r="P6">
        <v>8.4296097999904305</v>
      </c>
      <c r="U6">
        <v>8.4234469000366499</v>
      </c>
      <c r="V6">
        <v>8.4296097999904305</v>
      </c>
      <c r="W6">
        <v>8.9157456000102595</v>
      </c>
      <c r="X6">
        <v>8.9157456000102595</v>
      </c>
      <c r="Y6">
        <v>8.9157456000102595</v>
      </c>
      <c r="Z6">
        <v>9.3364020000444707</v>
      </c>
      <c r="AA6" t="s">
        <v>51</v>
      </c>
      <c r="AB6">
        <v>1</v>
      </c>
      <c r="AC6">
        <v>0.40712099999654999</v>
      </c>
      <c r="AD6" t="s">
        <v>46</v>
      </c>
      <c r="AI6">
        <v>3</v>
      </c>
      <c r="AJ6">
        <v>1</v>
      </c>
      <c r="AK6" t="s">
        <v>58</v>
      </c>
      <c r="AL6" t="s">
        <v>44</v>
      </c>
      <c r="AN6" t="s">
        <v>45</v>
      </c>
      <c r="AO6" t="s">
        <v>46</v>
      </c>
      <c r="AP6" t="s">
        <v>59</v>
      </c>
    </row>
    <row r="7" spans="1:42" x14ac:dyDescent="0.3">
      <c r="A7" t="s">
        <v>52</v>
      </c>
      <c r="B7" t="s">
        <v>53</v>
      </c>
      <c r="C7" t="s">
        <v>50</v>
      </c>
      <c r="D7" t="s">
        <v>54</v>
      </c>
      <c r="E7">
        <v>10</v>
      </c>
      <c r="F7">
        <v>2</v>
      </c>
      <c r="G7">
        <v>2</v>
      </c>
      <c r="H7" t="s">
        <v>54</v>
      </c>
      <c r="I7">
        <v>1</v>
      </c>
      <c r="J7">
        <v>0.41814010002417401</v>
      </c>
      <c r="K7" t="s">
        <v>46</v>
      </c>
      <c r="L7">
        <v>2</v>
      </c>
      <c r="M7">
        <v>2</v>
      </c>
      <c r="N7">
        <v>10</v>
      </c>
      <c r="O7">
        <v>0</v>
      </c>
      <c r="P7">
        <v>10.2279319000081</v>
      </c>
      <c r="U7">
        <v>10.218539900030001</v>
      </c>
      <c r="V7">
        <v>10.2279319000081</v>
      </c>
      <c r="W7">
        <v>10.721745499991799</v>
      </c>
      <c r="X7">
        <v>10.721745499991799</v>
      </c>
      <c r="Y7">
        <v>10.721745499991799</v>
      </c>
      <c r="Z7">
        <v>11.1416467000381</v>
      </c>
      <c r="AA7" t="s">
        <v>54</v>
      </c>
      <c r="AB7">
        <v>1</v>
      </c>
      <c r="AC7">
        <v>0.41814010002417401</v>
      </c>
      <c r="AD7" t="s">
        <v>46</v>
      </c>
      <c r="AI7">
        <v>3</v>
      </c>
      <c r="AJ7">
        <v>1</v>
      </c>
      <c r="AK7" t="s">
        <v>58</v>
      </c>
      <c r="AL7" t="s">
        <v>44</v>
      </c>
      <c r="AN7" t="s">
        <v>45</v>
      </c>
      <c r="AO7" t="s">
        <v>46</v>
      </c>
      <c r="AP7" t="s">
        <v>59</v>
      </c>
    </row>
    <row r="8" spans="1:42" x14ac:dyDescent="0.3">
      <c r="A8" t="s">
        <v>48</v>
      </c>
      <c r="B8" t="s">
        <v>49</v>
      </c>
      <c r="C8" t="s">
        <v>50</v>
      </c>
      <c r="D8" t="s">
        <v>51</v>
      </c>
      <c r="E8">
        <v>14</v>
      </c>
      <c r="F8">
        <v>2</v>
      </c>
      <c r="G8">
        <v>3</v>
      </c>
      <c r="H8" t="s">
        <v>51</v>
      </c>
      <c r="I8">
        <v>1</v>
      </c>
      <c r="J8">
        <v>0.31218479998642501</v>
      </c>
      <c r="K8" t="s">
        <v>46</v>
      </c>
      <c r="L8">
        <v>3</v>
      </c>
      <c r="M8">
        <v>2</v>
      </c>
      <c r="N8">
        <v>14</v>
      </c>
      <c r="O8">
        <v>3</v>
      </c>
      <c r="P8">
        <v>13.783501000027099</v>
      </c>
      <c r="U8">
        <v>13.777379800041601</v>
      </c>
      <c r="V8">
        <v>13.783501000027099</v>
      </c>
      <c r="W8">
        <v>14.2767499000183</v>
      </c>
      <c r="X8">
        <v>14.2767499000183</v>
      </c>
      <c r="Y8">
        <v>14.2767499000183</v>
      </c>
      <c r="Z8">
        <v>14.6000552999903</v>
      </c>
      <c r="AA8" t="s">
        <v>51</v>
      </c>
      <c r="AB8">
        <v>1</v>
      </c>
      <c r="AC8">
        <v>0.31218479998642501</v>
      </c>
      <c r="AD8" t="s">
        <v>46</v>
      </c>
      <c r="AI8">
        <v>3</v>
      </c>
      <c r="AJ8">
        <v>1</v>
      </c>
      <c r="AK8" t="s">
        <v>58</v>
      </c>
      <c r="AL8" t="s">
        <v>44</v>
      </c>
      <c r="AN8" t="s">
        <v>45</v>
      </c>
      <c r="AO8" t="s">
        <v>46</v>
      </c>
      <c r="AP8" t="s">
        <v>59</v>
      </c>
    </row>
    <row r="9" spans="1:42" x14ac:dyDescent="0.3">
      <c r="A9" t="s">
        <v>52</v>
      </c>
      <c r="B9" t="s">
        <v>53</v>
      </c>
      <c r="C9" t="s">
        <v>50</v>
      </c>
      <c r="D9" t="s">
        <v>54</v>
      </c>
      <c r="E9">
        <v>15</v>
      </c>
      <c r="F9">
        <v>3</v>
      </c>
      <c r="G9">
        <v>3</v>
      </c>
      <c r="H9" t="s">
        <v>54</v>
      </c>
      <c r="I9">
        <v>1</v>
      </c>
      <c r="J9">
        <v>0.33461070002522297</v>
      </c>
      <c r="K9" t="s">
        <v>46</v>
      </c>
      <c r="L9">
        <v>3</v>
      </c>
      <c r="M9">
        <v>3</v>
      </c>
      <c r="N9">
        <v>15</v>
      </c>
      <c r="O9">
        <v>0</v>
      </c>
      <c r="P9">
        <v>14.6098312000394</v>
      </c>
      <c r="U9">
        <v>14.603649399999901</v>
      </c>
      <c r="V9">
        <v>14.6098312000394</v>
      </c>
      <c r="W9">
        <v>15.096218599996</v>
      </c>
      <c r="X9">
        <v>15.096218599996</v>
      </c>
      <c r="Y9">
        <v>15.096218599996</v>
      </c>
      <c r="Z9">
        <v>15.4400034000282</v>
      </c>
      <c r="AA9" t="s">
        <v>54</v>
      </c>
      <c r="AB9">
        <v>1</v>
      </c>
      <c r="AC9">
        <v>0.33461070002522297</v>
      </c>
      <c r="AD9" t="s">
        <v>46</v>
      </c>
      <c r="AI9">
        <v>3</v>
      </c>
      <c r="AJ9">
        <v>1</v>
      </c>
      <c r="AK9" t="s">
        <v>58</v>
      </c>
      <c r="AL9" t="s">
        <v>44</v>
      </c>
      <c r="AN9" t="s">
        <v>45</v>
      </c>
      <c r="AO9" t="s">
        <v>46</v>
      </c>
      <c r="AP9" t="s">
        <v>59</v>
      </c>
    </row>
    <row r="10" spans="1:42" x14ac:dyDescent="0.3">
      <c r="A10" t="s">
        <v>52</v>
      </c>
      <c r="B10" t="s">
        <v>53</v>
      </c>
      <c r="C10" t="s">
        <v>50</v>
      </c>
      <c r="D10" t="s">
        <v>54</v>
      </c>
      <c r="E10">
        <v>17</v>
      </c>
      <c r="F10">
        <v>1</v>
      </c>
      <c r="G10">
        <v>4</v>
      </c>
      <c r="H10" t="s">
        <v>54</v>
      </c>
      <c r="I10">
        <v>1</v>
      </c>
      <c r="J10">
        <v>0.34245990001363602</v>
      </c>
      <c r="K10" t="s">
        <v>46</v>
      </c>
      <c r="L10">
        <v>4</v>
      </c>
      <c r="M10">
        <v>1</v>
      </c>
      <c r="N10">
        <v>17</v>
      </c>
      <c r="O10">
        <v>0</v>
      </c>
      <c r="P10">
        <v>16.498839600011699</v>
      </c>
      <c r="U10">
        <v>16.489003200025699</v>
      </c>
      <c r="V10">
        <v>16.498839600011699</v>
      </c>
      <c r="W10">
        <v>16.9921550000435</v>
      </c>
      <c r="X10">
        <v>16.9921550000435</v>
      </c>
      <c r="Y10">
        <v>16.9921550000435</v>
      </c>
      <c r="Z10">
        <v>17.342392400023499</v>
      </c>
      <c r="AA10" t="s">
        <v>54</v>
      </c>
      <c r="AB10">
        <v>1</v>
      </c>
      <c r="AC10">
        <v>0.34245990001363602</v>
      </c>
      <c r="AD10" t="s">
        <v>46</v>
      </c>
      <c r="AI10">
        <v>3</v>
      </c>
      <c r="AJ10">
        <v>1</v>
      </c>
      <c r="AK10" t="s">
        <v>58</v>
      </c>
      <c r="AL10" t="s">
        <v>44</v>
      </c>
      <c r="AN10" t="s">
        <v>45</v>
      </c>
      <c r="AO10" t="s">
        <v>46</v>
      </c>
      <c r="AP10" t="s">
        <v>59</v>
      </c>
    </row>
    <row r="11" spans="1:42" x14ac:dyDescent="0.3">
      <c r="A11" t="s">
        <v>48</v>
      </c>
      <c r="B11" t="s">
        <v>49</v>
      </c>
      <c r="C11" t="s">
        <v>50</v>
      </c>
      <c r="D11" t="s">
        <v>51</v>
      </c>
      <c r="E11">
        <v>19</v>
      </c>
      <c r="F11">
        <v>3</v>
      </c>
      <c r="G11">
        <v>4</v>
      </c>
      <c r="H11" t="s">
        <v>51</v>
      </c>
      <c r="I11">
        <v>1</v>
      </c>
      <c r="J11">
        <v>0.48865660000592398</v>
      </c>
      <c r="K11" t="s">
        <v>46</v>
      </c>
      <c r="L11">
        <v>4</v>
      </c>
      <c r="M11">
        <v>3</v>
      </c>
      <c r="N11">
        <v>19</v>
      </c>
      <c r="O11">
        <v>3</v>
      </c>
      <c r="P11">
        <v>18.290462200006001</v>
      </c>
      <c r="U11">
        <v>18.2810076000168</v>
      </c>
      <c r="V11">
        <v>18.290462200006001</v>
      </c>
      <c r="W11">
        <v>18.783689800009501</v>
      </c>
      <c r="X11">
        <v>18.783689800009501</v>
      </c>
      <c r="Y11">
        <v>18.783689800009501</v>
      </c>
      <c r="Z11">
        <v>19.2748973999987</v>
      </c>
      <c r="AA11" t="s">
        <v>51</v>
      </c>
      <c r="AB11">
        <v>1</v>
      </c>
      <c r="AC11">
        <v>0.48865660000592398</v>
      </c>
      <c r="AD11" t="s">
        <v>46</v>
      </c>
      <c r="AI11">
        <v>3</v>
      </c>
      <c r="AJ11">
        <v>1</v>
      </c>
      <c r="AK11" t="s">
        <v>58</v>
      </c>
      <c r="AL11" t="s">
        <v>44</v>
      </c>
      <c r="AN11" t="s">
        <v>45</v>
      </c>
      <c r="AO11" t="s">
        <v>46</v>
      </c>
      <c r="AP11" t="s">
        <v>59</v>
      </c>
    </row>
    <row r="12" spans="1:42" x14ac:dyDescent="0.3">
      <c r="A12" t="s">
        <v>48</v>
      </c>
      <c r="B12" t="s">
        <v>53</v>
      </c>
      <c r="C12" t="s">
        <v>55</v>
      </c>
      <c r="D12" t="s">
        <v>54</v>
      </c>
      <c r="E12">
        <v>0</v>
      </c>
      <c r="F12">
        <v>0</v>
      </c>
      <c r="G12">
        <v>0</v>
      </c>
      <c r="H12" t="s">
        <v>54</v>
      </c>
      <c r="I12">
        <v>1</v>
      </c>
      <c r="J12">
        <v>0.78917110001202595</v>
      </c>
      <c r="K12" t="s">
        <v>46</v>
      </c>
      <c r="L12">
        <v>0</v>
      </c>
      <c r="M12">
        <v>0</v>
      </c>
      <c r="N12">
        <v>0</v>
      </c>
      <c r="O12">
        <v>2</v>
      </c>
      <c r="P12">
        <v>1.02710480004316</v>
      </c>
      <c r="U12">
        <v>1.01959630002966</v>
      </c>
      <c r="V12">
        <v>1.02710480004316</v>
      </c>
      <c r="W12">
        <v>1.5059954000171201</v>
      </c>
      <c r="X12">
        <v>1.5059954000171201</v>
      </c>
      <c r="Y12">
        <v>1.5059954000171201</v>
      </c>
      <c r="Z12">
        <v>2.30884690000675</v>
      </c>
      <c r="AA12" t="s">
        <v>54</v>
      </c>
      <c r="AB12">
        <v>1</v>
      </c>
      <c r="AC12">
        <v>0.78917110001202595</v>
      </c>
      <c r="AD12" t="s">
        <v>46</v>
      </c>
      <c r="AI12">
        <v>3</v>
      </c>
      <c r="AJ12">
        <v>1</v>
      </c>
      <c r="AK12" t="s">
        <v>58</v>
      </c>
      <c r="AL12" t="s">
        <v>44</v>
      </c>
      <c r="AN12" t="s">
        <v>45</v>
      </c>
      <c r="AO12" t="s">
        <v>46</v>
      </c>
      <c r="AP12" t="s">
        <v>59</v>
      </c>
    </row>
    <row r="13" spans="1:42" x14ac:dyDescent="0.3">
      <c r="A13" t="s">
        <v>52</v>
      </c>
      <c r="B13" t="s">
        <v>49</v>
      </c>
      <c r="C13" t="s">
        <v>55</v>
      </c>
      <c r="D13" t="s">
        <v>51</v>
      </c>
      <c r="E13">
        <v>1</v>
      </c>
      <c r="F13">
        <v>1</v>
      </c>
      <c r="G13">
        <v>0</v>
      </c>
      <c r="H13" t="s">
        <v>51</v>
      </c>
      <c r="I13">
        <v>1</v>
      </c>
      <c r="J13">
        <v>0.315302499977406</v>
      </c>
      <c r="K13" t="s">
        <v>46</v>
      </c>
      <c r="L13">
        <v>0</v>
      </c>
      <c r="M13">
        <v>1</v>
      </c>
      <c r="N13">
        <v>1</v>
      </c>
      <c r="O13">
        <v>1</v>
      </c>
      <c r="P13">
        <v>2.3250266000395601</v>
      </c>
      <c r="U13">
        <v>2.31442950002383</v>
      </c>
      <c r="V13">
        <v>2.3250266000395601</v>
      </c>
      <c r="W13">
        <v>2.8046226000296799</v>
      </c>
      <c r="X13">
        <v>2.8046226000296799</v>
      </c>
      <c r="Y13">
        <v>2.8046226000296799</v>
      </c>
      <c r="Z13">
        <v>3.1275432000402299</v>
      </c>
      <c r="AA13" t="s">
        <v>51</v>
      </c>
      <c r="AB13">
        <v>1</v>
      </c>
      <c r="AC13">
        <v>0.315302499977406</v>
      </c>
      <c r="AD13" t="s">
        <v>46</v>
      </c>
      <c r="AI13">
        <v>3</v>
      </c>
      <c r="AJ13">
        <v>1</v>
      </c>
      <c r="AK13" t="s">
        <v>58</v>
      </c>
      <c r="AL13" t="s">
        <v>44</v>
      </c>
      <c r="AN13" t="s">
        <v>45</v>
      </c>
      <c r="AO13" t="s">
        <v>46</v>
      </c>
      <c r="AP13" t="s">
        <v>59</v>
      </c>
    </row>
    <row r="14" spans="1:42" x14ac:dyDescent="0.3">
      <c r="A14" t="s">
        <v>48</v>
      </c>
      <c r="B14" t="s">
        <v>53</v>
      </c>
      <c r="C14" t="s">
        <v>55</v>
      </c>
      <c r="D14" t="s">
        <v>54</v>
      </c>
      <c r="E14">
        <v>4</v>
      </c>
      <c r="F14">
        <v>0</v>
      </c>
      <c r="G14">
        <v>1</v>
      </c>
      <c r="H14" t="s">
        <v>54</v>
      </c>
      <c r="I14">
        <v>1</v>
      </c>
      <c r="J14">
        <v>0.39088049996644197</v>
      </c>
      <c r="K14" t="s">
        <v>46</v>
      </c>
      <c r="L14">
        <v>1</v>
      </c>
      <c r="M14">
        <v>0</v>
      </c>
      <c r="N14">
        <v>4</v>
      </c>
      <c r="O14">
        <v>2</v>
      </c>
      <c r="P14">
        <v>4.9783685000147599</v>
      </c>
      <c r="U14">
        <v>4.9679351000231602</v>
      </c>
      <c r="V14">
        <v>4.9783685000147599</v>
      </c>
      <c r="W14">
        <v>5.4641407000017299</v>
      </c>
      <c r="X14">
        <v>5.4641407000017299</v>
      </c>
      <c r="Y14">
        <v>5.4641407000017299</v>
      </c>
      <c r="Z14">
        <v>5.85809860000154</v>
      </c>
      <c r="AA14" t="s">
        <v>54</v>
      </c>
      <c r="AB14">
        <v>1</v>
      </c>
      <c r="AC14">
        <v>0.39088049996644197</v>
      </c>
      <c r="AD14" t="s">
        <v>46</v>
      </c>
      <c r="AI14">
        <v>3</v>
      </c>
      <c r="AJ14">
        <v>1</v>
      </c>
      <c r="AK14" t="s">
        <v>58</v>
      </c>
      <c r="AL14" t="s">
        <v>44</v>
      </c>
      <c r="AN14" t="s">
        <v>45</v>
      </c>
      <c r="AO14" t="s">
        <v>46</v>
      </c>
      <c r="AP14" t="s">
        <v>59</v>
      </c>
    </row>
    <row r="15" spans="1:42" x14ac:dyDescent="0.3">
      <c r="A15" t="s">
        <v>52</v>
      </c>
      <c r="B15" t="s">
        <v>49</v>
      </c>
      <c r="C15" t="s">
        <v>55</v>
      </c>
      <c r="D15" t="s">
        <v>51</v>
      </c>
      <c r="E15">
        <v>7</v>
      </c>
      <c r="F15">
        <v>3</v>
      </c>
      <c r="G15">
        <v>1</v>
      </c>
      <c r="H15" t="s">
        <v>51</v>
      </c>
      <c r="I15">
        <v>1</v>
      </c>
      <c r="J15">
        <v>0.260722299979534</v>
      </c>
      <c r="K15" t="s">
        <v>46</v>
      </c>
      <c r="L15">
        <v>1</v>
      </c>
      <c r="M15">
        <v>3</v>
      </c>
      <c r="N15">
        <v>7</v>
      </c>
      <c r="O15">
        <v>1</v>
      </c>
      <c r="P15">
        <v>7.6730966999893999</v>
      </c>
      <c r="U15">
        <v>7.6514018000452699</v>
      </c>
      <c r="V15">
        <v>7.6730966999893999</v>
      </c>
      <c r="W15">
        <v>8.1524569000466691</v>
      </c>
      <c r="X15">
        <v>8.1524569000466691</v>
      </c>
      <c r="Y15">
        <v>8.1524569000466691</v>
      </c>
      <c r="Z15">
        <v>8.4197243000380695</v>
      </c>
      <c r="AA15" t="s">
        <v>51</v>
      </c>
      <c r="AB15">
        <v>1</v>
      </c>
      <c r="AC15">
        <v>0.260722299979534</v>
      </c>
      <c r="AD15" t="s">
        <v>46</v>
      </c>
      <c r="AI15">
        <v>3</v>
      </c>
      <c r="AJ15">
        <v>1</v>
      </c>
      <c r="AK15" t="s">
        <v>58</v>
      </c>
      <c r="AL15" t="s">
        <v>44</v>
      </c>
      <c r="AN15" t="s">
        <v>45</v>
      </c>
      <c r="AO15" t="s">
        <v>46</v>
      </c>
      <c r="AP15" t="s">
        <v>59</v>
      </c>
    </row>
    <row r="16" spans="1:42" x14ac:dyDescent="0.3">
      <c r="A16" t="s">
        <v>52</v>
      </c>
      <c r="B16" t="s">
        <v>49</v>
      </c>
      <c r="C16" t="s">
        <v>55</v>
      </c>
      <c r="D16" t="s">
        <v>51</v>
      </c>
      <c r="E16">
        <v>9</v>
      </c>
      <c r="F16">
        <v>1</v>
      </c>
      <c r="G16">
        <v>2</v>
      </c>
      <c r="H16" t="s">
        <v>51</v>
      </c>
      <c r="I16">
        <v>1</v>
      </c>
      <c r="J16">
        <v>0.38309970003319899</v>
      </c>
      <c r="K16" t="s">
        <v>46</v>
      </c>
      <c r="L16">
        <v>2</v>
      </c>
      <c r="M16">
        <v>1</v>
      </c>
      <c r="N16">
        <v>9</v>
      </c>
      <c r="O16">
        <v>1</v>
      </c>
      <c r="P16">
        <v>9.3461592000094207</v>
      </c>
      <c r="U16">
        <v>9.3397699000197392</v>
      </c>
      <c r="V16">
        <v>9.3461592000094207</v>
      </c>
      <c r="W16">
        <v>9.8324491000385006</v>
      </c>
      <c r="X16">
        <v>9.8324491000385006</v>
      </c>
      <c r="Y16">
        <v>9.8324491000385006</v>
      </c>
      <c r="Z16">
        <v>10.217870799999201</v>
      </c>
      <c r="AA16" t="s">
        <v>51</v>
      </c>
      <c r="AB16">
        <v>1</v>
      </c>
      <c r="AC16">
        <v>0.38309970003319899</v>
      </c>
      <c r="AD16" t="s">
        <v>46</v>
      </c>
      <c r="AI16">
        <v>3</v>
      </c>
      <c r="AJ16">
        <v>1</v>
      </c>
      <c r="AK16" t="s">
        <v>58</v>
      </c>
      <c r="AL16" t="s">
        <v>44</v>
      </c>
      <c r="AN16" t="s">
        <v>45</v>
      </c>
      <c r="AO16" t="s">
        <v>46</v>
      </c>
      <c r="AP16" t="s">
        <v>59</v>
      </c>
    </row>
    <row r="17" spans="1:42" x14ac:dyDescent="0.3">
      <c r="A17" t="s">
        <v>48</v>
      </c>
      <c r="B17" t="s">
        <v>53</v>
      </c>
      <c r="C17" t="s">
        <v>55</v>
      </c>
      <c r="D17" t="s">
        <v>54</v>
      </c>
      <c r="E17">
        <v>11</v>
      </c>
      <c r="F17">
        <v>3</v>
      </c>
      <c r="G17">
        <v>2</v>
      </c>
      <c r="H17" t="s">
        <v>54</v>
      </c>
      <c r="I17">
        <v>1</v>
      </c>
      <c r="J17">
        <v>0.35396490001585301</v>
      </c>
      <c r="K17" t="s">
        <v>46</v>
      </c>
      <c r="L17">
        <v>2</v>
      </c>
      <c r="M17">
        <v>3</v>
      </c>
      <c r="N17">
        <v>11</v>
      </c>
      <c r="O17">
        <v>2</v>
      </c>
      <c r="P17">
        <v>11.1516915000393</v>
      </c>
      <c r="U17">
        <v>11.145159300009199</v>
      </c>
      <c r="V17">
        <v>11.1516915000393</v>
      </c>
      <c r="W17">
        <v>11.6379480999894</v>
      </c>
      <c r="X17">
        <v>11.6379480999894</v>
      </c>
      <c r="Y17">
        <v>11.6379480999894</v>
      </c>
      <c r="Z17">
        <v>11.9958779000444</v>
      </c>
      <c r="AA17" t="s">
        <v>54</v>
      </c>
      <c r="AB17">
        <v>1</v>
      </c>
      <c r="AC17">
        <v>0.35396490001585301</v>
      </c>
      <c r="AD17" t="s">
        <v>46</v>
      </c>
      <c r="AI17">
        <v>3</v>
      </c>
      <c r="AJ17">
        <v>1</v>
      </c>
      <c r="AK17" t="s">
        <v>58</v>
      </c>
      <c r="AL17" t="s">
        <v>44</v>
      </c>
      <c r="AN17" t="s">
        <v>45</v>
      </c>
      <c r="AO17" t="s">
        <v>46</v>
      </c>
      <c r="AP17" t="s">
        <v>59</v>
      </c>
    </row>
    <row r="18" spans="1:42" x14ac:dyDescent="0.3">
      <c r="A18" t="s">
        <v>48</v>
      </c>
      <c r="B18" t="s">
        <v>53</v>
      </c>
      <c r="C18" t="s">
        <v>55</v>
      </c>
      <c r="D18" t="s">
        <v>54</v>
      </c>
      <c r="E18">
        <v>12</v>
      </c>
      <c r="F18">
        <v>0</v>
      </c>
      <c r="G18">
        <v>3</v>
      </c>
      <c r="H18" t="s">
        <v>54</v>
      </c>
      <c r="I18">
        <v>1</v>
      </c>
      <c r="J18">
        <v>0.39713050000136702</v>
      </c>
      <c r="K18" t="s">
        <v>46</v>
      </c>
      <c r="L18">
        <v>3</v>
      </c>
      <c r="M18">
        <v>0</v>
      </c>
      <c r="N18">
        <v>12</v>
      </c>
      <c r="O18">
        <v>2</v>
      </c>
      <c r="P18">
        <v>12.0058138000313</v>
      </c>
      <c r="U18">
        <v>11.9964125000406</v>
      </c>
      <c r="V18">
        <v>12.0058138000313</v>
      </c>
      <c r="W18">
        <v>12.492063799989401</v>
      </c>
      <c r="X18">
        <v>12.492063799989401</v>
      </c>
      <c r="Y18">
        <v>12.492063799989401</v>
      </c>
      <c r="Z18">
        <v>12.8918083000462</v>
      </c>
      <c r="AA18" t="s">
        <v>54</v>
      </c>
      <c r="AB18">
        <v>1</v>
      </c>
      <c r="AC18">
        <v>0.39713050000136702</v>
      </c>
      <c r="AD18" t="s">
        <v>46</v>
      </c>
      <c r="AI18">
        <v>3</v>
      </c>
      <c r="AJ18">
        <v>1</v>
      </c>
      <c r="AK18" t="s">
        <v>58</v>
      </c>
      <c r="AL18" t="s">
        <v>44</v>
      </c>
      <c r="AN18" t="s">
        <v>45</v>
      </c>
      <c r="AO18" t="s">
        <v>46</v>
      </c>
      <c r="AP18" t="s">
        <v>59</v>
      </c>
    </row>
    <row r="19" spans="1:42" x14ac:dyDescent="0.3">
      <c r="A19" t="s">
        <v>52</v>
      </c>
      <c r="B19" t="s">
        <v>49</v>
      </c>
      <c r="C19" t="s">
        <v>55</v>
      </c>
      <c r="D19" t="s">
        <v>51</v>
      </c>
      <c r="E19">
        <v>13</v>
      </c>
      <c r="F19">
        <v>1</v>
      </c>
      <c r="G19">
        <v>3</v>
      </c>
      <c r="H19" t="s">
        <v>51</v>
      </c>
      <c r="I19">
        <v>1</v>
      </c>
      <c r="J19">
        <v>0.37714769999729397</v>
      </c>
      <c r="K19" t="s">
        <v>46</v>
      </c>
      <c r="L19">
        <v>3</v>
      </c>
      <c r="M19">
        <v>1</v>
      </c>
      <c r="N19">
        <v>13</v>
      </c>
      <c r="O19">
        <v>1</v>
      </c>
      <c r="P19">
        <v>12.901527000009001</v>
      </c>
      <c r="U19">
        <v>12.895258300006301</v>
      </c>
      <c r="V19">
        <v>12.901527000009001</v>
      </c>
      <c r="W19">
        <v>13.3948478000238</v>
      </c>
      <c r="X19">
        <v>13.3948478000238</v>
      </c>
      <c r="Y19">
        <v>13.3948478000238</v>
      </c>
      <c r="Z19">
        <v>13.7737630000337</v>
      </c>
      <c r="AA19" t="s">
        <v>51</v>
      </c>
      <c r="AB19">
        <v>1</v>
      </c>
      <c r="AC19">
        <v>0.37714769999729397</v>
      </c>
      <c r="AD19" t="s">
        <v>46</v>
      </c>
      <c r="AI19">
        <v>3</v>
      </c>
      <c r="AJ19">
        <v>1</v>
      </c>
      <c r="AK19" t="s">
        <v>58</v>
      </c>
      <c r="AL19" t="s">
        <v>44</v>
      </c>
      <c r="AN19" t="s">
        <v>45</v>
      </c>
      <c r="AO19" t="s">
        <v>46</v>
      </c>
      <c r="AP19" t="s">
        <v>59</v>
      </c>
    </row>
    <row r="20" spans="1:42" x14ac:dyDescent="0.3">
      <c r="A20" t="s">
        <v>52</v>
      </c>
      <c r="B20" t="s">
        <v>49</v>
      </c>
      <c r="C20" t="s">
        <v>55</v>
      </c>
      <c r="D20" t="s">
        <v>51</v>
      </c>
      <c r="E20">
        <v>16</v>
      </c>
      <c r="F20">
        <v>0</v>
      </c>
      <c r="G20">
        <v>4</v>
      </c>
      <c r="H20" t="s">
        <v>51</v>
      </c>
      <c r="I20">
        <v>1</v>
      </c>
      <c r="J20">
        <v>0.53861019999021598</v>
      </c>
      <c r="K20" t="s">
        <v>46</v>
      </c>
      <c r="L20">
        <v>4</v>
      </c>
      <c r="M20">
        <v>0</v>
      </c>
      <c r="N20">
        <v>16</v>
      </c>
      <c r="O20">
        <v>1</v>
      </c>
      <c r="P20">
        <v>15.4501649000449</v>
      </c>
      <c r="U20">
        <v>15.440519199997601</v>
      </c>
      <c r="V20">
        <v>15.4501649000449</v>
      </c>
      <c r="W20">
        <v>15.9434621999971</v>
      </c>
      <c r="X20">
        <v>15.9434621999971</v>
      </c>
      <c r="Y20">
        <v>15.9434621999971</v>
      </c>
      <c r="Z20">
        <v>16.488519200007399</v>
      </c>
      <c r="AA20" t="s">
        <v>51</v>
      </c>
      <c r="AB20">
        <v>1</v>
      </c>
      <c r="AC20">
        <v>0.53861019999021598</v>
      </c>
      <c r="AD20" t="s">
        <v>46</v>
      </c>
      <c r="AI20">
        <v>3</v>
      </c>
      <c r="AJ20">
        <v>1</v>
      </c>
      <c r="AK20" t="s">
        <v>58</v>
      </c>
      <c r="AL20" t="s">
        <v>44</v>
      </c>
      <c r="AN20" t="s">
        <v>45</v>
      </c>
      <c r="AO20" t="s">
        <v>46</v>
      </c>
      <c r="AP20" t="s">
        <v>59</v>
      </c>
    </row>
    <row r="21" spans="1:42" x14ac:dyDescent="0.3">
      <c r="A21" t="s">
        <v>48</v>
      </c>
      <c r="B21" t="s">
        <v>53</v>
      </c>
      <c r="C21" t="s">
        <v>55</v>
      </c>
      <c r="D21" t="s">
        <v>54</v>
      </c>
      <c r="E21">
        <v>18</v>
      </c>
      <c r="F21">
        <v>2</v>
      </c>
      <c r="G21">
        <v>4</v>
      </c>
      <c r="H21" t="s">
        <v>51</v>
      </c>
      <c r="I21">
        <v>0</v>
      </c>
      <c r="J21">
        <v>0.421392999996896</v>
      </c>
      <c r="K21" t="s">
        <v>46</v>
      </c>
      <c r="L21">
        <v>4</v>
      </c>
      <c r="M21">
        <v>2</v>
      </c>
      <c r="N21">
        <v>18</v>
      </c>
      <c r="O21">
        <v>2</v>
      </c>
      <c r="P21">
        <v>17.3535986000206</v>
      </c>
      <c r="U21">
        <v>17.345059600018399</v>
      </c>
      <c r="V21">
        <v>17.3535986000206</v>
      </c>
      <c r="W21">
        <v>17.8462887000059</v>
      </c>
      <c r="X21">
        <v>17.8462887000059</v>
      </c>
      <c r="Y21">
        <v>17.8462887000059</v>
      </c>
      <c r="Z21">
        <v>18.280391400039601</v>
      </c>
      <c r="AA21" t="s">
        <v>51</v>
      </c>
      <c r="AB21">
        <v>0</v>
      </c>
      <c r="AC21">
        <v>0.421392999996896</v>
      </c>
      <c r="AD21" t="s">
        <v>46</v>
      </c>
      <c r="AI21">
        <v>3</v>
      </c>
      <c r="AJ21">
        <v>1</v>
      </c>
      <c r="AK21" t="s">
        <v>58</v>
      </c>
      <c r="AL21" t="s">
        <v>44</v>
      </c>
      <c r="AN21" t="s">
        <v>45</v>
      </c>
      <c r="AO21" t="s">
        <v>46</v>
      </c>
      <c r="AP21" t="s">
        <v>59</v>
      </c>
    </row>
    <row r="22" spans="1:42" x14ac:dyDescent="0.3">
      <c r="R22">
        <v>2.3682800005190002E-2</v>
      </c>
      <c r="S22">
        <v>3.4005000023171299E-2</v>
      </c>
      <c r="T22">
        <v>1.00216640002327</v>
      </c>
      <c r="AI22">
        <v>3</v>
      </c>
      <c r="AJ22">
        <v>1</v>
      </c>
      <c r="AK22" t="s">
        <v>58</v>
      </c>
      <c r="AL22" t="s">
        <v>44</v>
      </c>
      <c r="AN22" t="s">
        <v>45</v>
      </c>
      <c r="AO22" t="s">
        <v>46</v>
      </c>
      <c r="AP22" t="s">
        <v>59</v>
      </c>
    </row>
    <row r="23" spans="1:42" x14ac:dyDescent="0.3">
      <c r="AE23">
        <v>19.275094400043599</v>
      </c>
      <c r="AF23">
        <v>19.283822800032699</v>
      </c>
      <c r="AG23">
        <v>20.284571600030102</v>
      </c>
      <c r="AH23">
        <v>20.273769100022001</v>
      </c>
      <c r="AI23">
        <v>3</v>
      </c>
      <c r="AJ23">
        <v>1</v>
      </c>
      <c r="AK23" t="s">
        <v>58</v>
      </c>
      <c r="AL23" t="s">
        <v>44</v>
      </c>
      <c r="AN23" t="s">
        <v>45</v>
      </c>
      <c r="AO23" t="s">
        <v>46</v>
      </c>
      <c r="AP23" t="s">
        <v>59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2F87-8568-4D6C-9983-139DD744048E}">
  <dimension ref="A1:AP23"/>
  <sheetViews>
    <sheetView workbookViewId="0">
      <selection activeCell="I1" sqref="I1:I104857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3">
      <c r="A2" t="s">
        <v>52</v>
      </c>
      <c r="B2" t="s">
        <v>53</v>
      </c>
      <c r="C2" t="s">
        <v>50</v>
      </c>
      <c r="D2" t="s">
        <v>54</v>
      </c>
      <c r="E2">
        <v>1</v>
      </c>
      <c r="F2">
        <v>1</v>
      </c>
      <c r="G2">
        <v>0</v>
      </c>
      <c r="H2" t="s">
        <v>54</v>
      </c>
      <c r="I2">
        <v>1</v>
      </c>
      <c r="J2">
        <v>0.38436570001067499</v>
      </c>
      <c r="K2" t="s">
        <v>46</v>
      </c>
      <c r="L2">
        <v>0</v>
      </c>
      <c r="M2">
        <v>1</v>
      </c>
      <c r="N2">
        <v>1</v>
      </c>
      <c r="O2">
        <v>0</v>
      </c>
      <c r="P2">
        <v>2.0908006000099699</v>
      </c>
      <c r="U2">
        <v>2.0808781000087002</v>
      </c>
      <c r="V2">
        <v>2.0908006000099699</v>
      </c>
      <c r="W2">
        <v>2.5779663999564901</v>
      </c>
      <c r="X2">
        <v>2.5779663999564901</v>
      </c>
      <c r="Y2">
        <v>2.5779663999564901</v>
      </c>
      <c r="Z2">
        <v>2.9627659000106998</v>
      </c>
      <c r="AA2" t="s">
        <v>54</v>
      </c>
      <c r="AB2">
        <v>1</v>
      </c>
      <c r="AC2">
        <v>0.38436570001067499</v>
      </c>
      <c r="AD2" t="s">
        <v>46</v>
      </c>
      <c r="AI2">
        <v>4</v>
      </c>
      <c r="AJ2">
        <v>1</v>
      </c>
      <c r="AK2" t="s">
        <v>60</v>
      </c>
      <c r="AL2" t="s">
        <v>44</v>
      </c>
      <c r="AN2" t="s">
        <v>45</v>
      </c>
      <c r="AO2" t="s">
        <v>46</v>
      </c>
      <c r="AP2" t="s">
        <v>61</v>
      </c>
    </row>
    <row r="3" spans="1:42" x14ac:dyDescent="0.3">
      <c r="A3" t="s">
        <v>48</v>
      </c>
      <c r="B3" t="s">
        <v>49</v>
      </c>
      <c r="C3" t="s">
        <v>50</v>
      </c>
      <c r="D3" t="s">
        <v>51</v>
      </c>
      <c r="E3">
        <v>3</v>
      </c>
      <c r="F3">
        <v>3</v>
      </c>
      <c r="G3">
        <v>0</v>
      </c>
      <c r="H3" t="s">
        <v>51</v>
      </c>
      <c r="I3">
        <v>1</v>
      </c>
      <c r="J3">
        <v>0.34482510003726902</v>
      </c>
      <c r="K3" t="s">
        <v>46</v>
      </c>
      <c r="L3">
        <v>0</v>
      </c>
      <c r="M3">
        <v>3</v>
      </c>
      <c r="N3">
        <v>3</v>
      </c>
      <c r="O3">
        <v>3</v>
      </c>
      <c r="P3">
        <v>3.8618786999722898</v>
      </c>
      <c r="U3">
        <v>3.8558373999549</v>
      </c>
      <c r="V3">
        <v>3.8618786999722898</v>
      </c>
      <c r="W3">
        <v>4.3480774000054199</v>
      </c>
      <c r="X3">
        <v>4.3480774000054199</v>
      </c>
      <c r="Y3">
        <v>4.3480774000054199</v>
      </c>
      <c r="Z3">
        <v>4.70580469997366</v>
      </c>
      <c r="AA3" t="s">
        <v>51</v>
      </c>
      <c r="AB3">
        <v>1</v>
      </c>
      <c r="AC3">
        <v>0.34482510003726902</v>
      </c>
      <c r="AD3" t="s">
        <v>46</v>
      </c>
      <c r="AI3">
        <v>4</v>
      </c>
      <c r="AJ3">
        <v>1</v>
      </c>
      <c r="AK3" t="s">
        <v>60</v>
      </c>
      <c r="AL3" t="s">
        <v>44</v>
      </c>
      <c r="AN3" t="s">
        <v>45</v>
      </c>
      <c r="AO3" t="s">
        <v>46</v>
      </c>
      <c r="AP3" t="s">
        <v>61</v>
      </c>
    </row>
    <row r="4" spans="1:42" x14ac:dyDescent="0.3">
      <c r="A4" t="s">
        <v>52</v>
      </c>
      <c r="B4" t="s">
        <v>53</v>
      </c>
      <c r="C4" t="s">
        <v>50</v>
      </c>
      <c r="D4" t="s">
        <v>54</v>
      </c>
      <c r="E4">
        <v>4</v>
      </c>
      <c r="F4">
        <v>0</v>
      </c>
      <c r="G4">
        <v>1</v>
      </c>
      <c r="H4" t="s">
        <v>54</v>
      </c>
      <c r="I4">
        <v>1</v>
      </c>
      <c r="J4">
        <v>0.28282579994993201</v>
      </c>
      <c r="K4" t="s">
        <v>46</v>
      </c>
      <c r="L4">
        <v>1</v>
      </c>
      <c r="M4">
        <v>0</v>
      </c>
      <c r="N4">
        <v>4</v>
      </c>
      <c r="O4">
        <v>0</v>
      </c>
      <c r="P4">
        <v>4.7160486999782698</v>
      </c>
      <c r="U4">
        <v>4.7089741000090699</v>
      </c>
      <c r="V4">
        <v>4.7160486999782698</v>
      </c>
      <c r="W4">
        <v>5.2021726999664599</v>
      </c>
      <c r="X4">
        <v>5.2021726999664599</v>
      </c>
      <c r="Y4">
        <v>5.2021726999664599</v>
      </c>
      <c r="Z4">
        <v>5.4976004000054601</v>
      </c>
      <c r="AA4" t="s">
        <v>54</v>
      </c>
      <c r="AB4">
        <v>1</v>
      </c>
      <c r="AC4">
        <v>0.28282579994993201</v>
      </c>
      <c r="AD4" t="s">
        <v>46</v>
      </c>
      <c r="AI4">
        <v>4</v>
      </c>
      <c r="AJ4">
        <v>1</v>
      </c>
      <c r="AK4" t="s">
        <v>60</v>
      </c>
      <c r="AL4" t="s">
        <v>44</v>
      </c>
      <c r="AN4" t="s">
        <v>45</v>
      </c>
      <c r="AO4" t="s">
        <v>46</v>
      </c>
      <c r="AP4" t="s">
        <v>61</v>
      </c>
    </row>
    <row r="5" spans="1:42" x14ac:dyDescent="0.3">
      <c r="A5" t="s">
        <v>48</v>
      </c>
      <c r="B5" t="s">
        <v>49</v>
      </c>
      <c r="C5" t="s">
        <v>50</v>
      </c>
      <c r="D5" t="s">
        <v>51</v>
      </c>
      <c r="E5">
        <v>7</v>
      </c>
      <c r="F5">
        <v>3</v>
      </c>
      <c r="G5">
        <v>1</v>
      </c>
      <c r="H5" t="s">
        <v>51</v>
      </c>
      <c r="I5">
        <v>1</v>
      </c>
      <c r="J5">
        <v>0.41038229997502601</v>
      </c>
      <c r="K5" t="s">
        <v>46</v>
      </c>
      <c r="L5">
        <v>1</v>
      </c>
      <c r="M5">
        <v>3</v>
      </c>
      <c r="N5">
        <v>7</v>
      </c>
      <c r="O5">
        <v>3</v>
      </c>
      <c r="P5">
        <v>7.2437441999791101</v>
      </c>
      <c r="U5">
        <v>7.2372457999736</v>
      </c>
      <c r="V5">
        <v>7.2437441999791101</v>
      </c>
      <c r="W5">
        <v>7.7369069999549502</v>
      </c>
      <c r="X5">
        <v>7.7369069999549502</v>
      </c>
      <c r="Y5">
        <v>7.7369069999549502</v>
      </c>
      <c r="Z5">
        <v>8.1508138999924995</v>
      </c>
      <c r="AA5" t="s">
        <v>51</v>
      </c>
      <c r="AB5">
        <v>1</v>
      </c>
      <c r="AC5">
        <v>0.41038229997502601</v>
      </c>
      <c r="AD5" t="s">
        <v>46</v>
      </c>
      <c r="AI5">
        <v>4</v>
      </c>
      <c r="AJ5">
        <v>1</v>
      </c>
      <c r="AK5" t="s">
        <v>60</v>
      </c>
      <c r="AL5" t="s">
        <v>44</v>
      </c>
      <c r="AN5" t="s">
        <v>45</v>
      </c>
      <c r="AO5" t="s">
        <v>46</v>
      </c>
      <c r="AP5" t="s">
        <v>61</v>
      </c>
    </row>
    <row r="6" spans="1:42" x14ac:dyDescent="0.3">
      <c r="A6" t="s">
        <v>52</v>
      </c>
      <c r="B6" t="s">
        <v>53</v>
      </c>
      <c r="C6" t="s">
        <v>50</v>
      </c>
      <c r="D6" t="s">
        <v>54</v>
      </c>
      <c r="E6">
        <v>8</v>
      </c>
      <c r="F6">
        <v>0</v>
      </c>
      <c r="G6">
        <v>2</v>
      </c>
      <c r="H6" t="s">
        <v>54</v>
      </c>
      <c r="I6">
        <v>1</v>
      </c>
      <c r="J6">
        <v>0.33842250000452601</v>
      </c>
      <c r="K6" t="s">
        <v>46</v>
      </c>
      <c r="L6">
        <v>2</v>
      </c>
      <c r="M6">
        <v>0</v>
      </c>
      <c r="N6">
        <v>8</v>
      </c>
      <c r="O6">
        <v>0</v>
      </c>
      <c r="P6">
        <v>8.1606681999983195</v>
      </c>
      <c r="U6">
        <v>8.1550054000108503</v>
      </c>
      <c r="V6">
        <v>8.1606681999983195</v>
      </c>
      <c r="W6">
        <v>8.6606497999746299</v>
      </c>
      <c r="X6">
        <v>8.6606497999746299</v>
      </c>
      <c r="Y6">
        <v>8.6606497999746299</v>
      </c>
      <c r="Z6">
        <v>9.0115757999592407</v>
      </c>
      <c r="AA6" t="s">
        <v>54</v>
      </c>
      <c r="AB6">
        <v>1</v>
      </c>
      <c r="AC6">
        <v>0.33842250000452601</v>
      </c>
      <c r="AD6" t="s">
        <v>46</v>
      </c>
      <c r="AI6">
        <v>4</v>
      </c>
      <c r="AJ6">
        <v>1</v>
      </c>
      <c r="AK6" t="s">
        <v>60</v>
      </c>
      <c r="AL6" t="s">
        <v>44</v>
      </c>
      <c r="AN6" t="s">
        <v>45</v>
      </c>
      <c r="AO6" t="s">
        <v>46</v>
      </c>
      <c r="AP6" t="s">
        <v>61</v>
      </c>
    </row>
    <row r="7" spans="1:42" x14ac:dyDescent="0.3">
      <c r="A7" t="s">
        <v>48</v>
      </c>
      <c r="B7" t="s">
        <v>49</v>
      </c>
      <c r="C7" t="s">
        <v>50</v>
      </c>
      <c r="D7" t="s">
        <v>51</v>
      </c>
      <c r="E7">
        <v>10</v>
      </c>
      <c r="F7">
        <v>2</v>
      </c>
      <c r="G7">
        <v>2</v>
      </c>
      <c r="H7" t="s">
        <v>51</v>
      </c>
      <c r="I7">
        <v>1</v>
      </c>
      <c r="J7">
        <v>0.33189329999731798</v>
      </c>
      <c r="K7" t="s">
        <v>46</v>
      </c>
      <c r="L7">
        <v>2</v>
      </c>
      <c r="M7">
        <v>2</v>
      </c>
      <c r="N7">
        <v>10</v>
      </c>
      <c r="O7">
        <v>3</v>
      </c>
      <c r="P7">
        <v>10.2160323999705</v>
      </c>
      <c r="U7">
        <v>10.2090844999765</v>
      </c>
      <c r="V7">
        <v>10.2160323999705</v>
      </c>
      <c r="W7">
        <v>10.702197299979099</v>
      </c>
      <c r="X7">
        <v>10.702197299979099</v>
      </c>
      <c r="Y7">
        <v>10.702197299979099</v>
      </c>
      <c r="Z7">
        <v>11.0462362999678</v>
      </c>
      <c r="AA7" t="s">
        <v>51</v>
      </c>
      <c r="AB7">
        <v>1</v>
      </c>
      <c r="AC7">
        <v>0.33189329999731798</v>
      </c>
      <c r="AD7" t="s">
        <v>46</v>
      </c>
      <c r="AI7">
        <v>4</v>
      </c>
      <c r="AJ7">
        <v>1</v>
      </c>
      <c r="AK7" t="s">
        <v>60</v>
      </c>
      <c r="AL7" t="s">
        <v>44</v>
      </c>
      <c r="AN7" t="s">
        <v>45</v>
      </c>
      <c r="AO7" t="s">
        <v>46</v>
      </c>
      <c r="AP7" t="s">
        <v>61</v>
      </c>
    </row>
    <row r="8" spans="1:42" x14ac:dyDescent="0.3">
      <c r="A8" t="s">
        <v>52</v>
      </c>
      <c r="B8" t="s">
        <v>53</v>
      </c>
      <c r="C8" t="s">
        <v>50</v>
      </c>
      <c r="D8" t="s">
        <v>54</v>
      </c>
      <c r="E8">
        <v>12</v>
      </c>
      <c r="F8">
        <v>0</v>
      </c>
      <c r="G8">
        <v>3</v>
      </c>
      <c r="H8" t="s">
        <v>54</v>
      </c>
      <c r="I8">
        <v>1</v>
      </c>
      <c r="J8">
        <v>0.70591369998874098</v>
      </c>
      <c r="K8" t="s">
        <v>46</v>
      </c>
      <c r="L8">
        <v>3</v>
      </c>
      <c r="M8">
        <v>0</v>
      </c>
      <c r="N8">
        <v>12</v>
      </c>
      <c r="O8">
        <v>0</v>
      </c>
      <c r="P8">
        <v>11.9172768999706</v>
      </c>
      <c r="U8">
        <v>11.9121567999827</v>
      </c>
      <c r="V8">
        <v>11.9172768999706</v>
      </c>
      <c r="W8">
        <v>12.417504699958901</v>
      </c>
      <c r="X8">
        <v>12.417504699958901</v>
      </c>
      <c r="Y8">
        <v>12.417504699958901</v>
      </c>
      <c r="Z8">
        <v>13.130603300000001</v>
      </c>
      <c r="AA8" t="s">
        <v>54</v>
      </c>
      <c r="AB8">
        <v>1</v>
      </c>
      <c r="AC8">
        <v>0.70591369998874098</v>
      </c>
      <c r="AD8" t="s">
        <v>46</v>
      </c>
      <c r="AI8">
        <v>4</v>
      </c>
      <c r="AJ8">
        <v>1</v>
      </c>
      <c r="AK8" t="s">
        <v>60</v>
      </c>
      <c r="AL8" t="s">
        <v>44</v>
      </c>
      <c r="AN8" t="s">
        <v>45</v>
      </c>
      <c r="AO8" t="s">
        <v>46</v>
      </c>
      <c r="AP8" t="s">
        <v>61</v>
      </c>
    </row>
    <row r="9" spans="1:42" x14ac:dyDescent="0.3">
      <c r="A9" t="s">
        <v>48</v>
      </c>
      <c r="B9" t="s">
        <v>49</v>
      </c>
      <c r="C9" t="s">
        <v>50</v>
      </c>
      <c r="D9" t="s">
        <v>51</v>
      </c>
      <c r="E9">
        <v>15</v>
      </c>
      <c r="F9">
        <v>3</v>
      </c>
      <c r="G9">
        <v>3</v>
      </c>
      <c r="H9" t="s">
        <v>51</v>
      </c>
      <c r="I9">
        <v>1</v>
      </c>
      <c r="J9">
        <v>0.58754849998513203</v>
      </c>
      <c r="K9" t="s">
        <v>46</v>
      </c>
      <c r="L9">
        <v>3</v>
      </c>
      <c r="M9">
        <v>3</v>
      </c>
      <c r="N9">
        <v>15</v>
      </c>
      <c r="O9">
        <v>3</v>
      </c>
      <c r="P9">
        <v>15.8270966999698</v>
      </c>
      <c r="U9">
        <v>15.8198365999851</v>
      </c>
      <c r="V9">
        <v>15.8270966999698</v>
      </c>
      <c r="W9">
        <v>16.3272172999568</v>
      </c>
      <c r="X9">
        <v>16.3272172999568</v>
      </c>
      <c r="Y9">
        <v>16.3272172999568</v>
      </c>
      <c r="Z9">
        <v>16.927975400001699</v>
      </c>
      <c r="AA9" t="s">
        <v>51</v>
      </c>
      <c r="AB9">
        <v>1</v>
      </c>
      <c r="AC9">
        <v>0.58754849998513203</v>
      </c>
      <c r="AD9" t="s">
        <v>46</v>
      </c>
      <c r="AI9">
        <v>4</v>
      </c>
      <c r="AJ9">
        <v>1</v>
      </c>
      <c r="AK9" t="s">
        <v>60</v>
      </c>
      <c r="AL9" t="s">
        <v>44</v>
      </c>
      <c r="AN9" t="s">
        <v>45</v>
      </c>
      <c r="AO9" t="s">
        <v>46</v>
      </c>
      <c r="AP9" t="s">
        <v>61</v>
      </c>
    </row>
    <row r="10" spans="1:42" x14ac:dyDescent="0.3">
      <c r="A10" t="s">
        <v>48</v>
      </c>
      <c r="B10" t="s">
        <v>49</v>
      </c>
      <c r="C10" t="s">
        <v>50</v>
      </c>
      <c r="D10" t="s">
        <v>51</v>
      </c>
      <c r="E10">
        <v>17</v>
      </c>
      <c r="F10">
        <v>1</v>
      </c>
      <c r="G10">
        <v>4</v>
      </c>
      <c r="H10" t="s">
        <v>51</v>
      </c>
      <c r="I10">
        <v>1</v>
      </c>
      <c r="J10">
        <v>0.53527689998736605</v>
      </c>
      <c r="K10" t="s">
        <v>46</v>
      </c>
      <c r="L10">
        <v>4</v>
      </c>
      <c r="M10">
        <v>1</v>
      </c>
      <c r="N10">
        <v>17</v>
      </c>
      <c r="O10">
        <v>3</v>
      </c>
      <c r="P10">
        <v>18.285537799994898</v>
      </c>
      <c r="U10">
        <v>18.2758177999639</v>
      </c>
      <c r="V10">
        <v>18.285537799994898</v>
      </c>
      <c r="W10">
        <v>18.771567299962001</v>
      </c>
      <c r="X10">
        <v>18.771567299962001</v>
      </c>
      <c r="Y10">
        <v>18.771567299962001</v>
      </c>
      <c r="Z10">
        <v>19.310290499997699</v>
      </c>
      <c r="AA10" t="s">
        <v>51</v>
      </c>
      <c r="AB10">
        <v>1</v>
      </c>
      <c r="AC10">
        <v>0.53527689998736605</v>
      </c>
      <c r="AD10" t="s">
        <v>46</v>
      </c>
      <c r="AI10">
        <v>4</v>
      </c>
      <c r="AJ10">
        <v>1</v>
      </c>
      <c r="AK10" t="s">
        <v>60</v>
      </c>
      <c r="AL10" t="s">
        <v>44</v>
      </c>
      <c r="AN10" t="s">
        <v>45</v>
      </c>
      <c r="AO10" t="s">
        <v>46</v>
      </c>
      <c r="AP10" t="s">
        <v>61</v>
      </c>
    </row>
    <row r="11" spans="1:42" x14ac:dyDescent="0.3">
      <c r="A11" t="s">
        <v>52</v>
      </c>
      <c r="B11" t="s">
        <v>53</v>
      </c>
      <c r="C11" t="s">
        <v>50</v>
      </c>
      <c r="D11" t="s">
        <v>54</v>
      </c>
      <c r="E11">
        <v>19</v>
      </c>
      <c r="F11">
        <v>3</v>
      </c>
      <c r="G11">
        <v>4</v>
      </c>
      <c r="H11" t="s">
        <v>54</v>
      </c>
      <c r="I11">
        <v>1</v>
      </c>
      <c r="J11">
        <v>0.51504500000737596</v>
      </c>
      <c r="K11" t="s">
        <v>46</v>
      </c>
      <c r="L11">
        <v>4</v>
      </c>
      <c r="M11">
        <v>3</v>
      </c>
      <c r="N11">
        <v>19</v>
      </c>
      <c r="O11">
        <v>0</v>
      </c>
      <c r="P11">
        <v>20.569988599978299</v>
      </c>
      <c r="U11">
        <v>20.560478199971801</v>
      </c>
      <c r="V11">
        <v>20.569988599978299</v>
      </c>
      <c r="W11">
        <v>21.063220000010901</v>
      </c>
      <c r="X11">
        <v>21.063220000010901</v>
      </c>
      <c r="Y11">
        <v>21.063220000010901</v>
      </c>
      <c r="Z11">
        <v>21.587901699997001</v>
      </c>
      <c r="AA11" t="s">
        <v>54</v>
      </c>
      <c r="AB11">
        <v>1</v>
      </c>
      <c r="AC11">
        <v>0.51504500000737596</v>
      </c>
      <c r="AD11" t="s">
        <v>46</v>
      </c>
      <c r="AI11">
        <v>4</v>
      </c>
      <c r="AJ11">
        <v>1</v>
      </c>
      <c r="AK11" t="s">
        <v>60</v>
      </c>
      <c r="AL11" t="s">
        <v>44</v>
      </c>
      <c r="AN11" t="s">
        <v>45</v>
      </c>
      <c r="AO11" t="s">
        <v>46</v>
      </c>
      <c r="AP11" t="s">
        <v>61</v>
      </c>
    </row>
    <row r="12" spans="1:42" x14ac:dyDescent="0.3">
      <c r="A12" t="s">
        <v>48</v>
      </c>
      <c r="B12" t="s">
        <v>53</v>
      </c>
      <c r="C12" t="s">
        <v>55</v>
      </c>
      <c r="D12" t="s">
        <v>54</v>
      </c>
      <c r="E12">
        <v>0</v>
      </c>
      <c r="F12">
        <v>0</v>
      </c>
      <c r="G12">
        <v>0</v>
      </c>
      <c r="H12" t="s">
        <v>54</v>
      </c>
      <c r="I12">
        <v>1</v>
      </c>
      <c r="J12">
        <v>0.55128930002683696</v>
      </c>
      <c r="K12" t="s">
        <v>46</v>
      </c>
      <c r="L12">
        <v>0</v>
      </c>
      <c r="M12">
        <v>0</v>
      </c>
      <c r="N12">
        <v>0</v>
      </c>
      <c r="O12">
        <v>2</v>
      </c>
      <c r="P12">
        <v>1.0277110000024501</v>
      </c>
      <c r="U12">
        <v>1.02270199998747</v>
      </c>
      <c r="V12">
        <v>1.0277110000024501</v>
      </c>
      <c r="W12">
        <v>1.5078246999764799</v>
      </c>
      <c r="X12">
        <v>1.5078246999764799</v>
      </c>
      <c r="Y12">
        <v>1.5078246999764799</v>
      </c>
      <c r="Z12">
        <v>2.0746362999780099</v>
      </c>
      <c r="AA12" t="s">
        <v>54</v>
      </c>
      <c r="AB12">
        <v>1</v>
      </c>
      <c r="AC12">
        <v>0.55128930002683696</v>
      </c>
      <c r="AD12" t="s">
        <v>46</v>
      </c>
      <c r="AI12">
        <v>4</v>
      </c>
      <c r="AJ12">
        <v>1</v>
      </c>
      <c r="AK12" t="s">
        <v>60</v>
      </c>
      <c r="AL12" t="s">
        <v>44</v>
      </c>
      <c r="AN12" t="s">
        <v>45</v>
      </c>
      <c r="AO12" t="s">
        <v>46</v>
      </c>
      <c r="AP12" t="s">
        <v>61</v>
      </c>
    </row>
    <row r="13" spans="1:42" x14ac:dyDescent="0.3">
      <c r="A13" t="s">
        <v>52</v>
      </c>
      <c r="B13" t="s">
        <v>49</v>
      </c>
      <c r="C13" t="s">
        <v>55</v>
      </c>
      <c r="D13" t="s">
        <v>51</v>
      </c>
      <c r="E13">
        <v>2</v>
      </c>
      <c r="F13">
        <v>2</v>
      </c>
      <c r="G13">
        <v>0</v>
      </c>
      <c r="H13" t="s">
        <v>51</v>
      </c>
      <c r="I13">
        <v>1</v>
      </c>
      <c r="J13">
        <v>0.38559399999212401</v>
      </c>
      <c r="K13" t="s">
        <v>46</v>
      </c>
      <c r="L13">
        <v>0</v>
      </c>
      <c r="M13">
        <v>2</v>
      </c>
      <c r="N13">
        <v>2</v>
      </c>
      <c r="O13">
        <v>1</v>
      </c>
      <c r="P13">
        <v>2.9731735999812301</v>
      </c>
      <c r="U13">
        <v>2.9634545999579101</v>
      </c>
      <c r="V13">
        <v>2.9731735999812301</v>
      </c>
      <c r="W13">
        <v>3.4590219999663501</v>
      </c>
      <c r="X13">
        <v>3.4590219999663501</v>
      </c>
      <c r="Y13">
        <v>3.4590219999663501</v>
      </c>
      <c r="Z13">
        <v>3.8516795999603302</v>
      </c>
      <c r="AA13" t="s">
        <v>51</v>
      </c>
      <c r="AB13">
        <v>1</v>
      </c>
      <c r="AC13">
        <v>0.38559399999212401</v>
      </c>
      <c r="AD13" t="s">
        <v>46</v>
      </c>
      <c r="AI13">
        <v>4</v>
      </c>
      <c r="AJ13">
        <v>1</v>
      </c>
      <c r="AK13" t="s">
        <v>60</v>
      </c>
      <c r="AL13" t="s">
        <v>44</v>
      </c>
      <c r="AN13" t="s">
        <v>45</v>
      </c>
      <c r="AO13" t="s">
        <v>46</v>
      </c>
      <c r="AP13" t="s">
        <v>61</v>
      </c>
    </row>
    <row r="14" spans="1:42" x14ac:dyDescent="0.3">
      <c r="A14" t="s">
        <v>48</v>
      </c>
      <c r="B14" t="s">
        <v>53</v>
      </c>
      <c r="C14" t="s">
        <v>55</v>
      </c>
      <c r="D14" t="s">
        <v>54</v>
      </c>
      <c r="E14">
        <v>5</v>
      </c>
      <c r="F14">
        <v>1</v>
      </c>
      <c r="G14">
        <v>1</v>
      </c>
      <c r="H14" t="s">
        <v>54</v>
      </c>
      <c r="I14">
        <v>1</v>
      </c>
      <c r="J14">
        <v>0.40293290000408799</v>
      </c>
      <c r="K14" t="s">
        <v>46</v>
      </c>
      <c r="L14">
        <v>1</v>
      </c>
      <c r="M14">
        <v>1</v>
      </c>
      <c r="N14">
        <v>5</v>
      </c>
      <c r="O14">
        <v>2</v>
      </c>
      <c r="P14">
        <v>5.50762599997688</v>
      </c>
      <c r="U14">
        <v>5.5007675999659096</v>
      </c>
      <c r="V14">
        <v>5.50762599997688</v>
      </c>
      <c r="W14">
        <v>6.0008921999833502</v>
      </c>
      <c r="X14">
        <v>6.0008921999833502</v>
      </c>
      <c r="Y14">
        <v>6.0008921999833502</v>
      </c>
      <c r="Z14">
        <v>6.41403869999339</v>
      </c>
      <c r="AA14" t="s">
        <v>54</v>
      </c>
      <c r="AB14">
        <v>1</v>
      </c>
      <c r="AC14">
        <v>0.40293290000408799</v>
      </c>
      <c r="AD14" t="s">
        <v>46</v>
      </c>
      <c r="AI14">
        <v>4</v>
      </c>
      <c r="AJ14">
        <v>1</v>
      </c>
      <c r="AK14" t="s">
        <v>60</v>
      </c>
      <c r="AL14" t="s">
        <v>44</v>
      </c>
      <c r="AN14" t="s">
        <v>45</v>
      </c>
      <c r="AO14" t="s">
        <v>46</v>
      </c>
      <c r="AP14" t="s">
        <v>61</v>
      </c>
    </row>
    <row r="15" spans="1:42" x14ac:dyDescent="0.3">
      <c r="A15" t="s">
        <v>52</v>
      </c>
      <c r="B15" t="s">
        <v>49</v>
      </c>
      <c r="C15" t="s">
        <v>55</v>
      </c>
      <c r="D15" t="s">
        <v>51</v>
      </c>
      <c r="E15">
        <v>6</v>
      </c>
      <c r="F15">
        <v>2</v>
      </c>
      <c r="G15">
        <v>1</v>
      </c>
      <c r="H15" t="s">
        <v>51</v>
      </c>
      <c r="I15">
        <v>1</v>
      </c>
      <c r="J15">
        <v>0.31135580001864499</v>
      </c>
      <c r="K15" t="s">
        <v>46</v>
      </c>
      <c r="L15">
        <v>1</v>
      </c>
      <c r="M15">
        <v>2</v>
      </c>
      <c r="N15">
        <v>6</v>
      </c>
      <c r="O15">
        <v>1</v>
      </c>
      <c r="P15">
        <v>6.4241474999580497</v>
      </c>
      <c r="U15">
        <v>6.4173946999944702</v>
      </c>
      <c r="V15">
        <v>6.4241474999580497</v>
      </c>
      <c r="W15">
        <v>6.9104062999831504</v>
      </c>
      <c r="X15">
        <v>6.9104062999831504</v>
      </c>
      <c r="Y15">
        <v>6.9104062999831504</v>
      </c>
      <c r="Z15">
        <v>7.2336796000017696</v>
      </c>
      <c r="AA15" t="s">
        <v>51</v>
      </c>
      <c r="AB15">
        <v>1</v>
      </c>
      <c r="AC15">
        <v>0.31135580001864499</v>
      </c>
      <c r="AD15" t="s">
        <v>46</v>
      </c>
      <c r="AI15">
        <v>4</v>
      </c>
      <c r="AJ15">
        <v>1</v>
      </c>
      <c r="AK15" t="s">
        <v>60</v>
      </c>
      <c r="AL15" t="s">
        <v>44</v>
      </c>
      <c r="AN15" t="s">
        <v>45</v>
      </c>
      <c r="AO15" t="s">
        <v>46</v>
      </c>
      <c r="AP15" t="s">
        <v>61</v>
      </c>
    </row>
    <row r="16" spans="1:42" x14ac:dyDescent="0.3">
      <c r="A16" t="s">
        <v>52</v>
      </c>
      <c r="B16" t="s">
        <v>49</v>
      </c>
      <c r="C16" t="s">
        <v>55</v>
      </c>
      <c r="D16" t="s">
        <v>51</v>
      </c>
      <c r="E16">
        <v>9</v>
      </c>
      <c r="F16">
        <v>1</v>
      </c>
      <c r="G16">
        <v>2</v>
      </c>
      <c r="H16" t="s">
        <v>51</v>
      </c>
      <c r="I16">
        <v>1</v>
      </c>
      <c r="J16">
        <v>0.68131559999892399</v>
      </c>
      <c r="K16" t="s">
        <v>46</v>
      </c>
      <c r="L16">
        <v>2</v>
      </c>
      <c r="M16">
        <v>1</v>
      </c>
      <c r="N16">
        <v>9</v>
      </c>
      <c r="O16">
        <v>1</v>
      </c>
      <c r="P16">
        <v>9.0213593000080401</v>
      </c>
      <c r="U16">
        <v>9.0121463999967002</v>
      </c>
      <c r="V16">
        <v>9.0213593000080401</v>
      </c>
      <c r="W16">
        <v>9.5147125999792408</v>
      </c>
      <c r="X16">
        <v>9.5147125999792408</v>
      </c>
      <c r="Y16">
        <v>9.5147125999792408</v>
      </c>
      <c r="Z16">
        <v>10.2057547000003</v>
      </c>
      <c r="AA16" t="s">
        <v>51</v>
      </c>
      <c r="AB16">
        <v>1</v>
      </c>
      <c r="AC16">
        <v>0.68131559999892399</v>
      </c>
      <c r="AD16" t="s">
        <v>46</v>
      </c>
      <c r="AI16">
        <v>4</v>
      </c>
      <c r="AJ16">
        <v>1</v>
      </c>
      <c r="AK16" t="s">
        <v>60</v>
      </c>
      <c r="AL16" t="s">
        <v>44</v>
      </c>
      <c r="AN16" t="s">
        <v>45</v>
      </c>
      <c r="AO16" t="s">
        <v>46</v>
      </c>
      <c r="AP16" t="s">
        <v>61</v>
      </c>
    </row>
    <row r="17" spans="1:42" x14ac:dyDescent="0.3">
      <c r="A17" t="s">
        <v>48</v>
      </c>
      <c r="B17" t="s">
        <v>53</v>
      </c>
      <c r="C17" t="s">
        <v>55</v>
      </c>
      <c r="D17" t="s">
        <v>54</v>
      </c>
      <c r="E17">
        <v>11</v>
      </c>
      <c r="F17">
        <v>3</v>
      </c>
      <c r="G17">
        <v>2</v>
      </c>
      <c r="H17" t="s">
        <v>54</v>
      </c>
      <c r="I17">
        <v>1</v>
      </c>
      <c r="J17">
        <v>0.36388099996838702</v>
      </c>
      <c r="K17" t="s">
        <v>46</v>
      </c>
      <c r="L17">
        <v>2</v>
      </c>
      <c r="M17">
        <v>3</v>
      </c>
      <c r="N17">
        <v>11</v>
      </c>
      <c r="O17">
        <v>2</v>
      </c>
      <c r="P17">
        <v>11.0564271999755</v>
      </c>
      <c r="U17">
        <v>11.0469335999805</v>
      </c>
      <c r="V17">
        <v>11.0564271999755</v>
      </c>
      <c r="W17">
        <v>11.5424893999588</v>
      </c>
      <c r="X17">
        <v>11.5424893999588</v>
      </c>
      <c r="Y17">
        <v>11.5424893999588</v>
      </c>
      <c r="Z17">
        <v>11.908540999982501</v>
      </c>
      <c r="AA17" t="s">
        <v>54</v>
      </c>
      <c r="AB17">
        <v>1</v>
      </c>
      <c r="AC17">
        <v>0.36388099996838702</v>
      </c>
      <c r="AD17" t="s">
        <v>46</v>
      </c>
      <c r="AI17">
        <v>4</v>
      </c>
      <c r="AJ17">
        <v>1</v>
      </c>
      <c r="AK17" t="s">
        <v>60</v>
      </c>
      <c r="AL17" t="s">
        <v>44</v>
      </c>
      <c r="AN17" t="s">
        <v>45</v>
      </c>
      <c r="AO17" t="s">
        <v>46</v>
      </c>
      <c r="AP17" t="s">
        <v>61</v>
      </c>
    </row>
    <row r="18" spans="1:42" x14ac:dyDescent="0.3">
      <c r="A18" t="s">
        <v>52</v>
      </c>
      <c r="B18" t="s">
        <v>49</v>
      </c>
      <c r="C18" t="s">
        <v>55</v>
      </c>
      <c r="D18" t="s">
        <v>51</v>
      </c>
      <c r="E18">
        <v>13</v>
      </c>
      <c r="F18">
        <v>1</v>
      </c>
      <c r="G18">
        <v>3</v>
      </c>
      <c r="H18" t="s">
        <v>51</v>
      </c>
      <c r="I18">
        <v>1</v>
      </c>
      <c r="J18">
        <v>0.71807150001404796</v>
      </c>
      <c r="K18" t="s">
        <v>46</v>
      </c>
      <c r="L18">
        <v>3</v>
      </c>
      <c r="M18">
        <v>1</v>
      </c>
      <c r="N18">
        <v>13</v>
      </c>
      <c r="O18">
        <v>1</v>
      </c>
      <c r="P18">
        <v>13.1393698999891</v>
      </c>
      <c r="U18">
        <v>13.131342299981</v>
      </c>
      <c r="V18">
        <v>13.1393698999891</v>
      </c>
      <c r="W18">
        <v>13.6329109999933</v>
      </c>
      <c r="X18">
        <v>13.6329109999933</v>
      </c>
      <c r="Y18">
        <v>13.6329109999933</v>
      </c>
      <c r="Z18">
        <v>14.3518547999556</v>
      </c>
      <c r="AA18" t="s">
        <v>51</v>
      </c>
      <c r="AB18">
        <v>1</v>
      </c>
      <c r="AC18">
        <v>0.71807150001404796</v>
      </c>
      <c r="AD18" t="s">
        <v>46</v>
      </c>
      <c r="AI18">
        <v>4</v>
      </c>
      <c r="AJ18">
        <v>1</v>
      </c>
      <c r="AK18" t="s">
        <v>60</v>
      </c>
      <c r="AL18" t="s">
        <v>44</v>
      </c>
      <c r="AN18" t="s">
        <v>45</v>
      </c>
      <c r="AO18" t="s">
        <v>46</v>
      </c>
      <c r="AP18" t="s">
        <v>61</v>
      </c>
    </row>
    <row r="19" spans="1:42" x14ac:dyDescent="0.3">
      <c r="A19" t="s">
        <v>48</v>
      </c>
      <c r="B19" t="s">
        <v>53</v>
      </c>
      <c r="C19" t="s">
        <v>55</v>
      </c>
      <c r="D19" t="s">
        <v>54</v>
      </c>
      <c r="E19">
        <v>14</v>
      </c>
      <c r="F19">
        <v>2</v>
      </c>
      <c r="G19">
        <v>3</v>
      </c>
      <c r="H19" t="s">
        <v>54</v>
      </c>
      <c r="I19">
        <v>1</v>
      </c>
      <c r="J19">
        <v>0.95208070002263401</v>
      </c>
      <c r="K19" t="s">
        <v>46</v>
      </c>
      <c r="L19">
        <v>3</v>
      </c>
      <c r="M19">
        <v>2</v>
      </c>
      <c r="N19">
        <v>14</v>
      </c>
      <c r="O19">
        <v>2</v>
      </c>
      <c r="P19">
        <v>14.3620135000091</v>
      </c>
      <c r="U19">
        <v>14.355848499981199</v>
      </c>
      <c r="V19">
        <v>14.3620135000091</v>
      </c>
      <c r="W19">
        <v>14.8619939999771</v>
      </c>
      <c r="X19">
        <v>14.8619939999771</v>
      </c>
      <c r="Y19">
        <v>14.8619939999771</v>
      </c>
      <c r="Z19">
        <v>15.8188127999892</v>
      </c>
      <c r="AA19" t="s">
        <v>54</v>
      </c>
      <c r="AB19">
        <v>1</v>
      </c>
      <c r="AC19">
        <v>0.95208070002263401</v>
      </c>
      <c r="AD19" t="s">
        <v>46</v>
      </c>
      <c r="AI19">
        <v>4</v>
      </c>
      <c r="AJ19">
        <v>1</v>
      </c>
      <c r="AK19" t="s">
        <v>60</v>
      </c>
      <c r="AL19" t="s">
        <v>44</v>
      </c>
      <c r="AN19" t="s">
        <v>45</v>
      </c>
      <c r="AO19" t="s">
        <v>46</v>
      </c>
      <c r="AP19" t="s">
        <v>61</v>
      </c>
    </row>
    <row r="20" spans="1:42" x14ac:dyDescent="0.3">
      <c r="A20" t="s">
        <v>48</v>
      </c>
      <c r="B20" t="s">
        <v>53</v>
      </c>
      <c r="C20" t="s">
        <v>55</v>
      </c>
      <c r="D20" t="s">
        <v>54</v>
      </c>
      <c r="E20">
        <v>16</v>
      </c>
      <c r="F20">
        <v>0</v>
      </c>
      <c r="G20">
        <v>4</v>
      </c>
      <c r="H20" t="s">
        <v>54</v>
      </c>
      <c r="I20">
        <v>1</v>
      </c>
      <c r="J20">
        <v>0.84081509994575698</v>
      </c>
      <c r="K20" t="s">
        <v>46</v>
      </c>
      <c r="L20">
        <v>4</v>
      </c>
      <c r="M20">
        <v>0</v>
      </c>
      <c r="N20">
        <v>16</v>
      </c>
      <c r="O20">
        <v>2</v>
      </c>
      <c r="P20">
        <v>16.938260799972301</v>
      </c>
      <c r="U20">
        <v>16.928574699966699</v>
      </c>
      <c r="V20">
        <v>16.938260799972301</v>
      </c>
      <c r="W20">
        <v>17.4313641999615</v>
      </c>
      <c r="X20">
        <v>17.4313641999615</v>
      </c>
      <c r="Y20">
        <v>17.4313641999615</v>
      </c>
      <c r="Z20">
        <v>18.275242300005601</v>
      </c>
      <c r="AA20" t="s">
        <v>54</v>
      </c>
      <c r="AB20">
        <v>1</v>
      </c>
      <c r="AC20">
        <v>0.84081509994575698</v>
      </c>
      <c r="AD20" t="s">
        <v>46</v>
      </c>
      <c r="AI20">
        <v>4</v>
      </c>
      <c r="AJ20">
        <v>1</v>
      </c>
      <c r="AK20" t="s">
        <v>60</v>
      </c>
      <c r="AL20" t="s">
        <v>44</v>
      </c>
      <c r="AN20" t="s">
        <v>45</v>
      </c>
      <c r="AO20" t="s">
        <v>46</v>
      </c>
      <c r="AP20" t="s">
        <v>61</v>
      </c>
    </row>
    <row r="21" spans="1:42" x14ac:dyDescent="0.3">
      <c r="A21" t="s">
        <v>52</v>
      </c>
      <c r="B21" t="s">
        <v>49</v>
      </c>
      <c r="C21" t="s">
        <v>55</v>
      </c>
      <c r="D21" t="s">
        <v>51</v>
      </c>
      <c r="E21">
        <v>18</v>
      </c>
      <c r="F21">
        <v>2</v>
      </c>
      <c r="G21">
        <v>4</v>
      </c>
      <c r="H21" t="s">
        <v>51</v>
      </c>
      <c r="I21">
        <v>1</v>
      </c>
      <c r="J21">
        <v>0.74086740001803197</v>
      </c>
      <c r="K21" t="s">
        <v>46</v>
      </c>
      <c r="L21">
        <v>4</v>
      </c>
      <c r="M21">
        <v>2</v>
      </c>
      <c r="N21">
        <v>18</v>
      </c>
      <c r="O21">
        <v>1</v>
      </c>
      <c r="P21">
        <v>19.320166499994201</v>
      </c>
      <c r="U21">
        <v>19.3139034999767</v>
      </c>
      <c r="V21">
        <v>19.320166499994201</v>
      </c>
      <c r="W21">
        <v>19.813418400008199</v>
      </c>
      <c r="X21">
        <v>19.813418400008199</v>
      </c>
      <c r="Y21">
        <v>19.813418400008199</v>
      </c>
      <c r="Z21">
        <v>20.5599380999919</v>
      </c>
      <c r="AA21" t="s">
        <v>51</v>
      </c>
      <c r="AB21">
        <v>1</v>
      </c>
      <c r="AC21">
        <v>0.74086740001803197</v>
      </c>
      <c r="AD21" t="s">
        <v>46</v>
      </c>
      <c r="AI21">
        <v>4</v>
      </c>
      <c r="AJ21">
        <v>1</v>
      </c>
      <c r="AK21" t="s">
        <v>60</v>
      </c>
      <c r="AL21" t="s">
        <v>44</v>
      </c>
      <c r="AN21" t="s">
        <v>45</v>
      </c>
      <c r="AO21" t="s">
        <v>46</v>
      </c>
      <c r="AP21" t="s">
        <v>61</v>
      </c>
    </row>
    <row r="22" spans="1:42" x14ac:dyDescent="0.3">
      <c r="R22">
        <v>1.9490099977701899E-2</v>
      </c>
      <c r="S22">
        <v>2.8768699965439699E-2</v>
      </c>
      <c r="T22">
        <v>1.00571319996379</v>
      </c>
      <c r="AI22">
        <v>4</v>
      </c>
      <c r="AJ22">
        <v>1</v>
      </c>
      <c r="AK22" t="s">
        <v>60</v>
      </c>
      <c r="AL22" t="s">
        <v>44</v>
      </c>
      <c r="AN22" t="s">
        <v>45</v>
      </c>
      <c r="AO22" t="s">
        <v>46</v>
      </c>
      <c r="AP22" t="s">
        <v>61</v>
      </c>
    </row>
    <row r="23" spans="1:42" x14ac:dyDescent="0.3">
      <c r="AE23">
        <v>21.588084799994199</v>
      </c>
      <c r="AF23">
        <v>21.597832700004801</v>
      </c>
      <c r="AG23">
        <v>22.598098099988398</v>
      </c>
      <c r="AH23">
        <v>22.587791499972798</v>
      </c>
      <c r="AI23">
        <v>4</v>
      </c>
      <c r="AJ23">
        <v>1</v>
      </c>
      <c r="AK23" t="s">
        <v>60</v>
      </c>
      <c r="AL23" t="s">
        <v>44</v>
      </c>
      <c r="AN23" t="s">
        <v>45</v>
      </c>
      <c r="AO23" t="s">
        <v>46</v>
      </c>
      <c r="AP23" t="s">
        <v>61</v>
      </c>
    </row>
  </sheetData>
  <sortState xmlns:xlrd2="http://schemas.microsoft.com/office/spreadsheetml/2017/richdata2" ref="A2:AP23">
    <sortCondition ref="C1:C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F3A3-A01A-4A2B-B846-7E39AFA6A9CF}">
  <dimension ref="A1:S34"/>
  <sheetViews>
    <sheetView tabSelected="1" defaultGridColor="0" topLeftCell="A23" colorId="8" zoomScale="109" workbookViewId="0">
      <selection activeCell="S31" sqref="S31"/>
    </sheetView>
  </sheetViews>
  <sheetFormatPr defaultRowHeight="14.4" x14ac:dyDescent="0.3"/>
  <cols>
    <col min="2" max="2" width="11.6640625" customWidth="1"/>
  </cols>
  <sheetData>
    <row r="1" spans="1:19" x14ac:dyDescent="0.3">
      <c r="A1" s="2" t="s">
        <v>62</v>
      </c>
      <c r="B1" s="3" t="s">
        <v>2</v>
      </c>
      <c r="C1" s="3" t="s">
        <v>9</v>
      </c>
      <c r="D1" s="3" t="s">
        <v>8</v>
      </c>
      <c r="F1" s="2" t="s">
        <v>63</v>
      </c>
      <c r="G1" s="3" t="s">
        <v>2</v>
      </c>
      <c r="H1" s="3" t="s">
        <v>9</v>
      </c>
      <c r="I1" s="3" t="s">
        <v>8</v>
      </c>
      <c r="K1" s="2" t="s">
        <v>64</v>
      </c>
      <c r="L1" s="3" t="s">
        <v>2</v>
      </c>
      <c r="M1" s="3" t="s">
        <v>9</v>
      </c>
      <c r="N1" s="3" t="s">
        <v>8</v>
      </c>
      <c r="P1" s="2" t="s">
        <v>65</v>
      </c>
      <c r="Q1" s="3" t="s">
        <v>2</v>
      </c>
      <c r="R1" s="3" t="s">
        <v>9</v>
      </c>
      <c r="S1" s="3" t="s">
        <v>8</v>
      </c>
    </row>
    <row r="2" spans="1:19" x14ac:dyDescent="0.3">
      <c r="A2" s="3"/>
      <c r="B2" s="3" t="s">
        <v>50</v>
      </c>
      <c r="C2" s="3">
        <v>8.9468512000166793</v>
      </c>
      <c r="D2" s="3">
        <v>1</v>
      </c>
      <c r="F2" s="3"/>
      <c r="G2" s="3" t="s">
        <v>50</v>
      </c>
      <c r="H2" s="3">
        <v>0.58844580000732005</v>
      </c>
      <c r="I2" s="3">
        <v>1</v>
      </c>
      <c r="K2" s="3"/>
      <c r="L2" s="3" t="s">
        <v>50</v>
      </c>
      <c r="M2" s="3">
        <v>0.46506219997536302</v>
      </c>
      <c r="N2" s="3">
        <v>1</v>
      </c>
      <c r="P2" s="3"/>
      <c r="Q2" s="3" t="s">
        <v>50</v>
      </c>
      <c r="R2" s="3">
        <v>0.38436570001067499</v>
      </c>
      <c r="S2" s="3">
        <v>1</v>
      </c>
    </row>
    <row r="3" spans="1:19" x14ac:dyDescent="0.3">
      <c r="A3" s="3"/>
      <c r="B3" s="3" t="s">
        <v>50</v>
      </c>
      <c r="C3" s="3">
        <v>1.0670106000034101</v>
      </c>
      <c r="D3" s="3">
        <v>1</v>
      </c>
      <c r="F3" s="3"/>
      <c r="G3" s="3" t="s">
        <v>50</v>
      </c>
      <c r="H3" s="3">
        <v>0.45638009998947299</v>
      </c>
      <c r="I3" s="3">
        <v>1</v>
      </c>
      <c r="K3" s="3"/>
      <c r="L3" s="3" t="s">
        <v>50</v>
      </c>
      <c r="M3" s="3">
        <v>0.36984170001232902</v>
      </c>
      <c r="N3" s="3">
        <v>1</v>
      </c>
      <c r="P3" s="3"/>
      <c r="Q3" s="3" t="s">
        <v>50</v>
      </c>
      <c r="R3" s="3">
        <v>0.34482510003726902</v>
      </c>
      <c r="S3" s="3">
        <v>1</v>
      </c>
    </row>
    <row r="4" spans="1:19" x14ac:dyDescent="0.3">
      <c r="A4" s="3"/>
      <c r="B4" s="3" t="s">
        <v>50</v>
      </c>
      <c r="C4" s="3">
        <v>0.74795470002572895</v>
      </c>
      <c r="D4" s="3">
        <v>1</v>
      </c>
      <c r="F4" s="3"/>
      <c r="G4" s="3" t="s">
        <v>50</v>
      </c>
      <c r="H4" s="3">
        <v>0.56045250000897795</v>
      </c>
      <c r="I4" s="3">
        <v>1</v>
      </c>
      <c r="K4" s="3"/>
      <c r="L4" s="3" t="s">
        <v>50</v>
      </c>
      <c r="M4" s="3">
        <v>0.45480439998209399</v>
      </c>
      <c r="N4" s="3">
        <v>1</v>
      </c>
      <c r="P4" s="3"/>
      <c r="Q4" s="3" t="s">
        <v>50</v>
      </c>
      <c r="R4" s="3">
        <v>0.28282579994993201</v>
      </c>
      <c r="S4" s="3">
        <v>1</v>
      </c>
    </row>
    <row r="5" spans="1:19" x14ac:dyDescent="0.3">
      <c r="A5" s="3"/>
      <c r="B5" s="3" t="s">
        <v>50</v>
      </c>
      <c r="C5" s="3">
        <v>0.72641689999727499</v>
      </c>
      <c r="D5" s="3">
        <v>1</v>
      </c>
      <c r="F5" s="3"/>
      <c r="G5" s="3" t="s">
        <v>50</v>
      </c>
      <c r="H5" s="3">
        <v>0.61307229998055801</v>
      </c>
      <c r="I5" s="3">
        <v>1</v>
      </c>
      <c r="K5" s="3"/>
      <c r="L5" s="3" t="s">
        <v>50</v>
      </c>
      <c r="M5" s="3">
        <v>0.29590809997171102</v>
      </c>
      <c r="N5" s="3">
        <v>1</v>
      </c>
      <c r="P5" s="3"/>
      <c r="Q5" s="3" t="s">
        <v>50</v>
      </c>
      <c r="R5" s="3">
        <v>0.41038229997502601</v>
      </c>
      <c r="S5" s="3">
        <v>1</v>
      </c>
    </row>
    <row r="6" spans="1:19" x14ac:dyDescent="0.3">
      <c r="A6" s="3"/>
      <c r="B6" s="3" t="s">
        <v>50</v>
      </c>
      <c r="C6" s="3">
        <v>0.56999380001798206</v>
      </c>
      <c r="D6" s="3">
        <v>1</v>
      </c>
      <c r="F6" s="3"/>
      <c r="G6" s="3" t="s">
        <v>50</v>
      </c>
      <c r="H6" s="3">
        <v>0.61441229999763802</v>
      </c>
      <c r="I6" s="3">
        <v>1</v>
      </c>
      <c r="K6" s="3"/>
      <c r="L6" s="3" t="s">
        <v>50</v>
      </c>
      <c r="M6" s="3">
        <v>0.40712099999654999</v>
      </c>
      <c r="N6" s="3">
        <v>1</v>
      </c>
      <c r="P6" s="3"/>
      <c r="Q6" s="3" t="s">
        <v>50</v>
      </c>
      <c r="R6" s="3">
        <v>0.33842250000452601</v>
      </c>
      <c r="S6" s="3">
        <v>1</v>
      </c>
    </row>
    <row r="7" spans="1:19" x14ac:dyDescent="0.3">
      <c r="A7" s="3"/>
      <c r="B7" s="3" t="s">
        <v>50</v>
      </c>
      <c r="C7" s="3">
        <v>0.48178530001314301</v>
      </c>
      <c r="D7" s="3">
        <v>1</v>
      </c>
      <c r="F7" s="3"/>
      <c r="G7" s="3" t="s">
        <v>50</v>
      </c>
      <c r="H7" s="3">
        <v>0.64868509996449497</v>
      </c>
      <c r="I7" s="3">
        <v>1</v>
      </c>
      <c r="K7" s="3"/>
      <c r="L7" s="3" t="s">
        <v>50</v>
      </c>
      <c r="M7" s="3">
        <v>0.41814010002417401</v>
      </c>
      <c r="N7" s="3">
        <v>1</v>
      </c>
      <c r="P7" s="3"/>
      <c r="Q7" s="3" t="s">
        <v>50</v>
      </c>
      <c r="R7" s="3">
        <v>0.33189329999731798</v>
      </c>
      <c r="S7" s="3">
        <v>1</v>
      </c>
    </row>
    <row r="8" spans="1:19" x14ac:dyDescent="0.3">
      <c r="A8" s="3"/>
      <c r="B8" s="3" t="s">
        <v>50</v>
      </c>
      <c r="C8" s="3">
        <v>0.35902989999158302</v>
      </c>
      <c r="D8" s="3">
        <v>1</v>
      </c>
      <c r="F8" s="3"/>
      <c r="G8" s="3" t="s">
        <v>50</v>
      </c>
      <c r="H8" s="3">
        <v>0.44419549999292901</v>
      </c>
      <c r="I8" s="3">
        <v>1</v>
      </c>
      <c r="K8" s="3"/>
      <c r="L8" s="3" t="s">
        <v>50</v>
      </c>
      <c r="M8" s="3">
        <v>0.31218479998642501</v>
      </c>
      <c r="N8" s="3">
        <v>1</v>
      </c>
      <c r="P8" s="3"/>
      <c r="Q8" s="3" t="s">
        <v>50</v>
      </c>
      <c r="R8" s="3">
        <v>0.70591369998874098</v>
      </c>
      <c r="S8" s="3">
        <v>1</v>
      </c>
    </row>
    <row r="9" spans="1:19" x14ac:dyDescent="0.3">
      <c r="A9" s="3"/>
      <c r="B9" s="3" t="s">
        <v>50</v>
      </c>
      <c r="C9" s="3">
        <v>0.377896399993915</v>
      </c>
      <c r="D9" s="3">
        <v>1</v>
      </c>
      <c r="F9" s="3"/>
      <c r="G9" s="3" t="s">
        <v>50</v>
      </c>
      <c r="H9" s="3">
        <v>0.47859070001868498</v>
      </c>
      <c r="I9" s="3">
        <v>1</v>
      </c>
      <c r="K9" s="3"/>
      <c r="L9" s="3" t="s">
        <v>50</v>
      </c>
      <c r="M9" s="3">
        <v>0.33461070002522297</v>
      </c>
      <c r="N9" s="3">
        <v>1</v>
      </c>
      <c r="P9" s="3"/>
      <c r="Q9" s="3" t="s">
        <v>50</v>
      </c>
      <c r="R9" s="3">
        <v>0.58754849998513203</v>
      </c>
      <c r="S9" s="3">
        <v>1</v>
      </c>
    </row>
    <row r="10" spans="1:19" x14ac:dyDescent="0.3">
      <c r="A10" s="3"/>
      <c r="B10" s="3" t="s">
        <v>50</v>
      </c>
      <c r="C10" s="3">
        <v>1.123900400009</v>
      </c>
      <c r="D10" s="3">
        <v>1</v>
      </c>
      <c r="F10" s="3"/>
      <c r="G10" s="3" t="s">
        <v>50</v>
      </c>
      <c r="H10" s="3">
        <v>0.43688809999730399</v>
      </c>
      <c r="I10" s="3">
        <v>1</v>
      </c>
      <c r="K10" s="3"/>
      <c r="L10" s="3" t="s">
        <v>50</v>
      </c>
      <c r="M10" s="3">
        <v>0.34245990001363602</v>
      </c>
      <c r="N10" s="3">
        <v>1</v>
      </c>
      <c r="P10" s="3"/>
      <c r="Q10" s="3" t="s">
        <v>50</v>
      </c>
      <c r="R10" s="3">
        <v>0.53527689998736605</v>
      </c>
      <c r="S10" s="3">
        <v>1</v>
      </c>
    </row>
    <row r="11" spans="1:19" x14ac:dyDescent="0.3">
      <c r="A11" s="3"/>
      <c r="B11" s="3" t="s">
        <v>50</v>
      </c>
      <c r="C11" s="3">
        <v>0.56778779998421602</v>
      </c>
      <c r="D11" s="3">
        <v>1</v>
      </c>
      <c r="F11" s="3"/>
      <c r="G11" s="3" t="s">
        <v>50</v>
      </c>
      <c r="H11" s="3">
        <v>0.54519500001333598</v>
      </c>
      <c r="I11" s="3">
        <v>1</v>
      </c>
      <c r="K11" s="3"/>
      <c r="L11" s="3" t="s">
        <v>50</v>
      </c>
      <c r="M11" s="3">
        <v>0.48865660000592398</v>
      </c>
      <c r="N11" s="3">
        <v>1</v>
      </c>
      <c r="P11" s="3"/>
      <c r="Q11" s="3" t="s">
        <v>50</v>
      </c>
      <c r="R11" s="3">
        <v>0.51504500000737596</v>
      </c>
      <c r="S11" s="3">
        <v>1</v>
      </c>
    </row>
    <row r="13" spans="1:19" x14ac:dyDescent="0.3">
      <c r="B13" s="3" t="s">
        <v>55</v>
      </c>
      <c r="C13" s="3">
        <v>1.1099708999972699</v>
      </c>
      <c r="D13" s="3">
        <v>1</v>
      </c>
      <c r="F13" s="3"/>
      <c r="G13" s="3" t="s">
        <v>55</v>
      </c>
      <c r="H13" s="3">
        <v>1.07888479996472</v>
      </c>
      <c r="I13" s="3">
        <v>1</v>
      </c>
      <c r="K13" s="3"/>
      <c r="L13" s="3" t="s">
        <v>55</v>
      </c>
      <c r="M13" s="3">
        <v>0.78917110001202595</v>
      </c>
      <c r="N13" s="3">
        <v>1</v>
      </c>
      <c r="P13" s="3"/>
      <c r="Q13" s="3" t="s">
        <v>55</v>
      </c>
      <c r="R13" s="3">
        <v>0.55128930002683696</v>
      </c>
      <c r="S13" s="3">
        <v>1</v>
      </c>
    </row>
    <row r="14" spans="1:19" x14ac:dyDescent="0.3">
      <c r="B14" s="3" t="s">
        <v>55</v>
      </c>
      <c r="C14" s="3">
        <v>0.81387089996133</v>
      </c>
      <c r="D14" s="3">
        <v>1</v>
      </c>
      <c r="F14" s="3"/>
      <c r="G14" s="3" t="s">
        <v>55</v>
      </c>
      <c r="H14" s="3">
        <v>1.3439445000258201</v>
      </c>
      <c r="I14" s="3">
        <v>1</v>
      </c>
      <c r="K14" s="3"/>
      <c r="L14" s="3" t="s">
        <v>55</v>
      </c>
      <c r="M14" s="3">
        <v>0.315302499977406</v>
      </c>
      <c r="N14" s="3">
        <v>1</v>
      </c>
      <c r="P14" s="3"/>
      <c r="Q14" s="3" t="s">
        <v>55</v>
      </c>
      <c r="R14" s="3">
        <v>0.38559399999212401</v>
      </c>
      <c r="S14" s="3">
        <v>1</v>
      </c>
    </row>
    <row r="15" spans="1:19" x14ac:dyDescent="0.3">
      <c r="B15" s="3" t="s">
        <v>55</v>
      </c>
      <c r="C15" s="3">
        <v>0.81714880000799806</v>
      </c>
      <c r="D15" s="3">
        <v>1</v>
      </c>
      <c r="F15" s="3"/>
      <c r="G15" s="3" t="s">
        <v>55</v>
      </c>
      <c r="H15" s="3">
        <v>0.763730600010603</v>
      </c>
      <c r="I15" s="3">
        <v>1</v>
      </c>
      <c r="K15" s="3"/>
      <c r="L15" s="3" t="s">
        <v>55</v>
      </c>
      <c r="M15" s="3">
        <v>0.39088049996644197</v>
      </c>
      <c r="N15" s="3">
        <v>1</v>
      </c>
      <c r="P15" s="3"/>
      <c r="Q15" s="3" t="s">
        <v>55</v>
      </c>
      <c r="R15" s="3">
        <v>0.40293290000408799</v>
      </c>
      <c r="S15" s="3">
        <v>1</v>
      </c>
    </row>
    <row r="16" spans="1:19" x14ac:dyDescent="0.3">
      <c r="B16" s="3" t="s">
        <v>55</v>
      </c>
      <c r="C16" s="3">
        <v>0.72913410002365697</v>
      </c>
      <c r="D16" s="3">
        <v>1</v>
      </c>
      <c r="F16" s="3"/>
      <c r="G16" s="3" t="s">
        <v>55</v>
      </c>
      <c r="H16" s="3">
        <v>0.60110889998031702</v>
      </c>
      <c r="I16" s="3">
        <v>0</v>
      </c>
      <c r="K16" s="3"/>
      <c r="L16" s="3" t="s">
        <v>55</v>
      </c>
      <c r="M16" s="3">
        <v>0.260722299979534</v>
      </c>
      <c r="N16" s="3">
        <v>1</v>
      </c>
      <c r="P16" s="3"/>
      <c r="Q16" s="3" t="s">
        <v>55</v>
      </c>
      <c r="R16" s="3">
        <v>0.31135580001864499</v>
      </c>
      <c r="S16" s="3">
        <v>1</v>
      </c>
    </row>
    <row r="17" spans="2:19" x14ac:dyDescent="0.3">
      <c r="B17" s="3" t="s">
        <v>55</v>
      </c>
      <c r="C17" s="3">
        <v>0.46374289999948798</v>
      </c>
      <c r="D17" s="3">
        <v>1</v>
      </c>
      <c r="F17" s="3"/>
      <c r="G17" s="3" t="s">
        <v>55</v>
      </c>
      <c r="H17" s="3">
        <v>0.467481800005771</v>
      </c>
      <c r="I17" s="3">
        <v>1</v>
      </c>
      <c r="K17" s="3"/>
      <c r="L17" s="3" t="s">
        <v>55</v>
      </c>
      <c r="M17" s="3">
        <v>0.38309970003319899</v>
      </c>
      <c r="N17" s="3">
        <v>1</v>
      </c>
      <c r="P17" s="3"/>
      <c r="Q17" s="3" t="s">
        <v>55</v>
      </c>
      <c r="R17" s="3">
        <v>0.68131559999892399</v>
      </c>
      <c r="S17" s="3">
        <v>1</v>
      </c>
    </row>
    <row r="18" spans="2:19" x14ac:dyDescent="0.3">
      <c r="B18" s="3" t="s">
        <v>55</v>
      </c>
      <c r="C18" s="3">
        <v>0.39968370000133202</v>
      </c>
      <c r="D18" s="3">
        <v>1</v>
      </c>
      <c r="F18" s="3"/>
      <c r="G18" s="3" t="s">
        <v>55</v>
      </c>
      <c r="H18" s="3">
        <v>0.47226020001107799</v>
      </c>
      <c r="I18" s="3">
        <v>1</v>
      </c>
      <c r="K18" s="3"/>
      <c r="L18" s="3" t="s">
        <v>55</v>
      </c>
      <c r="M18" s="3">
        <v>0.35396490001585301</v>
      </c>
      <c r="N18" s="3">
        <v>1</v>
      </c>
      <c r="P18" s="3"/>
      <c r="Q18" s="3" t="s">
        <v>55</v>
      </c>
      <c r="R18" s="3">
        <v>0.36388099996838702</v>
      </c>
      <c r="S18" s="3">
        <v>1</v>
      </c>
    </row>
    <row r="19" spans="2:19" x14ac:dyDescent="0.3">
      <c r="B19" s="3" t="s">
        <v>55</v>
      </c>
      <c r="C19" s="3">
        <v>0.60896079998928998</v>
      </c>
      <c r="D19" s="3">
        <v>1</v>
      </c>
      <c r="F19" s="3"/>
      <c r="G19" s="3" t="s">
        <v>55</v>
      </c>
      <c r="H19" s="3">
        <v>0.96624429995426897</v>
      </c>
      <c r="I19" s="3">
        <v>1</v>
      </c>
      <c r="K19" s="3"/>
      <c r="L19" s="3" t="s">
        <v>55</v>
      </c>
      <c r="M19" s="3">
        <v>0.39713050000136702</v>
      </c>
      <c r="N19" s="3">
        <v>1</v>
      </c>
      <c r="P19" s="3"/>
      <c r="Q19" s="3" t="s">
        <v>55</v>
      </c>
      <c r="R19" s="3">
        <v>0.71807150001404796</v>
      </c>
      <c r="S19" s="3">
        <v>1</v>
      </c>
    </row>
    <row r="20" spans="2:19" x14ac:dyDescent="0.3">
      <c r="B20" s="3" t="s">
        <v>55</v>
      </c>
      <c r="C20" s="3">
        <v>0.60058559995377403</v>
      </c>
      <c r="D20" s="3">
        <v>1</v>
      </c>
      <c r="F20" s="3"/>
      <c r="G20" s="3" t="s">
        <v>55</v>
      </c>
      <c r="H20" s="3">
        <v>0.592908999999053</v>
      </c>
      <c r="I20" s="3">
        <v>1</v>
      </c>
      <c r="K20" s="3"/>
      <c r="L20" s="3" t="s">
        <v>55</v>
      </c>
      <c r="M20" s="3">
        <v>0.37714769999729397</v>
      </c>
      <c r="N20" s="3">
        <v>1</v>
      </c>
      <c r="P20" s="3"/>
      <c r="Q20" s="3" t="s">
        <v>55</v>
      </c>
      <c r="R20" s="3">
        <v>0.95208070002263401</v>
      </c>
      <c r="S20" s="3">
        <v>1</v>
      </c>
    </row>
    <row r="21" spans="2:19" x14ac:dyDescent="0.3">
      <c r="B21" s="3" t="s">
        <v>55</v>
      </c>
      <c r="C21" s="3">
        <v>0.70921820000512503</v>
      </c>
      <c r="D21" s="3">
        <v>1</v>
      </c>
      <c r="F21" s="3"/>
      <c r="G21" s="3" t="s">
        <v>55</v>
      </c>
      <c r="H21" s="3">
        <v>0.570088899985421</v>
      </c>
      <c r="I21" s="3">
        <v>1</v>
      </c>
      <c r="K21" s="3"/>
      <c r="L21" s="3" t="s">
        <v>55</v>
      </c>
      <c r="M21" s="3">
        <v>0.53861019999021598</v>
      </c>
      <c r="N21" s="3">
        <v>1</v>
      </c>
      <c r="P21" s="3"/>
      <c r="Q21" s="3" t="s">
        <v>55</v>
      </c>
      <c r="R21" s="3">
        <v>0.84081509994575698</v>
      </c>
      <c r="S21" s="3">
        <v>1</v>
      </c>
    </row>
    <row r="22" spans="2:19" x14ac:dyDescent="0.3">
      <c r="B22" s="3" t="s">
        <v>55</v>
      </c>
      <c r="C22" s="3">
        <v>0.335447699995711</v>
      </c>
      <c r="D22" s="3">
        <v>1</v>
      </c>
      <c r="F22" s="3"/>
      <c r="G22" s="3" t="s">
        <v>55</v>
      </c>
      <c r="H22" s="3">
        <v>0.57862099999328998</v>
      </c>
      <c r="I22" s="3">
        <v>1</v>
      </c>
      <c r="K22" s="3"/>
      <c r="L22" s="3" t="s">
        <v>55</v>
      </c>
      <c r="M22" s="3">
        <v>0.421392999996896</v>
      </c>
      <c r="N22" s="3">
        <v>0</v>
      </c>
      <c r="P22" s="3"/>
      <c r="Q22" s="3" t="s">
        <v>55</v>
      </c>
      <c r="R22" s="3">
        <v>0.74086740001803197</v>
      </c>
      <c r="S22" s="3">
        <v>1</v>
      </c>
    </row>
    <row r="26" spans="2:19" x14ac:dyDescent="0.3">
      <c r="B26" s="1" t="s">
        <v>66</v>
      </c>
      <c r="C26" t="s">
        <v>67</v>
      </c>
      <c r="D26" t="s">
        <v>68</v>
      </c>
      <c r="H26" s="1"/>
      <c r="I26" s="1" t="s">
        <v>67</v>
      </c>
      <c r="J26" s="1" t="s">
        <v>68</v>
      </c>
    </row>
    <row r="27" spans="2:19" x14ac:dyDescent="0.3">
      <c r="B27" s="1">
        <v>1</v>
      </c>
      <c r="C27">
        <f>AVERAGE(C2:C11)</f>
        <v>1.4968627000052934</v>
      </c>
      <c r="D27">
        <f>AVERAGE(C13:C22)</f>
        <v>0.65877635999349748</v>
      </c>
      <c r="H27" s="1" t="s">
        <v>72</v>
      </c>
      <c r="I27" s="1">
        <v>0.71701000000000004</v>
      </c>
      <c r="J27" s="1">
        <v>0.60497000000000001</v>
      </c>
    </row>
    <row r="28" spans="2:19" x14ac:dyDescent="0.3">
      <c r="B28" s="1">
        <v>2</v>
      </c>
      <c r="C28">
        <f>AVERAGE(H2:H11)</f>
        <v>0.53863173999707159</v>
      </c>
      <c r="D28">
        <f>AVERAGE(H13:H22)</f>
        <v>0.7435273999930343</v>
      </c>
    </row>
    <row r="29" spans="2:19" x14ac:dyDescent="0.3">
      <c r="B29" s="1">
        <v>3</v>
      </c>
      <c r="C29">
        <f>AVERAGE(M2:M11)</f>
        <v>0.38887894999934292</v>
      </c>
      <c r="D29">
        <f>AVERAGE(M13:M22)</f>
        <v>0.42274223999702326</v>
      </c>
    </row>
    <row r="30" spans="2:19" x14ac:dyDescent="0.3">
      <c r="B30" s="1">
        <v>4</v>
      </c>
      <c r="C30">
        <f>AVERAGE(R2:R11)</f>
        <v>0.44364987999433608</v>
      </c>
      <c r="D30">
        <f>AVERAGE(R13:R22)</f>
        <v>0.59482033000094758</v>
      </c>
    </row>
    <row r="31" spans="2:19" x14ac:dyDescent="0.3">
      <c r="B31" s="1"/>
    </row>
    <row r="32" spans="2:19" x14ac:dyDescent="0.3">
      <c r="B32" s="1" t="s">
        <v>69</v>
      </c>
      <c r="C32">
        <f>AVERAGE(C27:C30)</f>
        <v>0.71700581749901104</v>
      </c>
      <c r="D32">
        <f>AVERAGE(D27:D30)</f>
        <v>0.60496658249612567</v>
      </c>
    </row>
    <row r="33" spans="2:4" x14ac:dyDescent="0.3">
      <c r="B33" s="1" t="s">
        <v>70</v>
      </c>
      <c r="C33">
        <f>_xlfn.STDEV.S(C27:C30)</f>
        <v>0.52357259237578191</v>
      </c>
      <c r="D33">
        <f>_xlfn.STDEV.S(D27:D30)</f>
        <v>0.13589609969710201</v>
      </c>
    </row>
    <row r="34" spans="2:4" x14ac:dyDescent="0.3">
      <c r="B34" s="1" t="s">
        <v>71</v>
      </c>
      <c r="C34">
        <f>(C33)/SQRT(4)</f>
        <v>0.26178629618789095</v>
      </c>
      <c r="D34">
        <f>(D33)/SQRT(4)</f>
        <v>6.7948049848551004E-2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(1st)</vt:lpstr>
      <vt:lpstr>Raw(2nd)</vt:lpstr>
      <vt:lpstr>Raw(3rd)</vt:lpstr>
      <vt:lpstr>Raw(4th)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2025-08-24T18:22:16Z</dcterms:created>
  <dcterms:modified xsi:type="dcterms:W3CDTF">2025-08-24T19:12:50Z</dcterms:modified>
</cp:coreProperties>
</file>