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ITTA GUPTA\Downloads\"/>
    </mc:Choice>
  </mc:AlternateContent>
  <xr:revisionPtr revIDLastSave="0" documentId="13_ncr:1_{FE3FE20D-7B83-4641-91F0-FAFE83267C57}" xr6:coauthVersionLast="47" xr6:coauthVersionMax="47" xr10:uidLastSave="{00000000-0000-0000-0000-000000000000}"/>
  <bookViews>
    <workbookView xWindow="-108" yWindow="-108" windowWidth="23256" windowHeight="12456" activeTab="4" xr2:uid="{760D9978-2477-4E8C-A38B-2D5D69DC962A}"/>
  </bookViews>
  <sheets>
    <sheet name="P1" sheetId="1" r:id="rId1"/>
    <sheet name="P2" sheetId="2" r:id="rId2"/>
    <sheet name="P3" sheetId="3" r:id="rId3"/>
    <sheet name="P4" sheetId="4" r:id="rId4"/>
    <sheet name="final analysis 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4" l="1"/>
  <c r="I4" i="3"/>
  <c r="I3" i="2"/>
  <c r="J7" i="1"/>
  <c r="F100" i="4"/>
  <c r="F98" i="4"/>
  <c r="F95" i="4"/>
  <c r="F90" i="4"/>
  <c r="F84" i="4"/>
  <c r="F82" i="4"/>
  <c r="F79" i="4"/>
  <c r="F74" i="4"/>
  <c r="F72" i="4"/>
  <c r="F70" i="4"/>
  <c r="F68" i="4"/>
  <c r="F65" i="4"/>
  <c r="F63" i="4"/>
  <c r="F61" i="4"/>
  <c r="F55" i="4"/>
  <c r="F53" i="4"/>
  <c r="F51" i="4"/>
  <c r="F48" i="4"/>
  <c r="F46" i="4"/>
  <c r="F40" i="4"/>
  <c r="F34" i="4"/>
  <c r="F31" i="4"/>
  <c r="F29" i="4"/>
  <c r="F21" i="4"/>
  <c r="F17" i="4"/>
  <c r="F15" i="4"/>
  <c r="F9" i="4"/>
  <c r="F7" i="4"/>
  <c r="F5" i="4"/>
  <c r="F3" i="4"/>
  <c r="F96" i="3"/>
  <c r="F91" i="3"/>
  <c r="F87" i="3"/>
  <c r="F83" i="3"/>
  <c r="F79" i="3"/>
  <c r="F72" i="3"/>
  <c r="F67" i="3"/>
  <c r="F62" i="3"/>
  <c r="F56" i="3"/>
  <c r="F41" i="3"/>
  <c r="F39" i="3"/>
  <c r="F37" i="3"/>
  <c r="F32" i="3"/>
  <c r="F26" i="3"/>
  <c r="F22" i="3"/>
  <c r="F16" i="3"/>
  <c r="F14" i="3"/>
  <c r="F12" i="3"/>
  <c r="F9" i="3"/>
  <c r="F6" i="3"/>
  <c r="F99" i="2"/>
  <c r="F97" i="2"/>
  <c r="F95" i="2"/>
  <c r="F93" i="2"/>
  <c r="F89" i="2"/>
  <c r="F79" i="2"/>
  <c r="F77" i="2"/>
  <c r="F75" i="2"/>
  <c r="F73" i="2"/>
  <c r="F71" i="2"/>
  <c r="F69" i="2"/>
  <c r="F67" i="2"/>
  <c r="F65" i="2"/>
  <c r="F63" i="2"/>
  <c r="F58" i="2"/>
  <c r="F54" i="2"/>
  <c r="F52" i="2"/>
  <c r="F48" i="2"/>
  <c r="F43" i="2"/>
  <c r="F37" i="2"/>
  <c r="F33" i="2"/>
  <c r="F31" i="2"/>
  <c r="F29" i="2"/>
  <c r="F27" i="2"/>
  <c r="F23" i="2"/>
  <c r="F15" i="2"/>
  <c r="F9" i="2"/>
  <c r="F6" i="2"/>
  <c r="F3" i="2"/>
  <c r="E100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2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2" i="2"/>
  <c r="F97" i="1"/>
  <c r="F93" i="1"/>
  <c r="F83" i="1"/>
  <c r="F81" i="1"/>
  <c r="F72" i="1"/>
  <c r="F66" i="1"/>
  <c r="F64" i="1"/>
  <c r="F62" i="1"/>
  <c r="F60" i="1"/>
  <c r="F58" i="1"/>
  <c r="F56" i="1"/>
  <c r="F54" i="1"/>
  <c r="F51" i="1"/>
  <c r="F42" i="1"/>
  <c r="F40" i="1"/>
  <c r="F32" i="1"/>
  <c r="F30" i="1"/>
  <c r="F28" i="1"/>
  <c r="F26" i="1"/>
  <c r="F23" i="1"/>
  <c r="F21" i="1"/>
  <c r="F19" i="1"/>
  <c r="F15" i="1"/>
  <c r="F12" i="1"/>
  <c r="F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2" i="1"/>
</calcChain>
</file>

<file path=xl/sharedStrings.xml><?xml version="1.0" encoding="utf-8"?>
<sst xmlns="http://schemas.openxmlformats.org/spreadsheetml/2006/main" count="426" uniqueCount="11">
  <si>
    <t>reward_today</t>
  </si>
  <si>
    <t>future_reward</t>
  </si>
  <si>
    <t>delay</t>
  </si>
  <si>
    <t>key_resp.keys</t>
  </si>
  <si>
    <t>l</t>
  </si>
  <si>
    <t>t</t>
  </si>
  <si>
    <t>K</t>
  </si>
  <si>
    <t>Geomean</t>
  </si>
  <si>
    <t>K-Value</t>
  </si>
  <si>
    <t>Participants</t>
  </si>
  <si>
    <t>K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</si>
</sst>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B63BB-790E-46B2-9E77-504BFD39DD27}">
  <dimension ref="A1:J100"/>
  <sheetViews>
    <sheetView workbookViewId="0">
      <selection activeCell="J7" sqref="J7"/>
    </sheetView>
  </sheetViews>
  <sheetFormatPr defaultRowHeight="14.4" x14ac:dyDescent="0.3"/>
  <cols>
    <col min="1" max="1" width="14.6640625" customWidth="1"/>
    <col min="2" max="2" width="15.88671875" customWidth="1"/>
    <col min="4" max="4" width="13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</row>
    <row r="2" spans="1:10" x14ac:dyDescent="0.3">
      <c r="A2">
        <v>27</v>
      </c>
      <c r="B2">
        <v>50</v>
      </c>
      <c r="C2">
        <v>21</v>
      </c>
      <c r="D2" t="s">
        <v>4</v>
      </c>
      <c r="E2">
        <f>((B2/A2)-1/C2)</f>
        <v>1.8042328042328042</v>
      </c>
    </row>
    <row r="3" spans="1:10" x14ac:dyDescent="0.3">
      <c r="A3">
        <v>11</v>
      </c>
      <c r="B3">
        <v>30</v>
      </c>
      <c r="C3">
        <v>7</v>
      </c>
      <c r="D3" t="s">
        <v>4</v>
      </c>
      <c r="E3">
        <f t="shared" ref="E3:E66" si="0">((B3/A3)-1/C3)</f>
        <v>2.5844155844155843</v>
      </c>
    </row>
    <row r="4" spans="1:10" x14ac:dyDescent="0.3">
      <c r="A4">
        <v>78</v>
      </c>
      <c r="B4">
        <v>80</v>
      </c>
      <c r="C4">
        <v>162</v>
      </c>
      <c r="D4" t="s">
        <v>5</v>
      </c>
      <c r="E4">
        <f t="shared" si="0"/>
        <v>1.0194681861348527</v>
      </c>
    </row>
    <row r="5" spans="1:10" x14ac:dyDescent="0.3">
      <c r="A5">
        <v>67</v>
      </c>
      <c r="B5">
        <v>75</v>
      </c>
      <c r="C5">
        <v>119</v>
      </c>
      <c r="D5" s="1" t="s">
        <v>5</v>
      </c>
      <c r="E5" s="1">
        <f t="shared" si="0"/>
        <v>1.110999623730089</v>
      </c>
    </row>
    <row r="6" spans="1:10" x14ac:dyDescent="0.3">
      <c r="A6">
        <v>15</v>
      </c>
      <c r="B6">
        <v>35</v>
      </c>
      <c r="C6">
        <v>13</v>
      </c>
      <c r="D6" s="1" t="s">
        <v>4</v>
      </c>
      <c r="E6" s="1">
        <f t="shared" si="0"/>
        <v>2.2564102564102564</v>
      </c>
      <c r="F6">
        <f>GEOMEAN(E5:E6)</f>
        <v>1.5833101230815485</v>
      </c>
    </row>
    <row r="7" spans="1:10" x14ac:dyDescent="0.3">
      <c r="A7">
        <v>49</v>
      </c>
      <c r="B7">
        <v>60</v>
      </c>
      <c r="C7">
        <v>89</v>
      </c>
      <c r="D7" t="s">
        <v>5</v>
      </c>
      <c r="E7">
        <f t="shared" si="0"/>
        <v>1.2132538408621876</v>
      </c>
      <c r="I7" s="2" t="s">
        <v>8</v>
      </c>
      <c r="J7" s="2">
        <f>AVERAGE(F1:F100)</f>
        <v>1.6301149259428431</v>
      </c>
    </row>
    <row r="8" spans="1:10" x14ac:dyDescent="0.3">
      <c r="A8">
        <v>40</v>
      </c>
      <c r="B8">
        <v>55</v>
      </c>
      <c r="C8">
        <v>62</v>
      </c>
      <c r="D8" t="s">
        <v>5</v>
      </c>
      <c r="E8">
        <f t="shared" si="0"/>
        <v>1.3588709677419355</v>
      </c>
    </row>
    <row r="9" spans="1:10" x14ac:dyDescent="0.3">
      <c r="A9">
        <v>67</v>
      </c>
      <c r="B9">
        <v>75</v>
      </c>
      <c r="C9">
        <v>119</v>
      </c>
      <c r="D9" t="s">
        <v>5</v>
      </c>
      <c r="E9">
        <f t="shared" si="0"/>
        <v>1.110999623730089</v>
      </c>
    </row>
    <row r="10" spans="1:10" x14ac:dyDescent="0.3">
      <c r="A10">
        <v>27</v>
      </c>
      <c r="B10">
        <v>50</v>
      </c>
      <c r="C10">
        <v>21</v>
      </c>
      <c r="D10" t="s">
        <v>5</v>
      </c>
      <c r="E10">
        <f t="shared" si="0"/>
        <v>1.8042328042328042</v>
      </c>
    </row>
    <row r="11" spans="1:10" x14ac:dyDescent="0.3">
      <c r="A11">
        <v>78</v>
      </c>
      <c r="B11">
        <v>80</v>
      </c>
      <c r="C11">
        <v>162</v>
      </c>
      <c r="D11" s="1" t="s">
        <v>5</v>
      </c>
      <c r="E11" s="1">
        <f t="shared" si="0"/>
        <v>1.0194681861348527</v>
      </c>
    </row>
    <row r="12" spans="1:10" x14ac:dyDescent="0.3">
      <c r="A12">
        <v>15</v>
      </c>
      <c r="B12">
        <v>35</v>
      </c>
      <c r="C12">
        <v>13</v>
      </c>
      <c r="D12" s="1" t="s">
        <v>4</v>
      </c>
      <c r="E12" s="1">
        <f t="shared" si="0"/>
        <v>2.2564102564102564</v>
      </c>
      <c r="F12">
        <f>GEOMEAN(E11:E12)</f>
        <v>1.5166866753811223</v>
      </c>
    </row>
    <row r="13" spans="1:10" x14ac:dyDescent="0.3">
      <c r="A13">
        <v>49</v>
      </c>
      <c r="B13">
        <v>60</v>
      </c>
      <c r="C13">
        <v>89</v>
      </c>
      <c r="D13" t="s">
        <v>4</v>
      </c>
      <c r="E13">
        <f t="shared" si="0"/>
        <v>1.2132538408621876</v>
      </c>
    </row>
    <row r="14" spans="1:10" x14ac:dyDescent="0.3">
      <c r="A14">
        <v>40</v>
      </c>
      <c r="B14">
        <v>55</v>
      </c>
      <c r="C14">
        <v>62</v>
      </c>
      <c r="D14" s="1" t="s">
        <v>5</v>
      </c>
      <c r="E14" s="1">
        <f t="shared" si="0"/>
        <v>1.3588709677419355</v>
      </c>
    </row>
    <row r="15" spans="1:10" x14ac:dyDescent="0.3">
      <c r="A15">
        <v>11</v>
      </c>
      <c r="B15">
        <v>30</v>
      </c>
      <c r="C15">
        <v>7</v>
      </c>
      <c r="D15" s="1" t="s">
        <v>4</v>
      </c>
      <c r="E15" s="1">
        <f t="shared" si="0"/>
        <v>2.5844155844155843</v>
      </c>
      <c r="F15">
        <f>GEOMEAN(E14:E15)</f>
        <v>1.8740030166043344</v>
      </c>
    </row>
    <row r="16" spans="1:10" x14ac:dyDescent="0.3">
      <c r="A16">
        <v>78</v>
      </c>
      <c r="B16">
        <v>80</v>
      </c>
      <c r="C16">
        <v>162</v>
      </c>
      <c r="D16" t="s">
        <v>5</v>
      </c>
      <c r="E16">
        <f t="shared" si="0"/>
        <v>1.0194681861348527</v>
      </c>
    </row>
    <row r="17" spans="1:6" x14ac:dyDescent="0.3">
      <c r="A17">
        <v>40</v>
      </c>
      <c r="B17">
        <v>55</v>
      </c>
      <c r="C17">
        <v>62</v>
      </c>
      <c r="D17" t="s">
        <v>5</v>
      </c>
      <c r="E17">
        <f t="shared" si="0"/>
        <v>1.3588709677419355</v>
      </c>
    </row>
    <row r="18" spans="1:6" x14ac:dyDescent="0.3">
      <c r="A18">
        <v>49</v>
      </c>
      <c r="B18">
        <v>60</v>
      </c>
      <c r="C18">
        <v>89</v>
      </c>
      <c r="D18" s="1" t="s">
        <v>5</v>
      </c>
      <c r="E18" s="1">
        <f t="shared" si="0"/>
        <v>1.2132538408621876</v>
      </c>
    </row>
    <row r="19" spans="1:6" x14ac:dyDescent="0.3">
      <c r="A19">
        <v>27</v>
      </c>
      <c r="B19">
        <v>50</v>
      </c>
      <c r="C19">
        <v>21</v>
      </c>
      <c r="D19" s="1" t="s">
        <v>4</v>
      </c>
      <c r="E19" s="1">
        <f t="shared" si="0"/>
        <v>1.8042328042328042</v>
      </c>
      <c r="F19">
        <f>GEOMEAN(E18:E19)</f>
        <v>1.479524376123964</v>
      </c>
    </row>
    <row r="20" spans="1:6" x14ac:dyDescent="0.3">
      <c r="A20">
        <v>67</v>
      </c>
      <c r="B20">
        <v>75</v>
      </c>
      <c r="C20">
        <v>119</v>
      </c>
      <c r="D20" s="1" t="s">
        <v>5</v>
      </c>
      <c r="E20" s="1">
        <f t="shared" si="0"/>
        <v>1.110999623730089</v>
      </c>
    </row>
    <row r="21" spans="1:6" x14ac:dyDescent="0.3">
      <c r="A21">
        <v>15</v>
      </c>
      <c r="B21">
        <v>35</v>
      </c>
      <c r="C21">
        <v>13</v>
      </c>
      <c r="D21" s="1" t="s">
        <v>4</v>
      </c>
      <c r="E21" s="1">
        <f t="shared" si="0"/>
        <v>2.2564102564102564</v>
      </c>
      <c r="F21">
        <f>GEOMEAN(E20:E21)</f>
        <v>1.5833101230815485</v>
      </c>
    </row>
    <row r="22" spans="1:6" x14ac:dyDescent="0.3">
      <c r="A22">
        <v>11</v>
      </c>
      <c r="B22">
        <v>30</v>
      </c>
      <c r="C22">
        <v>7</v>
      </c>
      <c r="D22" s="1" t="s">
        <v>5</v>
      </c>
      <c r="E22" s="1">
        <f t="shared" si="0"/>
        <v>2.5844155844155843</v>
      </c>
    </row>
    <row r="23" spans="1:6" x14ac:dyDescent="0.3">
      <c r="A23">
        <v>27</v>
      </c>
      <c r="B23">
        <v>50</v>
      </c>
      <c r="C23">
        <v>21</v>
      </c>
      <c r="D23" s="1" t="s">
        <v>4</v>
      </c>
      <c r="E23" s="1">
        <f t="shared" si="0"/>
        <v>1.8042328042328042</v>
      </c>
      <c r="F23">
        <f>GEOMEAN(E22:E23)</f>
        <v>2.1593719867528827</v>
      </c>
    </row>
    <row r="24" spans="1:6" x14ac:dyDescent="0.3">
      <c r="A24">
        <v>40</v>
      </c>
      <c r="B24">
        <v>55</v>
      </c>
      <c r="C24">
        <v>62</v>
      </c>
      <c r="D24" t="s">
        <v>4</v>
      </c>
      <c r="E24">
        <f t="shared" si="0"/>
        <v>1.3588709677419355</v>
      </c>
    </row>
    <row r="25" spans="1:6" x14ac:dyDescent="0.3">
      <c r="A25">
        <v>11</v>
      </c>
      <c r="B25">
        <v>30</v>
      </c>
      <c r="C25">
        <v>7</v>
      </c>
      <c r="D25" s="1" t="s">
        <v>5</v>
      </c>
      <c r="E25" s="1">
        <f t="shared" si="0"/>
        <v>2.5844155844155843</v>
      </c>
    </row>
    <row r="26" spans="1:6" x14ac:dyDescent="0.3">
      <c r="A26">
        <v>78</v>
      </c>
      <c r="B26">
        <v>80</v>
      </c>
      <c r="C26">
        <v>162</v>
      </c>
      <c r="D26" s="1" t="s">
        <v>4</v>
      </c>
      <c r="E26" s="1">
        <f t="shared" si="0"/>
        <v>1.0194681861348527</v>
      </c>
      <c r="F26">
        <f>GEOMEAN(E25:E26)</f>
        <v>1.6231849765392732</v>
      </c>
    </row>
    <row r="27" spans="1:6" x14ac:dyDescent="0.3">
      <c r="A27">
        <v>49</v>
      </c>
      <c r="B27">
        <v>60</v>
      </c>
      <c r="C27">
        <v>89</v>
      </c>
      <c r="D27" s="1" t="s">
        <v>5</v>
      </c>
      <c r="E27" s="1">
        <f t="shared" si="0"/>
        <v>1.2132538408621876</v>
      </c>
    </row>
    <row r="28" spans="1:6" x14ac:dyDescent="0.3">
      <c r="A28">
        <v>15</v>
      </c>
      <c r="B28">
        <v>35</v>
      </c>
      <c r="C28">
        <v>13</v>
      </c>
      <c r="D28" s="1" t="s">
        <v>4</v>
      </c>
      <c r="E28" s="1">
        <f t="shared" si="0"/>
        <v>2.2564102564102564</v>
      </c>
      <c r="F28">
        <f>GEOMEAN(E27:E28)</f>
        <v>1.6545689499536056</v>
      </c>
    </row>
    <row r="29" spans="1:6" x14ac:dyDescent="0.3">
      <c r="A29">
        <v>67</v>
      </c>
      <c r="B29">
        <v>75</v>
      </c>
      <c r="C29">
        <v>119</v>
      </c>
      <c r="D29" s="1" t="s">
        <v>5</v>
      </c>
      <c r="E29" s="1">
        <f t="shared" si="0"/>
        <v>1.110999623730089</v>
      </c>
    </row>
    <row r="30" spans="1:6" x14ac:dyDescent="0.3">
      <c r="A30">
        <v>15</v>
      </c>
      <c r="B30">
        <v>35</v>
      </c>
      <c r="C30">
        <v>13</v>
      </c>
      <c r="D30" s="1" t="s">
        <v>4</v>
      </c>
      <c r="E30" s="1">
        <f t="shared" si="0"/>
        <v>2.2564102564102564</v>
      </c>
      <c r="F30">
        <f>GEOMEAN(E29:E30)</f>
        <v>1.5833101230815485</v>
      </c>
    </row>
    <row r="31" spans="1:6" x14ac:dyDescent="0.3">
      <c r="A31">
        <v>67</v>
      </c>
      <c r="B31">
        <v>75</v>
      </c>
      <c r="C31">
        <v>119</v>
      </c>
      <c r="D31" s="1" t="s">
        <v>5</v>
      </c>
      <c r="E31" s="1">
        <f t="shared" si="0"/>
        <v>1.110999623730089</v>
      </c>
    </row>
    <row r="32" spans="1:6" x14ac:dyDescent="0.3">
      <c r="A32">
        <v>27</v>
      </c>
      <c r="B32">
        <v>50</v>
      </c>
      <c r="C32">
        <v>21</v>
      </c>
      <c r="D32" s="1" t="s">
        <v>4</v>
      </c>
      <c r="E32" s="1">
        <f t="shared" si="0"/>
        <v>1.8042328042328042</v>
      </c>
      <c r="F32">
        <f>GEOMEAN(E31:E32)</f>
        <v>1.4158043532296858</v>
      </c>
    </row>
    <row r="33" spans="1:6" x14ac:dyDescent="0.3">
      <c r="A33">
        <v>78</v>
      </c>
      <c r="B33">
        <v>80</v>
      </c>
      <c r="C33">
        <v>162</v>
      </c>
      <c r="D33" t="s">
        <v>5</v>
      </c>
      <c r="E33">
        <f t="shared" si="0"/>
        <v>1.0194681861348527</v>
      </c>
    </row>
    <row r="34" spans="1:6" x14ac:dyDescent="0.3">
      <c r="A34">
        <v>40</v>
      </c>
      <c r="B34">
        <v>55</v>
      </c>
      <c r="C34">
        <v>62</v>
      </c>
      <c r="D34" t="s">
        <v>5</v>
      </c>
      <c r="E34">
        <f t="shared" si="0"/>
        <v>1.3588709677419355</v>
      </c>
    </row>
    <row r="35" spans="1:6" x14ac:dyDescent="0.3">
      <c r="A35">
        <v>49</v>
      </c>
      <c r="B35">
        <v>60</v>
      </c>
      <c r="C35">
        <v>89</v>
      </c>
      <c r="D35" t="s">
        <v>5</v>
      </c>
      <c r="E35">
        <f t="shared" si="0"/>
        <v>1.2132538408621876</v>
      </c>
    </row>
    <row r="36" spans="1:6" x14ac:dyDescent="0.3">
      <c r="A36">
        <v>11</v>
      </c>
      <c r="B36">
        <v>30</v>
      </c>
      <c r="C36">
        <v>7</v>
      </c>
      <c r="D36" t="s">
        <v>5</v>
      </c>
      <c r="E36">
        <f t="shared" si="0"/>
        <v>2.5844155844155843</v>
      </c>
    </row>
    <row r="37" spans="1:6" x14ac:dyDescent="0.3">
      <c r="A37">
        <v>78</v>
      </c>
      <c r="B37">
        <v>80</v>
      </c>
      <c r="C37">
        <v>162</v>
      </c>
      <c r="D37" t="s">
        <v>5</v>
      </c>
      <c r="E37">
        <f t="shared" si="0"/>
        <v>1.0194681861348527</v>
      </c>
    </row>
    <row r="38" spans="1:6" x14ac:dyDescent="0.3">
      <c r="A38">
        <v>15</v>
      </c>
      <c r="B38">
        <v>35</v>
      </c>
      <c r="C38">
        <v>13</v>
      </c>
      <c r="D38" t="s">
        <v>5</v>
      </c>
      <c r="E38">
        <f t="shared" si="0"/>
        <v>2.2564102564102564</v>
      </c>
    </row>
    <row r="39" spans="1:6" x14ac:dyDescent="0.3">
      <c r="A39">
        <v>27</v>
      </c>
      <c r="B39">
        <v>50</v>
      </c>
      <c r="C39">
        <v>21</v>
      </c>
      <c r="D39" s="1" t="s">
        <v>5</v>
      </c>
      <c r="E39" s="1">
        <f t="shared" si="0"/>
        <v>1.8042328042328042</v>
      </c>
    </row>
    <row r="40" spans="1:6" x14ac:dyDescent="0.3">
      <c r="A40">
        <v>40</v>
      </c>
      <c r="B40">
        <v>55</v>
      </c>
      <c r="C40">
        <v>62</v>
      </c>
      <c r="D40" s="1" t="s">
        <v>4</v>
      </c>
      <c r="E40" s="1">
        <f t="shared" si="0"/>
        <v>1.3588709677419355</v>
      </c>
      <c r="F40">
        <f>GEOMEAN(E39:E40)</f>
        <v>1.5657967865338007</v>
      </c>
    </row>
    <row r="41" spans="1:6" x14ac:dyDescent="0.3">
      <c r="A41">
        <v>11</v>
      </c>
      <c r="B41">
        <v>30</v>
      </c>
      <c r="C41">
        <v>7</v>
      </c>
      <c r="D41" s="1" t="s">
        <v>5</v>
      </c>
      <c r="E41" s="1">
        <f t="shared" si="0"/>
        <v>2.5844155844155843</v>
      </c>
    </row>
    <row r="42" spans="1:6" x14ac:dyDescent="0.3">
      <c r="A42">
        <v>67</v>
      </c>
      <c r="B42">
        <v>75</v>
      </c>
      <c r="C42">
        <v>119</v>
      </c>
      <c r="D42" s="1" t="s">
        <v>4</v>
      </c>
      <c r="E42" s="1">
        <f t="shared" si="0"/>
        <v>1.110999623730089</v>
      </c>
      <c r="F42">
        <f>GEOMEAN(E41:E42)</f>
        <v>1.6944865717520137</v>
      </c>
    </row>
    <row r="43" spans="1:6" x14ac:dyDescent="0.3">
      <c r="A43">
        <v>49</v>
      </c>
      <c r="B43">
        <v>60</v>
      </c>
      <c r="C43">
        <v>89</v>
      </c>
      <c r="D43" t="s">
        <v>4</v>
      </c>
      <c r="E43">
        <f t="shared" si="0"/>
        <v>1.2132538408621876</v>
      </c>
    </row>
    <row r="44" spans="1:6" x14ac:dyDescent="0.3">
      <c r="A44">
        <v>27</v>
      </c>
      <c r="B44">
        <v>50</v>
      </c>
      <c r="C44">
        <v>21</v>
      </c>
      <c r="D44" t="s">
        <v>4</v>
      </c>
      <c r="E44">
        <f t="shared" si="0"/>
        <v>1.8042328042328042</v>
      </c>
    </row>
    <row r="45" spans="1:6" x14ac:dyDescent="0.3">
      <c r="A45">
        <v>78</v>
      </c>
      <c r="B45">
        <v>80</v>
      </c>
      <c r="C45">
        <v>162</v>
      </c>
      <c r="D45" t="s">
        <v>4</v>
      </c>
      <c r="E45">
        <f t="shared" si="0"/>
        <v>1.0194681861348527</v>
      </c>
    </row>
    <row r="46" spans="1:6" x14ac:dyDescent="0.3">
      <c r="A46">
        <v>67</v>
      </c>
      <c r="B46">
        <v>75</v>
      </c>
      <c r="C46">
        <v>119</v>
      </c>
      <c r="D46" t="s">
        <v>4</v>
      </c>
      <c r="E46">
        <f t="shared" si="0"/>
        <v>1.110999623730089</v>
      </c>
    </row>
    <row r="47" spans="1:6" x14ac:dyDescent="0.3">
      <c r="A47">
        <v>11</v>
      </c>
      <c r="B47">
        <v>30</v>
      </c>
      <c r="C47">
        <v>7</v>
      </c>
      <c r="D47" t="s">
        <v>4</v>
      </c>
      <c r="E47">
        <f t="shared" si="0"/>
        <v>2.5844155844155843</v>
      </c>
    </row>
    <row r="48" spans="1:6" x14ac:dyDescent="0.3">
      <c r="A48">
        <v>15</v>
      </c>
      <c r="B48">
        <v>35</v>
      </c>
      <c r="C48">
        <v>13</v>
      </c>
      <c r="D48" t="s">
        <v>4</v>
      </c>
      <c r="E48">
        <f t="shared" si="0"/>
        <v>2.2564102564102564</v>
      </c>
    </row>
    <row r="49" spans="1:6" x14ac:dyDescent="0.3">
      <c r="A49">
        <v>49</v>
      </c>
      <c r="B49">
        <v>60</v>
      </c>
      <c r="C49">
        <v>89</v>
      </c>
      <c r="D49" t="s">
        <v>5</v>
      </c>
      <c r="E49">
        <f t="shared" si="0"/>
        <v>1.2132538408621876</v>
      </c>
    </row>
    <row r="50" spans="1:6" x14ac:dyDescent="0.3">
      <c r="A50">
        <v>40</v>
      </c>
      <c r="B50">
        <v>55</v>
      </c>
      <c r="C50">
        <v>62</v>
      </c>
      <c r="D50" s="1" t="s">
        <v>5</v>
      </c>
      <c r="E50" s="1">
        <f t="shared" si="0"/>
        <v>1.3588709677419355</v>
      </c>
    </row>
    <row r="51" spans="1:6" x14ac:dyDescent="0.3">
      <c r="A51">
        <v>67</v>
      </c>
      <c r="B51">
        <v>75</v>
      </c>
      <c r="C51">
        <v>119</v>
      </c>
      <c r="D51" s="1" t="s">
        <v>4</v>
      </c>
      <c r="E51" s="1">
        <f t="shared" si="0"/>
        <v>1.110999623730089</v>
      </c>
      <c r="F51">
        <f>GEOMEAN(E50:E51)</f>
        <v>1.2287005875554191</v>
      </c>
    </row>
    <row r="52" spans="1:6" x14ac:dyDescent="0.3">
      <c r="A52">
        <v>27</v>
      </c>
      <c r="B52">
        <v>50</v>
      </c>
      <c r="C52">
        <v>21</v>
      </c>
      <c r="D52" t="s">
        <v>4</v>
      </c>
      <c r="E52">
        <f t="shared" si="0"/>
        <v>1.8042328042328042</v>
      </c>
    </row>
    <row r="53" spans="1:6" x14ac:dyDescent="0.3">
      <c r="A53">
        <v>49</v>
      </c>
      <c r="B53">
        <v>60</v>
      </c>
      <c r="C53">
        <v>89</v>
      </c>
      <c r="D53" s="1" t="s">
        <v>5</v>
      </c>
      <c r="E53" s="1">
        <f t="shared" si="0"/>
        <v>1.2132538408621876</v>
      </c>
    </row>
    <row r="54" spans="1:6" x14ac:dyDescent="0.3">
      <c r="A54">
        <v>11</v>
      </c>
      <c r="B54">
        <v>30</v>
      </c>
      <c r="C54">
        <v>7</v>
      </c>
      <c r="D54" s="1" t="s">
        <v>4</v>
      </c>
      <c r="E54" s="1">
        <f t="shared" si="0"/>
        <v>2.5844155844155843</v>
      </c>
      <c r="F54">
        <f>GEOMEAN(E53:E54)</f>
        <v>1.7707490319569013</v>
      </c>
    </row>
    <row r="55" spans="1:6" x14ac:dyDescent="0.3">
      <c r="A55">
        <v>78</v>
      </c>
      <c r="B55">
        <v>80</v>
      </c>
      <c r="C55">
        <v>162</v>
      </c>
      <c r="D55" s="1" t="s">
        <v>5</v>
      </c>
      <c r="E55" s="1">
        <f t="shared" si="0"/>
        <v>1.0194681861348527</v>
      </c>
    </row>
    <row r="56" spans="1:6" x14ac:dyDescent="0.3">
      <c r="A56">
        <v>40</v>
      </c>
      <c r="B56">
        <v>55</v>
      </c>
      <c r="C56">
        <v>62</v>
      </c>
      <c r="D56" s="1" t="s">
        <v>4</v>
      </c>
      <c r="E56" s="1">
        <f t="shared" si="0"/>
        <v>1.3588709677419355</v>
      </c>
      <c r="F56">
        <f>GEOMEAN(E55:E56)</f>
        <v>1.1769986069130172</v>
      </c>
    </row>
    <row r="57" spans="1:6" x14ac:dyDescent="0.3">
      <c r="A57">
        <v>15</v>
      </c>
      <c r="B57">
        <v>35</v>
      </c>
      <c r="C57">
        <v>13</v>
      </c>
      <c r="D57" s="1" t="s">
        <v>5</v>
      </c>
      <c r="E57" s="1">
        <f t="shared" si="0"/>
        <v>2.2564102564102564</v>
      </c>
    </row>
    <row r="58" spans="1:6" x14ac:dyDescent="0.3">
      <c r="A58">
        <v>67</v>
      </c>
      <c r="B58">
        <v>75</v>
      </c>
      <c r="C58">
        <v>119</v>
      </c>
      <c r="D58" s="1" t="s">
        <v>4</v>
      </c>
      <c r="E58" s="1">
        <f t="shared" si="0"/>
        <v>1.110999623730089</v>
      </c>
      <c r="F58">
        <f>GEOMEAN(E57:E58)</f>
        <v>1.5833101230815485</v>
      </c>
    </row>
    <row r="59" spans="1:6" x14ac:dyDescent="0.3">
      <c r="A59">
        <v>49</v>
      </c>
      <c r="B59">
        <v>60</v>
      </c>
      <c r="C59">
        <v>89</v>
      </c>
      <c r="D59" s="1" t="s">
        <v>5</v>
      </c>
      <c r="E59" s="1">
        <f t="shared" si="0"/>
        <v>1.2132538408621876</v>
      </c>
    </row>
    <row r="60" spans="1:6" x14ac:dyDescent="0.3">
      <c r="A60">
        <v>40</v>
      </c>
      <c r="B60">
        <v>55</v>
      </c>
      <c r="C60">
        <v>62</v>
      </c>
      <c r="D60" s="1" t="s">
        <v>4</v>
      </c>
      <c r="E60" s="1">
        <f t="shared" si="0"/>
        <v>1.3588709677419355</v>
      </c>
      <c r="F60">
        <f>GEOMEAN(E59:E60)</f>
        <v>1.283999774473898</v>
      </c>
    </row>
    <row r="61" spans="1:6" x14ac:dyDescent="0.3">
      <c r="A61">
        <v>11</v>
      </c>
      <c r="B61">
        <v>30</v>
      </c>
      <c r="C61">
        <v>7</v>
      </c>
      <c r="D61" s="1" t="s">
        <v>5</v>
      </c>
      <c r="E61" s="1">
        <f t="shared" si="0"/>
        <v>2.5844155844155843</v>
      </c>
    </row>
    <row r="62" spans="1:6" x14ac:dyDescent="0.3">
      <c r="A62">
        <v>15</v>
      </c>
      <c r="B62">
        <v>35</v>
      </c>
      <c r="C62">
        <v>13</v>
      </c>
      <c r="D62" s="1" t="s">
        <v>4</v>
      </c>
      <c r="E62" s="1">
        <f t="shared" si="0"/>
        <v>2.2564102564102564</v>
      </c>
      <c r="F62">
        <f>GEOMEAN(E61:E62)</f>
        <v>2.4148502710316908</v>
      </c>
    </row>
    <row r="63" spans="1:6" x14ac:dyDescent="0.3">
      <c r="A63">
        <v>78</v>
      </c>
      <c r="B63">
        <v>80</v>
      </c>
      <c r="C63">
        <v>162</v>
      </c>
      <c r="D63" s="1" t="s">
        <v>5</v>
      </c>
      <c r="E63" s="1">
        <f t="shared" si="0"/>
        <v>1.0194681861348527</v>
      </c>
    </row>
    <row r="64" spans="1:6" x14ac:dyDescent="0.3">
      <c r="A64">
        <v>27</v>
      </c>
      <c r="B64">
        <v>50</v>
      </c>
      <c r="C64">
        <v>21</v>
      </c>
      <c r="D64" s="1" t="s">
        <v>4</v>
      </c>
      <c r="E64" s="1">
        <f t="shared" si="0"/>
        <v>1.8042328042328042</v>
      </c>
      <c r="F64">
        <f>GEOMEAN(E63:E64)</f>
        <v>1.3562293111034784</v>
      </c>
    </row>
    <row r="65" spans="1:6" x14ac:dyDescent="0.3">
      <c r="A65">
        <v>49</v>
      </c>
      <c r="B65">
        <v>60</v>
      </c>
      <c r="C65">
        <v>89</v>
      </c>
      <c r="D65" s="1" t="s">
        <v>5</v>
      </c>
      <c r="E65" s="1">
        <f t="shared" si="0"/>
        <v>1.2132538408621876</v>
      </c>
    </row>
    <row r="66" spans="1:6" x14ac:dyDescent="0.3">
      <c r="A66">
        <v>15</v>
      </c>
      <c r="B66">
        <v>35</v>
      </c>
      <c r="C66">
        <v>13</v>
      </c>
      <c r="D66" s="1" t="s">
        <v>4</v>
      </c>
      <c r="E66" s="1">
        <f t="shared" si="0"/>
        <v>2.2564102564102564</v>
      </c>
      <c r="F66">
        <f>GEOMEAN(E65:E66)</f>
        <v>1.6545689499536056</v>
      </c>
    </row>
    <row r="67" spans="1:6" x14ac:dyDescent="0.3">
      <c r="A67">
        <v>27</v>
      </c>
      <c r="B67">
        <v>50</v>
      </c>
      <c r="C67">
        <v>21</v>
      </c>
      <c r="D67" t="s">
        <v>5</v>
      </c>
      <c r="E67">
        <f t="shared" ref="E67:E100" si="1">((B67/A67)-1/C67)</f>
        <v>1.8042328042328042</v>
      </c>
    </row>
    <row r="68" spans="1:6" x14ac:dyDescent="0.3">
      <c r="A68">
        <v>67</v>
      </c>
      <c r="B68">
        <v>75</v>
      </c>
      <c r="C68">
        <v>119</v>
      </c>
      <c r="D68" t="s">
        <v>5</v>
      </c>
      <c r="E68">
        <f t="shared" si="1"/>
        <v>1.110999623730089</v>
      </c>
    </row>
    <row r="69" spans="1:6" x14ac:dyDescent="0.3">
      <c r="A69">
        <v>40</v>
      </c>
      <c r="B69">
        <v>55</v>
      </c>
      <c r="C69">
        <v>62</v>
      </c>
      <c r="D69" t="s">
        <v>5</v>
      </c>
      <c r="E69">
        <f t="shared" si="1"/>
        <v>1.3588709677419355</v>
      </c>
    </row>
    <row r="70" spans="1:6" x14ac:dyDescent="0.3">
      <c r="A70">
        <v>78</v>
      </c>
      <c r="B70">
        <v>80</v>
      </c>
      <c r="C70">
        <v>162</v>
      </c>
      <c r="D70" t="s">
        <v>5</v>
      </c>
      <c r="E70">
        <f t="shared" si="1"/>
        <v>1.0194681861348527</v>
      </c>
    </row>
    <row r="71" spans="1:6" x14ac:dyDescent="0.3">
      <c r="A71">
        <v>11</v>
      </c>
      <c r="B71">
        <v>30</v>
      </c>
      <c r="C71">
        <v>7</v>
      </c>
      <c r="D71" s="1" t="s">
        <v>5</v>
      </c>
      <c r="E71" s="1">
        <f t="shared" si="1"/>
        <v>2.5844155844155843</v>
      </c>
    </row>
    <row r="72" spans="1:6" x14ac:dyDescent="0.3">
      <c r="A72">
        <v>40</v>
      </c>
      <c r="B72">
        <v>55</v>
      </c>
      <c r="C72">
        <v>62</v>
      </c>
      <c r="D72" s="1" t="s">
        <v>4</v>
      </c>
      <c r="E72" s="1">
        <f t="shared" si="1"/>
        <v>1.3588709677419355</v>
      </c>
      <c r="F72">
        <f>GEOMEAN(E71:E72)</f>
        <v>1.8740030166043344</v>
      </c>
    </row>
    <row r="73" spans="1:6" x14ac:dyDescent="0.3">
      <c r="A73">
        <v>27</v>
      </c>
      <c r="B73">
        <v>50</v>
      </c>
      <c r="C73">
        <v>21</v>
      </c>
      <c r="D73" t="s">
        <v>4</v>
      </c>
      <c r="E73">
        <f t="shared" si="1"/>
        <v>1.8042328042328042</v>
      </c>
    </row>
    <row r="74" spans="1:6" x14ac:dyDescent="0.3">
      <c r="A74">
        <v>78</v>
      </c>
      <c r="B74">
        <v>80</v>
      </c>
      <c r="C74">
        <v>162</v>
      </c>
      <c r="D74" t="s">
        <v>4</v>
      </c>
      <c r="E74">
        <f t="shared" si="1"/>
        <v>1.0194681861348527</v>
      </c>
    </row>
    <row r="75" spans="1:6" x14ac:dyDescent="0.3">
      <c r="A75">
        <v>11</v>
      </c>
      <c r="B75">
        <v>30</v>
      </c>
      <c r="C75">
        <v>7</v>
      </c>
      <c r="D75" t="s">
        <v>4</v>
      </c>
      <c r="E75">
        <f t="shared" si="1"/>
        <v>2.5844155844155843</v>
      </c>
    </row>
    <row r="76" spans="1:6" x14ac:dyDescent="0.3">
      <c r="A76">
        <v>15</v>
      </c>
      <c r="B76">
        <v>35</v>
      </c>
      <c r="C76">
        <v>13</v>
      </c>
      <c r="D76" t="s">
        <v>4</v>
      </c>
      <c r="E76">
        <f t="shared" si="1"/>
        <v>2.2564102564102564</v>
      </c>
    </row>
    <row r="77" spans="1:6" x14ac:dyDescent="0.3">
      <c r="A77">
        <v>49</v>
      </c>
      <c r="B77">
        <v>60</v>
      </c>
      <c r="C77">
        <v>89</v>
      </c>
      <c r="D77" t="s">
        <v>4</v>
      </c>
      <c r="E77">
        <f t="shared" si="1"/>
        <v>1.2132538408621876</v>
      </c>
    </row>
    <row r="78" spans="1:6" x14ac:dyDescent="0.3">
      <c r="A78">
        <v>67</v>
      </c>
      <c r="B78">
        <v>75</v>
      </c>
      <c r="C78">
        <v>119</v>
      </c>
      <c r="D78" t="s">
        <v>4</v>
      </c>
      <c r="E78">
        <f t="shared" si="1"/>
        <v>1.110999623730089</v>
      </c>
    </row>
    <row r="79" spans="1:6" x14ac:dyDescent="0.3">
      <c r="A79">
        <v>27</v>
      </c>
      <c r="B79">
        <v>50</v>
      </c>
      <c r="C79">
        <v>21</v>
      </c>
      <c r="D79" t="s">
        <v>4</v>
      </c>
      <c r="E79">
        <f t="shared" si="1"/>
        <v>1.8042328042328042</v>
      </c>
    </row>
    <row r="80" spans="1:6" x14ac:dyDescent="0.3">
      <c r="A80">
        <v>78</v>
      </c>
      <c r="B80">
        <v>80</v>
      </c>
      <c r="C80">
        <v>162</v>
      </c>
      <c r="D80" s="1" t="s">
        <v>5</v>
      </c>
      <c r="E80" s="1">
        <f t="shared" si="1"/>
        <v>1.0194681861348527</v>
      </c>
    </row>
    <row r="81" spans="1:6" x14ac:dyDescent="0.3">
      <c r="A81">
        <v>49</v>
      </c>
      <c r="B81">
        <v>60</v>
      </c>
      <c r="C81">
        <v>89</v>
      </c>
      <c r="D81" s="1" t="s">
        <v>4</v>
      </c>
      <c r="E81" s="1">
        <f t="shared" si="1"/>
        <v>1.2132538408621876</v>
      </c>
      <c r="F81">
        <f>GEOMEAN(E80:E81)</f>
        <v>1.1121482331348269</v>
      </c>
    </row>
    <row r="82" spans="1:6" x14ac:dyDescent="0.3">
      <c r="A82">
        <v>15</v>
      </c>
      <c r="B82">
        <v>35</v>
      </c>
      <c r="C82">
        <v>13</v>
      </c>
      <c r="D82" s="1" t="s">
        <v>5</v>
      </c>
      <c r="E82" s="1">
        <f t="shared" si="1"/>
        <v>2.2564102564102564</v>
      </c>
    </row>
    <row r="83" spans="1:6" x14ac:dyDescent="0.3">
      <c r="A83">
        <v>67</v>
      </c>
      <c r="B83">
        <v>75</v>
      </c>
      <c r="C83">
        <v>119</v>
      </c>
      <c r="D83" s="1" t="s">
        <v>4</v>
      </c>
      <c r="E83" s="1">
        <f t="shared" si="1"/>
        <v>1.110999623730089</v>
      </c>
      <c r="F83">
        <f>GEOMEAN(E82:E83)</f>
        <v>1.5833101230815485</v>
      </c>
    </row>
    <row r="84" spans="1:6" x14ac:dyDescent="0.3">
      <c r="A84">
        <v>11</v>
      </c>
      <c r="B84">
        <v>30</v>
      </c>
      <c r="C84">
        <v>7</v>
      </c>
      <c r="D84" t="s">
        <v>5</v>
      </c>
      <c r="E84">
        <f t="shared" si="1"/>
        <v>2.5844155844155843</v>
      </c>
    </row>
    <row r="85" spans="1:6" x14ac:dyDescent="0.3">
      <c r="A85">
        <v>40</v>
      </c>
      <c r="B85">
        <v>55</v>
      </c>
      <c r="C85">
        <v>62</v>
      </c>
      <c r="D85" t="s">
        <v>5</v>
      </c>
      <c r="E85">
        <f t="shared" si="1"/>
        <v>1.3588709677419355</v>
      </c>
    </row>
    <row r="86" spans="1:6" x14ac:dyDescent="0.3">
      <c r="A86">
        <v>67</v>
      </c>
      <c r="B86">
        <v>75</v>
      </c>
      <c r="C86">
        <v>119</v>
      </c>
      <c r="D86" t="s">
        <v>5</v>
      </c>
      <c r="E86">
        <f t="shared" si="1"/>
        <v>1.110999623730089</v>
      </c>
    </row>
    <row r="87" spans="1:6" x14ac:dyDescent="0.3">
      <c r="A87">
        <v>49</v>
      </c>
      <c r="B87">
        <v>60</v>
      </c>
      <c r="C87">
        <v>89</v>
      </c>
      <c r="D87" t="s">
        <v>5</v>
      </c>
      <c r="E87">
        <f t="shared" si="1"/>
        <v>1.2132538408621876</v>
      </c>
    </row>
    <row r="88" spans="1:6" x14ac:dyDescent="0.3">
      <c r="A88">
        <v>40</v>
      </c>
      <c r="B88">
        <v>55</v>
      </c>
      <c r="C88">
        <v>62</v>
      </c>
      <c r="D88" t="s">
        <v>5</v>
      </c>
      <c r="E88">
        <f t="shared" si="1"/>
        <v>1.3588709677419355</v>
      </c>
    </row>
    <row r="89" spans="1:6" x14ac:dyDescent="0.3">
      <c r="A89">
        <v>15</v>
      </c>
      <c r="B89">
        <v>35</v>
      </c>
      <c r="C89">
        <v>13</v>
      </c>
      <c r="D89" t="s">
        <v>5</v>
      </c>
      <c r="E89">
        <f t="shared" si="1"/>
        <v>2.2564102564102564</v>
      </c>
    </row>
    <row r="90" spans="1:6" x14ac:dyDescent="0.3">
      <c r="A90">
        <v>27</v>
      </c>
      <c r="B90">
        <v>50</v>
      </c>
      <c r="C90">
        <v>21</v>
      </c>
      <c r="D90" t="s">
        <v>5</v>
      </c>
      <c r="E90">
        <f t="shared" si="1"/>
        <v>1.8042328042328042</v>
      </c>
    </row>
    <row r="91" spans="1:6" x14ac:dyDescent="0.3">
      <c r="A91">
        <v>78</v>
      </c>
      <c r="B91">
        <v>80</v>
      </c>
      <c r="C91">
        <v>162</v>
      </c>
      <c r="D91" t="s">
        <v>5</v>
      </c>
      <c r="E91">
        <f t="shared" si="1"/>
        <v>1.0194681861348527</v>
      </c>
    </row>
    <row r="92" spans="1:6" x14ac:dyDescent="0.3">
      <c r="A92">
        <v>11</v>
      </c>
      <c r="B92">
        <v>30</v>
      </c>
      <c r="C92">
        <v>7</v>
      </c>
      <c r="D92" s="1" t="s">
        <v>5</v>
      </c>
      <c r="E92" s="1">
        <f t="shared" si="1"/>
        <v>2.5844155844155843</v>
      </c>
    </row>
    <row r="93" spans="1:6" x14ac:dyDescent="0.3">
      <c r="A93">
        <v>15</v>
      </c>
      <c r="B93">
        <v>35</v>
      </c>
      <c r="C93">
        <v>13</v>
      </c>
      <c r="D93" s="1" t="s">
        <v>4</v>
      </c>
      <c r="E93" s="1">
        <f t="shared" si="1"/>
        <v>2.2564102564102564</v>
      </c>
      <c r="F93">
        <f>GEOMEAN(E92:E93)</f>
        <v>2.4148502710316908</v>
      </c>
    </row>
    <row r="94" spans="1:6" x14ac:dyDescent="0.3">
      <c r="A94">
        <v>78</v>
      </c>
      <c r="B94">
        <v>80</v>
      </c>
      <c r="C94">
        <v>162</v>
      </c>
      <c r="D94" t="s">
        <v>4</v>
      </c>
      <c r="E94">
        <f t="shared" si="1"/>
        <v>1.0194681861348527</v>
      </c>
    </row>
    <row r="95" spans="1:6" x14ac:dyDescent="0.3">
      <c r="A95">
        <v>67</v>
      </c>
      <c r="B95">
        <v>75</v>
      </c>
      <c r="C95">
        <v>119</v>
      </c>
      <c r="D95" t="s">
        <v>4</v>
      </c>
      <c r="E95">
        <f t="shared" si="1"/>
        <v>1.110999623730089</v>
      </c>
    </row>
    <row r="96" spans="1:6" x14ac:dyDescent="0.3">
      <c r="A96">
        <v>40</v>
      </c>
      <c r="B96">
        <v>55</v>
      </c>
      <c r="C96">
        <v>62</v>
      </c>
      <c r="D96" s="1" t="s">
        <v>5</v>
      </c>
      <c r="E96" s="1">
        <f t="shared" si="1"/>
        <v>1.3588709677419355</v>
      </c>
    </row>
    <row r="97" spans="1:6" x14ac:dyDescent="0.3">
      <c r="A97">
        <v>27</v>
      </c>
      <c r="B97">
        <v>50</v>
      </c>
      <c r="C97">
        <v>21</v>
      </c>
      <c r="D97" s="1" t="s">
        <v>4</v>
      </c>
      <c r="E97" s="1">
        <f t="shared" si="1"/>
        <v>1.8042328042328042</v>
      </c>
      <c r="F97">
        <f>GEOMEAN(E96:E97)</f>
        <v>1.5657967865338007</v>
      </c>
    </row>
    <row r="98" spans="1:6" x14ac:dyDescent="0.3">
      <c r="A98">
        <v>11</v>
      </c>
      <c r="B98">
        <v>30</v>
      </c>
      <c r="C98">
        <v>7</v>
      </c>
      <c r="D98" t="s">
        <v>4</v>
      </c>
      <c r="E98">
        <f t="shared" si="1"/>
        <v>2.5844155844155843</v>
      </c>
    </row>
    <row r="99" spans="1:6" x14ac:dyDescent="0.3">
      <c r="A99">
        <v>49</v>
      </c>
      <c r="B99">
        <v>60</v>
      </c>
      <c r="C99">
        <v>89</v>
      </c>
      <c r="D99" t="s">
        <v>5</v>
      </c>
      <c r="E99">
        <f t="shared" si="1"/>
        <v>1.2132538408621876</v>
      </c>
    </row>
    <row r="100" spans="1:6" x14ac:dyDescent="0.3">
      <c r="A100">
        <v>67</v>
      </c>
      <c r="B100">
        <v>75</v>
      </c>
      <c r="C100">
        <v>119</v>
      </c>
      <c r="D100" t="s">
        <v>5</v>
      </c>
      <c r="E100">
        <f t="shared" si="1"/>
        <v>1.110999623730089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1D51C-A81E-41F6-968E-2F11D4FCA3BC}">
  <dimension ref="A1:I100"/>
  <sheetViews>
    <sheetView zoomScale="101" workbookViewId="0">
      <selection activeCell="I3" sqref="I3"/>
    </sheetView>
  </sheetViews>
  <sheetFormatPr defaultRowHeight="14.4" x14ac:dyDescent="0.3"/>
  <cols>
    <col min="1" max="1" width="12.77734375" customWidth="1"/>
    <col min="2" max="2" width="14.6640625" customWidth="1"/>
    <col min="4" max="4" width="12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</row>
    <row r="2" spans="1:9" x14ac:dyDescent="0.3">
      <c r="A2">
        <v>49</v>
      </c>
      <c r="B2">
        <v>60</v>
      </c>
      <c r="C2">
        <v>89</v>
      </c>
      <c r="D2" s="1" t="s">
        <v>5</v>
      </c>
      <c r="E2" s="1">
        <f>((B2/A2)-1/C2)</f>
        <v>1.2132538408621876</v>
      </c>
    </row>
    <row r="3" spans="1:9" x14ac:dyDescent="0.3">
      <c r="A3">
        <v>78</v>
      </c>
      <c r="B3">
        <v>80</v>
      </c>
      <c r="C3">
        <v>162</v>
      </c>
      <c r="D3" s="1" t="s">
        <v>4</v>
      </c>
      <c r="E3" s="1">
        <f t="shared" ref="E3:E66" si="0">((B3/A3)-1/C3)</f>
        <v>1.0194681861348527</v>
      </c>
      <c r="F3">
        <f>GEOMEAN(E2:E3)</f>
        <v>1.1121482331348269</v>
      </c>
      <c r="H3" s="3" t="s">
        <v>8</v>
      </c>
      <c r="I3" s="4">
        <f>AVERAGE(F1:F100)</f>
        <v>1.5484552699062959</v>
      </c>
    </row>
    <row r="4" spans="1:9" x14ac:dyDescent="0.3">
      <c r="A4">
        <v>40</v>
      </c>
      <c r="B4">
        <v>55</v>
      </c>
      <c r="C4">
        <v>62</v>
      </c>
      <c r="D4" t="s">
        <v>5</v>
      </c>
      <c r="E4">
        <f t="shared" si="0"/>
        <v>1.3588709677419355</v>
      </c>
    </row>
    <row r="5" spans="1:9" x14ac:dyDescent="0.3">
      <c r="A5">
        <v>11</v>
      </c>
      <c r="B5">
        <v>30</v>
      </c>
      <c r="C5">
        <v>7</v>
      </c>
      <c r="D5" s="1" t="s">
        <v>5</v>
      </c>
      <c r="E5" s="1">
        <f t="shared" si="0"/>
        <v>2.5844155844155843</v>
      </c>
    </row>
    <row r="6" spans="1:9" x14ac:dyDescent="0.3">
      <c r="A6">
        <v>27</v>
      </c>
      <c r="B6">
        <v>50</v>
      </c>
      <c r="C6">
        <v>21</v>
      </c>
      <c r="D6" s="1" t="s">
        <v>4</v>
      </c>
      <c r="E6" s="1">
        <f t="shared" si="0"/>
        <v>1.8042328042328042</v>
      </c>
      <c r="F6">
        <f>GEOMEAN(E5:E6)</f>
        <v>2.1593719867528827</v>
      </c>
    </row>
    <row r="7" spans="1:9" x14ac:dyDescent="0.3">
      <c r="A7">
        <v>67</v>
      </c>
      <c r="B7">
        <v>75</v>
      </c>
      <c r="C7">
        <v>119</v>
      </c>
      <c r="D7" t="s">
        <v>5</v>
      </c>
      <c r="E7">
        <f t="shared" si="0"/>
        <v>1.110999623730089</v>
      </c>
    </row>
    <row r="8" spans="1:9" x14ac:dyDescent="0.3">
      <c r="A8">
        <v>15</v>
      </c>
      <c r="B8">
        <v>35</v>
      </c>
      <c r="C8">
        <v>13</v>
      </c>
      <c r="D8" s="1" t="s">
        <v>5</v>
      </c>
      <c r="E8" s="1">
        <f t="shared" si="0"/>
        <v>2.2564102564102564</v>
      </c>
    </row>
    <row r="9" spans="1:9" x14ac:dyDescent="0.3">
      <c r="A9">
        <v>27</v>
      </c>
      <c r="B9">
        <v>50</v>
      </c>
      <c r="C9">
        <v>21</v>
      </c>
      <c r="D9" s="1" t="s">
        <v>4</v>
      </c>
      <c r="E9" s="1">
        <f t="shared" si="0"/>
        <v>1.8042328042328042</v>
      </c>
      <c r="F9">
        <f>GEOMEAN(E8:E9)</f>
        <v>2.0176940809802506</v>
      </c>
    </row>
    <row r="10" spans="1:9" x14ac:dyDescent="0.3">
      <c r="A10">
        <v>15</v>
      </c>
      <c r="B10">
        <v>35</v>
      </c>
      <c r="C10">
        <v>13</v>
      </c>
      <c r="D10" t="s">
        <v>5</v>
      </c>
      <c r="E10">
        <f t="shared" si="0"/>
        <v>2.2564102564102564</v>
      </c>
    </row>
    <row r="11" spans="1:9" x14ac:dyDescent="0.3">
      <c r="A11">
        <v>40</v>
      </c>
      <c r="B11">
        <v>55</v>
      </c>
      <c r="C11">
        <v>62</v>
      </c>
      <c r="D11" t="s">
        <v>5</v>
      </c>
      <c r="E11">
        <f t="shared" si="0"/>
        <v>1.3588709677419355</v>
      </c>
    </row>
    <row r="12" spans="1:9" x14ac:dyDescent="0.3">
      <c r="A12">
        <v>49</v>
      </c>
      <c r="B12">
        <v>60</v>
      </c>
      <c r="C12">
        <v>89</v>
      </c>
      <c r="D12" t="s">
        <v>5</v>
      </c>
      <c r="E12">
        <f t="shared" si="0"/>
        <v>1.2132538408621876</v>
      </c>
    </row>
    <row r="13" spans="1:9" x14ac:dyDescent="0.3">
      <c r="A13">
        <v>11</v>
      </c>
      <c r="B13">
        <v>30</v>
      </c>
      <c r="C13">
        <v>7</v>
      </c>
      <c r="D13" t="s">
        <v>5</v>
      </c>
      <c r="E13">
        <f t="shared" si="0"/>
        <v>2.5844155844155843</v>
      </c>
    </row>
    <row r="14" spans="1:9" x14ac:dyDescent="0.3">
      <c r="A14">
        <v>67</v>
      </c>
      <c r="B14">
        <v>75</v>
      </c>
      <c r="C14">
        <v>119</v>
      </c>
      <c r="D14" s="1" t="s">
        <v>5</v>
      </c>
      <c r="E14" s="1">
        <f t="shared" si="0"/>
        <v>1.110999623730089</v>
      </c>
    </row>
    <row r="15" spans="1:9" x14ac:dyDescent="0.3">
      <c r="A15">
        <v>78</v>
      </c>
      <c r="B15">
        <v>80</v>
      </c>
      <c r="C15">
        <v>162</v>
      </c>
      <c r="D15" s="1" t="s">
        <v>4</v>
      </c>
      <c r="E15" s="1">
        <f t="shared" si="0"/>
        <v>1.0194681861348527</v>
      </c>
      <c r="F15">
        <f>GEOMEAN(E14:E15)</f>
        <v>1.0642503329577198</v>
      </c>
    </row>
    <row r="16" spans="1:9" x14ac:dyDescent="0.3">
      <c r="A16">
        <v>78</v>
      </c>
      <c r="B16">
        <v>80</v>
      </c>
      <c r="C16">
        <v>162</v>
      </c>
      <c r="D16" t="s">
        <v>4</v>
      </c>
      <c r="E16">
        <f t="shared" si="0"/>
        <v>1.0194681861348527</v>
      </c>
    </row>
    <row r="17" spans="1:6" x14ac:dyDescent="0.3">
      <c r="A17">
        <v>11</v>
      </c>
      <c r="B17">
        <v>30</v>
      </c>
      <c r="C17">
        <v>7</v>
      </c>
      <c r="D17" t="s">
        <v>4</v>
      </c>
      <c r="E17">
        <f t="shared" si="0"/>
        <v>2.5844155844155843</v>
      </c>
    </row>
    <row r="18" spans="1:6" x14ac:dyDescent="0.3">
      <c r="A18">
        <v>15</v>
      </c>
      <c r="B18">
        <v>35</v>
      </c>
      <c r="C18">
        <v>13</v>
      </c>
      <c r="D18" t="s">
        <v>5</v>
      </c>
      <c r="E18">
        <f t="shared" si="0"/>
        <v>2.2564102564102564</v>
      </c>
    </row>
    <row r="19" spans="1:6" x14ac:dyDescent="0.3">
      <c r="A19">
        <v>27</v>
      </c>
      <c r="B19">
        <v>50</v>
      </c>
      <c r="C19">
        <v>21</v>
      </c>
      <c r="D19" t="s">
        <v>5</v>
      </c>
      <c r="E19">
        <f t="shared" si="0"/>
        <v>1.8042328042328042</v>
      </c>
    </row>
    <row r="20" spans="1:6" x14ac:dyDescent="0.3">
      <c r="A20">
        <v>49</v>
      </c>
      <c r="B20">
        <v>60</v>
      </c>
      <c r="C20">
        <v>89</v>
      </c>
      <c r="D20" t="s">
        <v>5</v>
      </c>
      <c r="E20">
        <f t="shared" si="0"/>
        <v>1.2132538408621876</v>
      </c>
    </row>
    <row r="21" spans="1:6" x14ac:dyDescent="0.3">
      <c r="A21">
        <v>40</v>
      </c>
      <c r="B21">
        <v>55</v>
      </c>
      <c r="C21">
        <v>62</v>
      </c>
      <c r="D21" t="s">
        <v>5</v>
      </c>
      <c r="E21">
        <f t="shared" si="0"/>
        <v>1.3588709677419355</v>
      </c>
    </row>
    <row r="22" spans="1:6" x14ac:dyDescent="0.3">
      <c r="A22">
        <v>67</v>
      </c>
      <c r="B22">
        <v>75</v>
      </c>
      <c r="C22">
        <v>119</v>
      </c>
      <c r="D22" s="1" t="s">
        <v>5</v>
      </c>
      <c r="E22" s="1">
        <f t="shared" si="0"/>
        <v>1.110999623730089</v>
      </c>
    </row>
    <row r="23" spans="1:6" x14ac:dyDescent="0.3">
      <c r="A23">
        <v>49</v>
      </c>
      <c r="B23">
        <v>60</v>
      </c>
      <c r="C23">
        <v>89</v>
      </c>
      <c r="D23" s="1" t="s">
        <v>4</v>
      </c>
      <c r="E23" s="1">
        <f t="shared" si="0"/>
        <v>1.2132538408621876</v>
      </c>
      <c r="F23">
        <f>GEOMEAN(E22:E23)</f>
        <v>1.1610015334559105</v>
      </c>
    </row>
    <row r="24" spans="1:6" x14ac:dyDescent="0.3">
      <c r="A24">
        <v>15</v>
      </c>
      <c r="B24">
        <v>35</v>
      </c>
      <c r="C24">
        <v>13</v>
      </c>
      <c r="D24" t="s">
        <v>4</v>
      </c>
      <c r="E24">
        <f t="shared" si="0"/>
        <v>2.2564102564102564</v>
      </c>
    </row>
    <row r="25" spans="1:6" x14ac:dyDescent="0.3">
      <c r="A25">
        <v>27</v>
      </c>
      <c r="B25">
        <v>50</v>
      </c>
      <c r="C25">
        <v>21</v>
      </c>
      <c r="D25" t="s">
        <v>5</v>
      </c>
      <c r="E25">
        <f t="shared" si="0"/>
        <v>1.8042328042328042</v>
      </c>
    </row>
    <row r="26" spans="1:6" x14ac:dyDescent="0.3">
      <c r="A26">
        <v>78</v>
      </c>
      <c r="B26">
        <v>80</v>
      </c>
      <c r="C26">
        <v>162</v>
      </c>
      <c r="D26" s="1" t="s">
        <v>5</v>
      </c>
      <c r="E26" s="1">
        <f t="shared" si="0"/>
        <v>1.0194681861348527</v>
      </c>
    </row>
    <row r="27" spans="1:6" x14ac:dyDescent="0.3">
      <c r="A27">
        <v>40</v>
      </c>
      <c r="B27">
        <v>55</v>
      </c>
      <c r="C27">
        <v>62</v>
      </c>
      <c r="D27" s="1" t="s">
        <v>4</v>
      </c>
      <c r="E27" s="1">
        <f t="shared" si="0"/>
        <v>1.3588709677419355</v>
      </c>
      <c r="F27">
        <f>GEOMEAN(E26:E27)</f>
        <v>1.1769986069130172</v>
      </c>
    </row>
    <row r="28" spans="1:6" x14ac:dyDescent="0.3">
      <c r="A28">
        <v>11</v>
      </c>
      <c r="B28">
        <v>30</v>
      </c>
      <c r="C28">
        <v>7</v>
      </c>
      <c r="D28" s="1" t="s">
        <v>5</v>
      </c>
      <c r="E28" s="1">
        <f t="shared" si="0"/>
        <v>2.5844155844155843</v>
      </c>
    </row>
    <row r="29" spans="1:6" x14ac:dyDescent="0.3">
      <c r="A29">
        <v>67</v>
      </c>
      <c r="B29">
        <v>75</v>
      </c>
      <c r="C29">
        <v>119</v>
      </c>
      <c r="D29" s="1" t="s">
        <v>4</v>
      </c>
      <c r="E29" s="1">
        <f t="shared" si="0"/>
        <v>1.110999623730089</v>
      </c>
      <c r="F29">
        <f>GEOMEAN(E28:E29)</f>
        <v>1.6944865717520137</v>
      </c>
    </row>
    <row r="30" spans="1:6" x14ac:dyDescent="0.3">
      <c r="A30">
        <v>49</v>
      </c>
      <c r="B30">
        <v>60</v>
      </c>
      <c r="C30">
        <v>89</v>
      </c>
      <c r="D30" s="1" t="s">
        <v>5</v>
      </c>
      <c r="E30" s="1">
        <f t="shared" si="0"/>
        <v>1.2132538408621876</v>
      </c>
    </row>
    <row r="31" spans="1:6" x14ac:dyDescent="0.3">
      <c r="A31">
        <v>27</v>
      </c>
      <c r="B31">
        <v>50</v>
      </c>
      <c r="C31">
        <v>21</v>
      </c>
      <c r="D31" s="1" t="s">
        <v>4</v>
      </c>
      <c r="E31" s="1">
        <f t="shared" si="0"/>
        <v>1.8042328042328042</v>
      </c>
      <c r="F31">
        <f>GEOMEAN(E30:E31)</f>
        <v>1.479524376123964</v>
      </c>
    </row>
    <row r="32" spans="1:6" x14ac:dyDescent="0.3">
      <c r="A32">
        <v>40</v>
      </c>
      <c r="B32">
        <v>55</v>
      </c>
      <c r="C32">
        <v>62</v>
      </c>
      <c r="D32" s="1" t="s">
        <v>5</v>
      </c>
      <c r="E32" s="1">
        <f t="shared" si="0"/>
        <v>1.3588709677419355</v>
      </c>
    </row>
    <row r="33" spans="1:6" x14ac:dyDescent="0.3">
      <c r="A33">
        <v>15</v>
      </c>
      <c r="B33">
        <v>35</v>
      </c>
      <c r="C33">
        <v>13</v>
      </c>
      <c r="D33" s="1" t="s">
        <v>4</v>
      </c>
      <c r="E33" s="1">
        <f t="shared" si="0"/>
        <v>2.2564102564102564</v>
      </c>
      <c r="F33">
        <f>GEOMEAN(E32:E33)</f>
        <v>1.7510483684784479</v>
      </c>
    </row>
    <row r="34" spans="1:6" x14ac:dyDescent="0.3">
      <c r="A34">
        <v>11</v>
      </c>
      <c r="B34">
        <v>30</v>
      </c>
      <c r="C34">
        <v>7</v>
      </c>
      <c r="D34" t="s">
        <v>5</v>
      </c>
      <c r="E34">
        <f t="shared" si="0"/>
        <v>2.5844155844155843</v>
      </c>
    </row>
    <row r="35" spans="1:6" x14ac:dyDescent="0.3">
      <c r="A35">
        <v>78</v>
      </c>
      <c r="B35">
        <v>80</v>
      </c>
      <c r="C35">
        <v>162</v>
      </c>
      <c r="D35" t="s">
        <v>5</v>
      </c>
      <c r="E35">
        <f t="shared" si="0"/>
        <v>1.0194681861348527</v>
      </c>
    </row>
    <row r="36" spans="1:6" x14ac:dyDescent="0.3">
      <c r="A36">
        <v>67</v>
      </c>
      <c r="B36">
        <v>75</v>
      </c>
      <c r="C36">
        <v>119</v>
      </c>
      <c r="D36" s="1" t="s">
        <v>5</v>
      </c>
      <c r="E36" s="1">
        <f t="shared" si="0"/>
        <v>1.110999623730089</v>
      </c>
    </row>
    <row r="37" spans="1:6" x14ac:dyDescent="0.3">
      <c r="A37">
        <v>67</v>
      </c>
      <c r="B37">
        <v>75</v>
      </c>
      <c r="C37">
        <v>119</v>
      </c>
      <c r="D37" s="1" t="s">
        <v>4</v>
      </c>
      <c r="E37" s="1">
        <f t="shared" si="0"/>
        <v>1.110999623730089</v>
      </c>
      <c r="F37">
        <f>GEOMEAN(E36:E37)</f>
        <v>1.110999623730089</v>
      </c>
    </row>
    <row r="38" spans="1:6" x14ac:dyDescent="0.3">
      <c r="A38">
        <v>40</v>
      </c>
      <c r="B38">
        <v>55</v>
      </c>
      <c r="C38">
        <v>62</v>
      </c>
      <c r="D38" t="s">
        <v>5</v>
      </c>
      <c r="E38">
        <f t="shared" si="0"/>
        <v>1.3588709677419355</v>
      </c>
    </row>
    <row r="39" spans="1:6" x14ac:dyDescent="0.3">
      <c r="A39">
        <v>78</v>
      </c>
      <c r="B39">
        <v>80</v>
      </c>
      <c r="C39">
        <v>162</v>
      </c>
      <c r="D39" t="s">
        <v>5</v>
      </c>
      <c r="E39">
        <f t="shared" si="0"/>
        <v>1.0194681861348527</v>
      </c>
    </row>
    <row r="40" spans="1:6" x14ac:dyDescent="0.3">
      <c r="A40">
        <v>11</v>
      </c>
      <c r="B40">
        <v>30</v>
      </c>
      <c r="C40">
        <v>7</v>
      </c>
      <c r="D40" t="s">
        <v>5</v>
      </c>
      <c r="E40">
        <f t="shared" si="0"/>
        <v>2.5844155844155843</v>
      </c>
    </row>
    <row r="41" spans="1:6" x14ac:dyDescent="0.3">
      <c r="A41">
        <v>27</v>
      </c>
      <c r="B41">
        <v>50</v>
      </c>
      <c r="C41">
        <v>21</v>
      </c>
      <c r="D41" t="s">
        <v>5</v>
      </c>
      <c r="E41">
        <f t="shared" si="0"/>
        <v>1.8042328042328042</v>
      </c>
    </row>
    <row r="42" spans="1:6" x14ac:dyDescent="0.3">
      <c r="A42">
        <v>49</v>
      </c>
      <c r="B42">
        <v>60</v>
      </c>
      <c r="C42">
        <v>89</v>
      </c>
      <c r="D42" s="1" t="s">
        <v>5</v>
      </c>
      <c r="E42" s="1">
        <f t="shared" si="0"/>
        <v>1.2132538408621876</v>
      </c>
    </row>
    <row r="43" spans="1:6" x14ac:dyDescent="0.3">
      <c r="A43">
        <v>15</v>
      </c>
      <c r="B43">
        <v>35</v>
      </c>
      <c r="C43">
        <v>13</v>
      </c>
      <c r="D43" s="1" t="s">
        <v>4</v>
      </c>
      <c r="E43" s="1">
        <f t="shared" si="0"/>
        <v>2.2564102564102564</v>
      </c>
      <c r="F43">
        <f>GEOMEAN(E42:E43)</f>
        <v>1.6545689499536056</v>
      </c>
    </row>
    <row r="44" spans="1:6" x14ac:dyDescent="0.3">
      <c r="A44">
        <v>78</v>
      </c>
      <c r="B44">
        <v>80</v>
      </c>
      <c r="C44">
        <v>162</v>
      </c>
      <c r="D44" t="s">
        <v>4</v>
      </c>
      <c r="E44">
        <f t="shared" si="0"/>
        <v>1.0194681861348527</v>
      </c>
    </row>
    <row r="45" spans="1:6" x14ac:dyDescent="0.3">
      <c r="A45">
        <v>15</v>
      </c>
      <c r="B45">
        <v>35</v>
      </c>
      <c r="C45">
        <v>13</v>
      </c>
      <c r="D45" t="s">
        <v>4</v>
      </c>
      <c r="E45">
        <f t="shared" si="0"/>
        <v>2.2564102564102564</v>
      </c>
    </row>
    <row r="46" spans="1:6" x14ac:dyDescent="0.3">
      <c r="A46">
        <v>67</v>
      </c>
      <c r="B46">
        <v>75</v>
      </c>
      <c r="C46">
        <v>119</v>
      </c>
      <c r="D46" t="s">
        <v>5</v>
      </c>
      <c r="E46">
        <f t="shared" si="0"/>
        <v>1.110999623730089</v>
      </c>
    </row>
    <row r="47" spans="1:6" x14ac:dyDescent="0.3">
      <c r="A47">
        <v>40</v>
      </c>
      <c r="B47">
        <v>55</v>
      </c>
      <c r="C47">
        <v>62</v>
      </c>
      <c r="D47" s="1" t="s">
        <v>5</v>
      </c>
      <c r="E47" s="1">
        <f t="shared" si="0"/>
        <v>1.3588709677419355</v>
      </c>
    </row>
    <row r="48" spans="1:6" x14ac:dyDescent="0.3">
      <c r="A48">
        <v>27</v>
      </c>
      <c r="B48">
        <v>50</v>
      </c>
      <c r="C48">
        <v>21</v>
      </c>
      <c r="D48" s="1" t="s">
        <v>4</v>
      </c>
      <c r="E48" s="1">
        <f t="shared" si="0"/>
        <v>1.8042328042328042</v>
      </c>
      <c r="F48">
        <f>GEOMEAN(E47:E48)</f>
        <v>1.5657967865338007</v>
      </c>
    </row>
    <row r="49" spans="1:6" x14ac:dyDescent="0.3">
      <c r="A49">
        <v>49</v>
      </c>
      <c r="B49">
        <v>60</v>
      </c>
      <c r="C49">
        <v>89</v>
      </c>
      <c r="D49" t="s">
        <v>5</v>
      </c>
      <c r="E49">
        <f t="shared" si="0"/>
        <v>1.2132538408621876</v>
      </c>
    </row>
    <row r="50" spans="1:6" x14ac:dyDescent="0.3">
      <c r="A50">
        <v>11</v>
      </c>
      <c r="B50">
        <v>30</v>
      </c>
      <c r="C50">
        <v>7</v>
      </c>
      <c r="D50" t="s">
        <v>5</v>
      </c>
      <c r="E50">
        <f t="shared" si="0"/>
        <v>2.5844155844155843</v>
      </c>
    </row>
    <row r="51" spans="1:6" x14ac:dyDescent="0.3">
      <c r="A51">
        <v>11</v>
      </c>
      <c r="B51">
        <v>30</v>
      </c>
      <c r="C51">
        <v>7</v>
      </c>
      <c r="D51" s="1" t="s">
        <v>5</v>
      </c>
      <c r="E51" s="1">
        <f t="shared" si="0"/>
        <v>2.5844155844155843</v>
      </c>
    </row>
    <row r="52" spans="1:6" x14ac:dyDescent="0.3">
      <c r="A52">
        <v>27</v>
      </c>
      <c r="B52">
        <v>50</v>
      </c>
      <c r="C52">
        <v>21</v>
      </c>
      <c r="D52" s="1" t="s">
        <v>4</v>
      </c>
      <c r="E52" s="1">
        <f t="shared" si="0"/>
        <v>1.8042328042328042</v>
      </c>
      <c r="F52">
        <f>GEOMEAN(E51:E52)</f>
        <v>2.1593719867528827</v>
      </c>
    </row>
    <row r="53" spans="1:6" x14ac:dyDescent="0.3">
      <c r="A53">
        <v>78</v>
      </c>
      <c r="B53">
        <v>80</v>
      </c>
      <c r="C53">
        <v>162</v>
      </c>
      <c r="D53" s="1" t="s">
        <v>5</v>
      </c>
      <c r="E53" s="1">
        <f t="shared" si="0"/>
        <v>1.0194681861348527</v>
      </c>
    </row>
    <row r="54" spans="1:6" x14ac:dyDescent="0.3">
      <c r="A54">
        <v>15</v>
      </c>
      <c r="B54">
        <v>35</v>
      </c>
      <c r="C54">
        <v>13</v>
      </c>
      <c r="D54" s="1" t="s">
        <v>4</v>
      </c>
      <c r="E54" s="1">
        <f t="shared" si="0"/>
        <v>2.2564102564102564</v>
      </c>
      <c r="F54">
        <f>GEOMEAN(E53:E54)</f>
        <v>1.5166866753811223</v>
      </c>
    </row>
    <row r="55" spans="1:6" x14ac:dyDescent="0.3">
      <c r="A55">
        <v>40</v>
      </c>
      <c r="B55">
        <v>55</v>
      </c>
      <c r="C55">
        <v>62</v>
      </c>
      <c r="D55" t="s">
        <v>4</v>
      </c>
      <c r="E55">
        <f t="shared" si="0"/>
        <v>1.3588709677419355</v>
      </c>
    </row>
    <row r="56" spans="1:6" x14ac:dyDescent="0.3">
      <c r="A56">
        <v>67</v>
      </c>
      <c r="B56">
        <v>75</v>
      </c>
      <c r="C56">
        <v>119</v>
      </c>
      <c r="D56" t="s">
        <v>5</v>
      </c>
      <c r="E56">
        <f t="shared" si="0"/>
        <v>1.110999623730089</v>
      </c>
    </row>
    <row r="57" spans="1:6" x14ac:dyDescent="0.3">
      <c r="A57">
        <v>49</v>
      </c>
      <c r="B57">
        <v>60</v>
      </c>
      <c r="C57">
        <v>89</v>
      </c>
      <c r="D57" s="1" t="s">
        <v>5</v>
      </c>
      <c r="E57" s="1">
        <f t="shared" si="0"/>
        <v>1.2132538408621876</v>
      </c>
    </row>
    <row r="58" spans="1:6" x14ac:dyDescent="0.3">
      <c r="A58">
        <v>27</v>
      </c>
      <c r="B58">
        <v>50</v>
      </c>
      <c r="C58">
        <v>21</v>
      </c>
      <c r="D58" s="1" t="s">
        <v>4</v>
      </c>
      <c r="E58" s="1">
        <f t="shared" si="0"/>
        <v>1.8042328042328042</v>
      </c>
      <c r="F58">
        <f>GEOMEAN(E57:E58)</f>
        <v>1.479524376123964</v>
      </c>
    </row>
    <row r="59" spans="1:6" x14ac:dyDescent="0.3">
      <c r="A59">
        <v>78</v>
      </c>
      <c r="B59">
        <v>80</v>
      </c>
      <c r="C59">
        <v>162</v>
      </c>
      <c r="D59" t="s">
        <v>4</v>
      </c>
      <c r="E59">
        <f t="shared" si="0"/>
        <v>1.0194681861348527</v>
      </c>
    </row>
    <row r="60" spans="1:6" x14ac:dyDescent="0.3">
      <c r="A60">
        <v>49</v>
      </c>
      <c r="B60">
        <v>60</v>
      </c>
      <c r="C60">
        <v>89</v>
      </c>
      <c r="D60" t="s">
        <v>4</v>
      </c>
      <c r="E60">
        <f t="shared" si="0"/>
        <v>1.2132538408621876</v>
      </c>
    </row>
    <row r="61" spans="1:6" x14ac:dyDescent="0.3">
      <c r="A61">
        <v>11</v>
      </c>
      <c r="B61">
        <v>30</v>
      </c>
      <c r="C61">
        <v>7</v>
      </c>
      <c r="D61" t="s">
        <v>5</v>
      </c>
      <c r="E61">
        <f t="shared" si="0"/>
        <v>2.5844155844155843</v>
      </c>
    </row>
    <row r="62" spans="1:6" x14ac:dyDescent="0.3">
      <c r="A62">
        <v>40</v>
      </c>
      <c r="B62">
        <v>55</v>
      </c>
      <c r="C62">
        <v>62</v>
      </c>
      <c r="D62" s="1" t="s">
        <v>5</v>
      </c>
      <c r="E62" s="1">
        <f t="shared" si="0"/>
        <v>1.3588709677419355</v>
      </c>
    </row>
    <row r="63" spans="1:6" x14ac:dyDescent="0.3">
      <c r="A63">
        <v>15</v>
      </c>
      <c r="B63">
        <v>35</v>
      </c>
      <c r="C63">
        <v>13</v>
      </c>
      <c r="D63" s="1" t="s">
        <v>4</v>
      </c>
      <c r="E63" s="1">
        <f t="shared" si="0"/>
        <v>2.2564102564102564</v>
      </c>
      <c r="F63">
        <f>GEOMEAN(E62:E63)</f>
        <v>1.7510483684784479</v>
      </c>
    </row>
    <row r="64" spans="1:6" x14ac:dyDescent="0.3">
      <c r="A64">
        <v>67</v>
      </c>
      <c r="B64">
        <v>75</v>
      </c>
      <c r="C64">
        <v>119</v>
      </c>
      <c r="D64" s="1" t="s">
        <v>5</v>
      </c>
      <c r="E64" s="1">
        <f t="shared" si="0"/>
        <v>1.110999623730089</v>
      </c>
    </row>
    <row r="65" spans="1:6" x14ac:dyDescent="0.3">
      <c r="A65">
        <v>11</v>
      </c>
      <c r="B65">
        <v>30</v>
      </c>
      <c r="C65">
        <v>7</v>
      </c>
      <c r="D65" s="1" t="s">
        <v>4</v>
      </c>
      <c r="E65" s="1">
        <f t="shared" si="0"/>
        <v>2.5844155844155843</v>
      </c>
      <c r="F65">
        <f>GEOMEAN(E64:E65)</f>
        <v>1.6944865717520137</v>
      </c>
    </row>
    <row r="66" spans="1:6" x14ac:dyDescent="0.3">
      <c r="A66">
        <v>67</v>
      </c>
      <c r="B66">
        <v>75</v>
      </c>
      <c r="C66">
        <v>119</v>
      </c>
      <c r="D66" s="1" t="s">
        <v>5</v>
      </c>
      <c r="E66" s="1">
        <f t="shared" si="0"/>
        <v>1.110999623730089</v>
      </c>
    </row>
    <row r="67" spans="1:6" x14ac:dyDescent="0.3">
      <c r="A67">
        <v>49</v>
      </c>
      <c r="B67">
        <v>60</v>
      </c>
      <c r="C67">
        <v>89</v>
      </c>
      <c r="D67" s="1" t="s">
        <v>4</v>
      </c>
      <c r="E67" s="1">
        <f t="shared" ref="E67:E100" si="1">((B67/A67)-1/C67)</f>
        <v>1.2132538408621876</v>
      </c>
      <c r="F67">
        <f>GEOMEAN(E66:E67)</f>
        <v>1.1610015334559105</v>
      </c>
    </row>
    <row r="68" spans="1:6" x14ac:dyDescent="0.3">
      <c r="A68">
        <v>27</v>
      </c>
      <c r="B68">
        <v>50</v>
      </c>
      <c r="C68">
        <v>21</v>
      </c>
      <c r="D68" s="1" t="s">
        <v>5</v>
      </c>
      <c r="E68" s="1">
        <f t="shared" si="1"/>
        <v>1.8042328042328042</v>
      </c>
    </row>
    <row r="69" spans="1:6" x14ac:dyDescent="0.3">
      <c r="A69">
        <v>15</v>
      </c>
      <c r="B69">
        <v>35</v>
      </c>
      <c r="C69">
        <v>13</v>
      </c>
      <c r="D69" s="1" t="s">
        <v>4</v>
      </c>
      <c r="E69" s="1">
        <f t="shared" si="1"/>
        <v>2.2564102564102564</v>
      </c>
      <c r="F69">
        <f>GEOMEAN(E68:E69)</f>
        <v>2.0176940809802506</v>
      </c>
    </row>
    <row r="70" spans="1:6" x14ac:dyDescent="0.3">
      <c r="A70">
        <v>40</v>
      </c>
      <c r="B70">
        <v>55</v>
      </c>
      <c r="C70">
        <v>62</v>
      </c>
      <c r="D70" s="1" t="s">
        <v>5</v>
      </c>
      <c r="E70" s="1">
        <f t="shared" si="1"/>
        <v>1.3588709677419355</v>
      </c>
    </row>
    <row r="71" spans="1:6" x14ac:dyDescent="0.3">
      <c r="A71">
        <v>78</v>
      </c>
      <c r="B71">
        <v>80</v>
      </c>
      <c r="C71">
        <v>162</v>
      </c>
      <c r="D71" s="1" t="s">
        <v>4</v>
      </c>
      <c r="E71" s="1">
        <f t="shared" si="1"/>
        <v>1.0194681861348527</v>
      </c>
      <c r="F71">
        <f>GEOMEAN(E70:E71)</f>
        <v>1.1769986069130172</v>
      </c>
    </row>
    <row r="72" spans="1:6" x14ac:dyDescent="0.3">
      <c r="A72">
        <v>49</v>
      </c>
      <c r="B72">
        <v>60</v>
      </c>
      <c r="C72">
        <v>89</v>
      </c>
      <c r="D72" s="1" t="s">
        <v>5</v>
      </c>
      <c r="E72" s="1">
        <f t="shared" si="1"/>
        <v>1.2132538408621876</v>
      </c>
    </row>
    <row r="73" spans="1:6" x14ac:dyDescent="0.3">
      <c r="A73">
        <v>78</v>
      </c>
      <c r="B73">
        <v>80</v>
      </c>
      <c r="C73">
        <v>162</v>
      </c>
      <c r="D73" s="1" t="s">
        <v>4</v>
      </c>
      <c r="E73" s="1">
        <f t="shared" si="1"/>
        <v>1.0194681861348527</v>
      </c>
      <c r="F73">
        <f>GEOMEAN(E72:E73)</f>
        <v>1.1121482331348269</v>
      </c>
    </row>
    <row r="74" spans="1:6" x14ac:dyDescent="0.3">
      <c r="A74">
        <v>27</v>
      </c>
      <c r="B74">
        <v>50</v>
      </c>
      <c r="C74">
        <v>21</v>
      </c>
      <c r="D74" s="1" t="s">
        <v>5</v>
      </c>
      <c r="E74" s="1">
        <f t="shared" si="1"/>
        <v>1.8042328042328042</v>
      </c>
    </row>
    <row r="75" spans="1:6" x14ac:dyDescent="0.3">
      <c r="A75">
        <v>11</v>
      </c>
      <c r="B75">
        <v>30</v>
      </c>
      <c r="C75">
        <v>7</v>
      </c>
      <c r="D75" s="1" t="s">
        <v>4</v>
      </c>
      <c r="E75" s="1">
        <f t="shared" si="1"/>
        <v>2.5844155844155843</v>
      </c>
      <c r="F75">
        <f>GEOMEAN(E74:E75)</f>
        <v>2.1593719867528827</v>
      </c>
    </row>
    <row r="76" spans="1:6" x14ac:dyDescent="0.3">
      <c r="A76">
        <v>40</v>
      </c>
      <c r="B76">
        <v>55</v>
      </c>
      <c r="C76">
        <v>62</v>
      </c>
      <c r="D76" s="1" t="s">
        <v>5</v>
      </c>
      <c r="E76" s="1">
        <f t="shared" si="1"/>
        <v>1.3588709677419355</v>
      </c>
    </row>
    <row r="77" spans="1:6" x14ac:dyDescent="0.3">
      <c r="A77">
        <v>15</v>
      </c>
      <c r="B77">
        <v>35</v>
      </c>
      <c r="C77">
        <v>13</v>
      </c>
      <c r="D77" s="1" t="s">
        <v>4</v>
      </c>
      <c r="E77" s="1">
        <f t="shared" si="1"/>
        <v>2.2564102564102564</v>
      </c>
      <c r="F77">
        <f>GEOMEAN(E76:E77)</f>
        <v>1.7510483684784479</v>
      </c>
    </row>
    <row r="78" spans="1:6" x14ac:dyDescent="0.3">
      <c r="A78">
        <v>67</v>
      </c>
      <c r="B78">
        <v>75</v>
      </c>
      <c r="C78">
        <v>119</v>
      </c>
      <c r="D78" s="1" t="s">
        <v>5</v>
      </c>
      <c r="E78" s="1">
        <f t="shared" si="1"/>
        <v>1.110999623730089</v>
      </c>
    </row>
    <row r="79" spans="1:6" x14ac:dyDescent="0.3">
      <c r="A79">
        <v>27</v>
      </c>
      <c r="B79">
        <v>50</v>
      </c>
      <c r="C79">
        <v>21</v>
      </c>
      <c r="D79" s="1" t="s">
        <v>4</v>
      </c>
      <c r="E79" s="1">
        <f t="shared" si="1"/>
        <v>1.8042328042328042</v>
      </c>
      <c r="F79">
        <f>GEOMEAN(E78:E79)</f>
        <v>1.4158043532296858</v>
      </c>
    </row>
    <row r="80" spans="1:6" x14ac:dyDescent="0.3">
      <c r="A80">
        <v>40</v>
      </c>
      <c r="B80">
        <v>55</v>
      </c>
      <c r="C80">
        <v>62</v>
      </c>
      <c r="D80" t="s">
        <v>5</v>
      </c>
      <c r="E80">
        <f t="shared" si="1"/>
        <v>1.3588709677419355</v>
      </c>
    </row>
    <row r="81" spans="1:6" x14ac:dyDescent="0.3">
      <c r="A81">
        <v>67</v>
      </c>
      <c r="B81">
        <v>75</v>
      </c>
      <c r="C81">
        <v>119</v>
      </c>
      <c r="D81" t="s">
        <v>5</v>
      </c>
      <c r="E81">
        <f t="shared" si="1"/>
        <v>1.110999623730089</v>
      </c>
    </row>
    <row r="82" spans="1:6" x14ac:dyDescent="0.3">
      <c r="A82">
        <v>11</v>
      </c>
      <c r="B82">
        <v>30</v>
      </c>
      <c r="C82">
        <v>7</v>
      </c>
      <c r="D82" t="s">
        <v>5</v>
      </c>
      <c r="E82">
        <f t="shared" si="1"/>
        <v>2.5844155844155843</v>
      </c>
    </row>
    <row r="83" spans="1:6" x14ac:dyDescent="0.3">
      <c r="A83">
        <v>15</v>
      </c>
      <c r="B83">
        <v>35</v>
      </c>
      <c r="C83">
        <v>13</v>
      </c>
      <c r="D83" t="s">
        <v>5</v>
      </c>
      <c r="E83">
        <f t="shared" si="1"/>
        <v>2.2564102564102564</v>
      </c>
    </row>
    <row r="84" spans="1:6" x14ac:dyDescent="0.3">
      <c r="A84">
        <v>78</v>
      </c>
      <c r="B84">
        <v>80</v>
      </c>
      <c r="C84">
        <v>162</v>
      </c>
      <c r="D84" t="s">
        <v>5</v>
      </c>
      <c r="E84">
        <f t="shared" si="1"/>
        <v>1.0194681861348527</v>
      </c>
    </row>
    <row r="85" spans="1:6" x14ac:dyDescent="0.3">
      <c r="A85">
        <v>49</v>
      </c>
      <c r="B85">
        <v>60</v>
      </c>
      <c r="C85">
        <v>89</v>
      </c>
      <c r="D85" t="s">
        <v>5</v>
      </c>
      <c r="E85">
        <f t="shared" si="1"/>
        <v>1.2132538408621876</v>
      </c>
    </row>
    <row r="86" spans="1:6" x14ac:dyDescent="0.3">
      <c r="A86">
        <v>49</v>
      </c>
      <c r="B86">
        <v>60</v>
      </c>
      <c r="C86">
        <v>89</v>
      </c>
      <c r="D86" t="s">
        <v>5</v>
      </c>
      <c r="E86">
        <f t="shared" si="1"/>
        <v>1.2132538408621876</v>
      </c>
    </row>
    <row r="87" spans="1:6" x14ac:dyDescent="0.3">
      <c r="A87">
        <v>11</v>
      </c>
      <c r="B87">
        <v>30</v>
      </c>
      <c r="C87">
        <v>7</v>
      </c>
      <c r="D87" t="s">
        <v>5</v>
      </c>
      <c r="E87">
        <f t="shared" si="1"/>
        <v>2.5844155844155843</v>
      </c>
    </row>
    <row r="88" spans="1:6" x14ac:dyDescent="0.3">
      <c r="A88">
        <v>67</v>
      </c>
      <c r="B88">
        <v>75</v>
      </c>
      <c r="C88">
        <v>119</v>
      </c>
      <c r="D88" s="1" t="s">
        <v>5</v>
      </c>
      <c r="E88" s="1">
        <f t="shared" si="1"/>
        <v>1.110999623730089</v>
      </c>
    </row>
    <row r="89" spans="1:6" x14ac:dyDescent="0.3">
      <c r="A89">
        <v>78</v>
      </c>
      <c r="B89">
        <v>80</v>
      </c>
      <c r="C89">
        <v>162</v>
      </c>
      <c r="D89" s="1" t="s">
        <v>4</v>
      </c>
      <c r="E89" s="1">
        <f t="shared" si="1"/>
        <v>1.0194681861348527</v>
      </c>
      <c r="F89">
        <f>GEOMEAN(E88:E89)</f>
        <v>1.0642503329577198</v>
      </c>
    </row>
    <row r="90" spans="1:6" x14ac:dyDescent="0.3">
      <c r="A90">
        <v>40</v>
      </c>
      <c r="B90">
        <v>55</v>
      </c>
      <c r="C90">
        <v>62</v>
      </c>
      <c r="D90" t="s">
        <v>4</v>
      </c>
      <c r="E90">
        <f t="shared" si="1"/>
        <v>1.3588709677419355</v>
      </c>
    </row>
    <row r="91" spans="1:6" x14ac:dyDescent="0.3">
      <c r="A91">
        <v>15</v>
      </c>
      <c r="B91">
        <v>35</v>
      </c>
      <c r="C91">
        <v>13</v>
      </c>
      <c r="D91" t="s">
        <v>4</v>
      </c>
      <c r="E91">
        <f t="shared" si="1"/>
        <v>2.2564102564102564</v>
      </c>
    </row>
    <row r="92" spans="1:6" x14ac:dyDescent="0.3">
      <c r="A92">
        <v>27</v>
      </c>
      <c r="B92">
        <v>50</v>
      </c>
      <c r="C92">
        <v>21</v>
      </c>
      <c r="D92" s="1" t="s">
        <v>5</v>
      </c>
      <c r="E92" s="1">
        <f t="shared" si="1"/>
        <v>1.8042328042328042</v>
      </c>
    </row>
    <row r="93" spans="1:6" x14ac:dyDescent="0.3">
      <c r="A93">
        <v>78</v>
      </c>
      <c r="B93">
        <v>80</v>
      </c>
      <c r="C93">
        <v>162</v>
      </c>
      <c r="D93" s="1" t="s">
        <v>4</v>
      </c>
      <c r="E93" s="1">
        <f t="shared" si="1"/>
        <v>1.0194681861348527</v>
      </c>
      <c r="F93">
        <f>GEOMEAN(E92:E93)</f>
        <v>1.3562293111034784</v>
      </c>
    </row>
    <row r="94" spans="1:6" x14ac:dyDescent="0.3">
      <c r="A94">
        <v>27</v>
      </c>
      <c r="B94">
        <v>50</v>
      </c>
      <c r="C94">
        <v>21</v>
      </c>
      <c r="D94" s="1" t="s">
        <v>5</v>
      </c>
      <c r="E94" s="1">
        <f t="shared" si="1"/>
        <v>1.8042328042328042</v>
      </c>
    </row>
    <row r="95" spans="1:6" x14ac:dyDescent="0.3">
      <c r="A95">
        <v>40</v>
      </c>
      <c r="B95">
        <v>55</v>
      </c>
      <c r="C95">
        <v>62</v>
      </c>
      <c r="D95" s="1" t="s">
        <v>4</v>
      </c>
      <c r="E95" s="1">
        <f t="shared" si="1"/>
        <v>1.3588709677419355</v>
      </c>
      <c r="F95">
        <f>GEOMEAN(E94:E95)</f>
        <v>1.5657967865338007</v>
      </c>
    </row>
    <row r="96" spans="1:6" x14ac:dyDescent="0.3">
      <c r="A96">
        <v>49</v>
      </c>
      <c r="B96">
        <v>60</v>
      </c>
      <c r="C96">
        <v>89</v>
      </c>
      <c r="D96" s="1" t="s">
        <v>5</v>
      </c>
      <c r="E96" s="1">
        <f t="shared" si="1"/>
        <v>1.2132538408621876</v>
      </c>
    </row>
    <row r="97" spans="1:6" x14ac:dyDescent="0.3">
      <c r="A97">
        <v>67</v>
      </c>
      <c r="B97">
        <v>75</v>
      </c>
      <c r="C97">
        <v>119</v>
      </c>
      <c r="D97" s="1" t="s">
        <v>4</v>
      </c>
      <c r="E97" s="1">
        <f t="shared" si="1"/>
        <v>1.110999623730089</v>
      </c>
      <c r="F97">
        <f>GEOMEAN(E96:E97)</f>
        <v>1.1610015334559105</v>
      </c>
    </row>
    <row r="98" spans="1:6" x14ac:dyDescent="0.3">
      <c r="A98">
        <v>11</v>
      </c>
      <c r="B98">
        <v>30</v>
      </c>
      <c r="C98">
        <v>7</v>
      </c>
      <c r="D98" s="1" t="s">
        <v>5</v>
      </c>
      <c r="E98" s="1">
        <f t="shared" si="1"/>
        <v>2.5844155844155843</v>
      </c>
    </row>
    <row r="99" spans="1:6" x14ac:dyDescent="0.3">
      <c r="A99">
        <v>15</v>
      </c>
      <c r="B99">
        <v>35</v>
      </c>
      <c r="C99">
        <v>13</v>
      </c>
      <c r="D99" s="1" t="s">
        <v>4</v>
      </c>
      <c r="E99" s="1">
        <f t="shared" si="1"/>
        <v>2.2564102564102564</v>
      </c>
      <c r="F99">
        <f>GEOMEAN(E98:E99)</f>
        <v>2.4148502710316908</v>
      </c>
    </row>
    <row r="100" spans="1:6" x14ac:dyDescent="0.3">
      <c r="A100">
        <v>11</v>
      </c>
      <c r="B100">
        <v>30</v>
      </c>
      <c r="C100">
        <v>7</v>
      </c>
      <c r="D100" t="s">
        <v>5</v>
      </c>
      <c r="E100">
        <f t="shared" si="1"/>
        <v>2.5844155844155843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4601A-A179-47C8-B525-352D825B7651}">
  <dimension ref="A1:I100"/>
  <sheetViews>
    <sheetView topLeftCell="B1" zoomScale="103" workbookViewId="0">
      <selection activeCell="I4" sqref="I4"/>
    </sheetView>
  </sheetViews>
  <sheetFormatPr defaultRowHeight="14.4" x14ac:dyDescent="0.3"/>
  <cols>
    <col min="1" max="1" width="14.33203125" customWidth="1"/>
    <col min="2" max="2" width="15.77734375" customWidth="1"/>
    <col min="4" max="4" width="12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</row>
    <row r="2" spans="1:9" x14ac:dyDescent="0.3">
      <c r="A2">
        <v>67</v>
      </c>
      <c r="B2">
        <v>75</v>
      </c>
      <c r="C2">
        <v>119</v>
      </c>
      <c r="D2" t="s">
        <v>5</v>
      </c>
      <c r="E2">
        <f>((B2/A2)-1/C2)</f>
        <v>1.110999623730089</v>
      </c>
    </row>
    <row r="3" spans="1:9" x14ac:dyDescent="0.3">
      <c r="A3">
        <v>11</v>
      </c>
      <c r="B3">
        <v>30</v>
      </c>
      <c r="C3">
        <v>7</v>
      </c>
      <c r="D3" t="s">
        <v>5</v>
      </c>
      <c r="E3">
        <f t="shared" ref="E3:E66" si="0">((B3/A3)-1/C3)</f>
        <v>2.5844155844155843</v>
      </c>
    </row>
    <row r="4" spans="1:9" x14ac:dyDescent="0.3">
      <c r="A4">
        <v>40</v>
      </c>
      <c r="B4">
        <v>55</v>
      </c>
      <c r="C4">
        <v>62</v>
      </c>
      <c r="D4" t="s">
        <v>5</v>
      </c>
      <c r="E4">
        <f t="shared" si="0"/>
        <v>1.3588709677419355</v>
      </c>
      <c r="H4" s="3" t="s">
        <v>8</v>
      </c>
      <c r="I4" s="4">
        <f>AVERAGE(F1:F100)</f>
        <v>1.4844488843761328</v>
      </c>
    </row>
    <row r="5" spans="1:9" x14ac:dyDescent="0.3">
      <c r="A5">
        <v>15</v>
      </c>
      <c r="B5">
        <v>35</v>
      </c>
      <c r="C5">
        <v>13</v>
      </c>
      <c r="D5" s="1" t="s">
        <v>5</v>
      </c>
      <c r="E5" s="1">
        <f t="shared" si="0"/>
        <v>2.2564102564102564</v>
      </c>
    </row>
    <row r="6" spans="1:9" x14ac:dyDescent="0.3">
      <c r="A6">
        <v>78</v>
      </c>
      <c r="B6">
        <v>80</v>
      </c>
      <c r="C6">
        <v>162</v>
      </c>
      <c r="D6" s="1" t="s">
        <v>4</v>
      </c>
      <c r="E6" s="1">
        <f t="shared" si="0"/>
        <v>1.0194681861348527</v>
      </c>
      <c r="F6">
        <f>GEOMEAN(E5:E6)</f>
        <v>1.5166866753811223</v>
      </c>
    </row>
    <row r="7" spans="1:9" x14ac:dyDescent="0.3">
      <c r="A7">
        <v>27</v>
      </c>
      <c r="B7">
        <v>50</v>
      </c>
      <c r="C7">
        <v>21</v>
      </c>
      <c r="D7" t="s">
        <v>5</v>
      </c>
      <c r="E7">
        <f t="shared" si="0"/>
        <v>1.8042328042328042</v>
      </c>
    </row>
    <row r="8" spans="1:9" x14ac:dyDescent="0.3">
      <c r="A8">
        <v>49</v>
      </c>
      <c r="B8">
        <v>60</v>
      </c>
      <c r="C8">
        <v>89</v>
      </c>
      <c r="D8" s="1" t="s">
        <v>5</v>
      </c>
      <c r="E8" s="1">
        <f t="shared" si="0"/>
        <v>1.2132538408621876</v>
      </c>
    </row>
    <row r="9" spans="1:9" x14ac:dyDescent="0.3">
      <c r="A9">
        <v>27</v>
      </c>
      <c r="B9">
        <v>50</v>
      </c>
      <c r="C9">
        <v>21</v>
      </c>
      <c r="D9" s="1" t="s">
        <v>4</v>
      </c>
      <c r="E9" s="1">
        <f t="shared" si="0"/>
        <v>1.8042328042328042</v>
      </c>
      <c r="F9">
        <f>GEOMEAN(E8:E9)</f>
        <v>1.479524376123964</v>
      </c>
    </row>
    <row r="10" spans="1:9" x14ac:dyDescent="0.3">
      <c r="A10">
        <v>40</v>
      </c>
      <c r="B10">
        <v>55</v>
      </c>
      <c r="C10">
        <v>62</v>
      </c>
      <c r="D10" t="s">
        <v>5</v>
      </c>
      <c r="E10">
        <f t="shared" si="0"/>
        <v>1.3588709677419355</v>
      </c>
    </row>
    <row r="11" spans="1:9" x14ac:dyDescent="0.3">
      <c r="A11">
        <v>11</v>
      </c>
      <c r="B11">
        <v>30</v>
      </c>
      <c r="C11">
        <v>7</v>
      </c>
      <c r="D11" s="1" t="s">
        <v>5</v>
      </c>
      <c r="E11" s="1">
        <f t="shared" si="0"/>
        <v>2.5844155844155843</v>
      </c>
    </row>
    <row r="12" spans="1:9" x14ac:dyDescent="0.3">
      <c r="A12">
        <v>67</v>
      </c>
      <c r="B12">
        <v>75</v>
      </c>
      <c r="C12">
        <v>119</v>
      </c>
      <c r="D12" s="1" t="s">
        <v>4</v>
      </c>
      <c r="E12" s="1">
        <f t="shared" si="0"/>
        <v>1.110999623730089</v>
      </c>
      <c r="F12">
        <f>GEOMEAN(E11:E12)</f>
        <v>1.6944865717520137</v>
      </c>
    </row>
    <row r="13" spans="1:9" x14ac:dyDescent="0.3">
      <c r="A13">
        <v>78</v>
      </c>
      <c r="B13">
        <v>80</v>
      </c>
      <c r="C13">
        <v>162</v>
      </c>
      <c r="D13" s="1" t="s">
        <v>5</v>
      </c>
      <c r="E13" s="1">
        <f t="shared" si="0"/>
        <v>1.0194681861348527</v>
      </c>
    </row>
    <row r="14" spans="1:9" x14ac:dyDescent="0.3">
      <c r="A14">
        <v>49</v>
      </c>
      <c r="B14">
        <v>60</v>
      </c>
      <c r="C14">
        <v>89</v>
      </c>
      <c r="D14" s="1" t="s">
        <v>4</v>
      </c>
      <c r="E14" s="1">
        <f t="shared" si="0"/>
        <v>1.2132538408621876</v>
      </c>
      <c r="F14">
        <f>GEOMEAN(E13:E14)</f>
        <v>1.1121482331348269</v>
      </c>
    </row>
    <row r="15" spans="1:9" x14ac:dyDescent="0.3">
      <c r="A15">
        <v>15</v>
      </c>
      <c r="B15">
        <v>35</v>
      </c>
      <c r="C15">
        <v>13</v>
      </c>
      <c r="D15" s="1" t="s">
        <v>5</v>
      </c>
      <c r="E15" s="1">
        <f t="shared" si="0"/>
        <v>2.2564102564102564</v>
      </c>
    </row>
    <row r="16" spans="1:9" x14ac:dyDescent="0.3">
      <c r="A16">
        <v>40</v>
      </c>
      <c r="B16">
        <v>55</v>
      </c>
      <c r="C16">
        <v>62</v>
      </c>
      <c r="D16" s="1" t="s">
        <v>4</v>
      </c>
      <c r="E16" s="1">
        <f t="shared" si="0"/>
        <v>1.3588709677419355</v>
      </c>
      <c r="F16">
        <f>GEOMEAN(E15:E16)</f>
        <v>1.7510483684784479</v>
      </c>
    </row>
    <row r="17" spans="1:6" x14ac:dyDescent="0.3">
      <c r="A17">
        <v>27</v>
      </c>
      <c r="B17">
        <v>50</v>
      </c>
      <c r="C17">
        <v>21</v>
      </c>
      <c r="D17" t="s">
        <v>4</v>
      </c>
      <c r="E17">
        <f t="shared" si="0"/>
        <v>1.8042328042328042</v>
      </c>
    </row>
    <row r="18" spans="1:6" x14ac:dyDescent="0.3">
      <c r="A18">
        <v>67</v>
      </c>
      <c r="B18">
        <v>75</v>
      </c>
      <c r="C18">
        <v>119</v>
      </c>
      <c r="D18" t="s">
        <v>4</v>
      </c>
      <c r="E18">
        <f t="shared" si="0"/>
        <v>1.110999623730089</v>
      </c>
    </row>
    <row r="19" spans="1:6" x14ac:dyDescent="0.3">
      <c r="A19">
        <v>11</v>
      </c>
      <c r="B19">
        <v>30</v>
      </c>
      <c r="C19">
        <v>7</v>
      </c>
      <c r="D19" t="s">
        <v>4</v>
      </c>
      <c r="E19">
        <f t="shared" si="0"/>
        <v>2.5844155844155843</v>
      </c>
    </row>
    <row r="20" spans="1:6" x14ac:dyDescent="0.3">
      <c r="A20">
        <v>15</v>
      </c>
      <c r="B20">
        <v>35</v>
      </c>
      <c r="C20">
        <v>13</v>
      </c>
      <c r="D20" t="s">
        <v>4</v>
      </c>
      <c r="E20">
        <f t="shared" si="0"/>
        <v>2.2564102564102564</v>
      </c>
    </row>
    <row r="21" spans="1:6" x14ac:dyDescent="0.3">
      <c r="A21">
        <v>78</v>
      </c>
      <c r="B21">
        <v>80</v>
      </c>
      <c r="C21">
        <v>162</v>
      </c>
      <c r="D21" s="1" t="s">
        <v>5</v>
      </c>
      <c r="E21" s="1">
        <f t="shared" si="0"/>
        <v>1.0194681861348527</v>
      </c>
    </row>
    <row r="22" spans="1:6" x14ac:dyDescent="0.3">
      <c r="A22">
        <v>49</v>
      </c>
      <c r="B22">
        <v>60</v>
      </c>
      <c r="C22">
        <v>89</v>
      </c>
      <c r="D22" s="1" t="s">
        <v>4</v>
      </c>
      <c r="E22" s="1">
        <f t="shared" si="0"/>
        <v>1.2132538408621876</v>
      </c>
      <c r="F22">
        <f>GEOMEAN(E21:E22)</f>
        <v>1.1121482331348269</v>
      </c>
    </row>
    <row r="23" spans="1:6" x14ac:dyDescent="0.3">
      <c r="A23">
        <v>78</v>
      </c>
      <c r="B23">
        <v>80</v>
      </c>
      <c r="C23">
        <v>162</v>
      </c>
      <c r="D23" t="s">
        <v>5</v>
      </c>
      <c r="E23">
        <f t="shared" si="0"/>
        <v>1.0194681861348527</v>
      </c>
    </row>
    <row r="24" spans="1:6" x14ac:dyDescent="0.3">
      <c r="A24">
        <v>49</v>
      </c>
      <c r="B24">
        <v>60</v>
      </c>
      <c r="C24">
        <v>89</v>
      </c>
      <c r="D24" t="s">
        <v>5</v>
      </c>
      <c r="E24">
        <f t="shared" si="0"/>
        <v>1.2132538408621876</v>
      </c>
    </row>
    <row r="25" spans="1:6" x14ac:dyDescent="0.3">
      <c r="A25">
        <v>27</v>
      </c>
      <c r="B25">
        <v>50</v>
      </c>
      <c r="C25">
        <v>21</v>
      </c>
      <c r="D25" s="1" t="s">
        <v>5</v>
      </c>
      <c r="E25" s="1">
        <f t="shared" si="0"/>
        <v>1.8042328042328042</v>
      </c>
    </row>
    <row r="26" spans="1:6" x14ac:dyDescent="0.3">
      <c r="A26">
        <v>40</v>
      </c>
      <c r="B26">
        <v>55</v>
      </c>
      <c r="C26">
        <v>62</v>
      </c>
      <c r="D26" s="1" t="s">
        <v>4</v>
      </c>
      <c r="E26" s="1">
        <f t="shared" si="0"/>
        <v>1.3588709677419355</v>
      </c>
      <c r="F26">
        <f>GEOMEAN(E25:E26)</f>
        <v>1.5657967865338007</v>
      </c>
    </row>
    <row r="27" spans="1:6" x14ac:dyDescent="0.3">
      <c r="A27">
        <v>11</v>
      </c>
      <c r="B27">
        <v>30</v>
      </c>
      <c r="C27">
        <v>7</v>
      </c>
      <c r="D27" t="s">
        <v>4</v>
      </c>
      <c r="E27">
        <f t="shared" si="0"/>
        <v>2.5844155844155843</v>
      </c>
    </row>
    <row r="28" spans="1:6" x14ac:dyDescent="0.3">
      <c r="A28">
        <v>67</v>
      </c>
      <c r="B28">
        <v>75</v>
      </c>
      <c r="C28">
        <v>119</v>
      </c>
      <c r="D28" t="s">
        <v>4</v>
      </c>
      <c r="E28">
        <f t="shared" si="0"/>
        <v>1.110999623730089</v>
      </c>
    </row>
    <row r="29" spans="1:6" x14ac:dyDescent="0.3">
      <c r="A29">
        <v>15</v>
      </c>
      <c r="B29">
        <v>35</v>
      </c>
      <c r="C29">
        <v>13</v>
      </c>
      <c r="D29" t="s">
        <v>4</v>
      </c>
      <c r="E29">
        <f t="shared" si="0"/>
        <v>2.2564102564102564</v>
      </c>
    </row>
    <row r="30" spans="1:6" x14ac:dyDescent="0.3">
      <c r="A30">
        <v>15</v>
      </c>
      <c r="B30">
        <v>35</v>
      </c>
      <c r="C30">
        <v>13</v>
      </c>
      <c r="D30" t="s">
        <v>4</v>
      </c>
      <c r="E30">
        <f t="shared" si="0"/>
        <v>2.2564102564102564</v>
      </c>
    </row>
    <row r="31" spans="1:6" x14ac:dyDescent="0.3">
      <c r="A31">
        <v>49</v>
      </c>
      <c r="B31">
        <v>60</v>
      </c>
      <c r="C31">
        <v>89</v>
      </c>
      <c r="D31" s="1" t="s">
        <v>5</v>
      </c>
      <c r="E31" s="1">
        <f t="shared" si="0"/>
        <v>1.2132538408621876</v>
      </c>
    </row>
    <row r="32" spans="1:6" x14ac:dyDescent="0.3">
      <c r="A32">
        <v>67</v>
      </c>
      <c r="B32">
        <v>75</v>
      </c>
      <c r="C32">
        <v>119</v>
      </c>
      <c r="D32" s="1" t="s">
        <v>4</v>
      </c>
      <c r="E32" s="1">
        <f t="shared" si="0"/>
        <v>1.110999623730089</v>
      </c>
      <c r="F32">
        <f>GEOMEAN(E31:E32)</f>
        <v>1.1610015334559105</v>
      </c>
    </row>
    <row r="33" spans="1:6" x14ac:dyDescent="0.3">
      <c r="A33">
        <v>40</v>
      </c>
      <c r="B33">
        <v>55</v>
      </c>
      <c r="C33">
        <v>62</v>
      </c>
      <c r="D33" t="s">
        <v>5</v>
      </c>
      <c r="E33">
        <f t="shared" si="0"/>
        <v>1.3588709677419355</v>
      </c>
    </row>
    <row r="34" spans="1:6" x14ac:dyDescent="0.3">
      <c r="A34">
        <v>78</v>
      </c>
      <c r="B34">
        <v>80</v>
      </c>
      <c r="C34">
        <v>162</v>
      </c>
      <c r="D34" t="s">
        <v>5</v>
      </c>
      <c r="E34">
        <f t="shared" si="0"/>
        <v>1.0194681861348527</v>
      </c>
    </row>
    <row r="35" spans="1:6" x14ac:dyDescent="0.3">
      <c r="A35">
        <v>27</v>
      </c>
      <c r="B35">
        <v>50</v>
      </c>
      <c r="C35">
        <v>21</v>
      </c>
      <c r="D35" t="s">
        <v>5</v>
      </c>
      <c r="E35">
        <f t="shared" si="0"/>
        <v>1.8042328042328042</v>
      </c>
    </row>
    <row r="36" spans="1:6" x14ac:dyDescent="0.3">
      <c r="A36">
        <v>11</v>
      </c>
      <c r="B36">
        <v>30</v>
      </c>
      <c r="C36">
        <v>7</v>
      </c>
      <c r="D36" s="1" t="s">
        <v>5</v>
      </c>
      <c r="E36" s="1">
        <f t="shared" si="0"/>
        <v>2.5844155844155843</v>
      </c>
    </row>
    <row r="37" spans="1:6" x14ac:dyDescent="0.3">
      <c r="A37">
        <v>78</v>
      </c>
      <c r="B37">
        <v>80</v>
      </c>
      <c r="C37">
        <v>162</v>
      </c>
      <c r="D37" s="1" t="s">
        <v>4</v>
      </c>
      <c r="E37" s="1">
        <f t="shared" si="0"/>
        <v>1.0194681861348527</v>
      </c>
      <c r="F37">
        <f>GEOMEAN(E36:E37)</f>
        <v>1.6231849765392732</v>
      </c>
    </row>
    <row r="38" spans="1:6" x14ac:dyDescent="0.3">
      <c r="A38">
        <v>40</v>
      </c>
      <c r="B38">
        <v>55</v>
      </c>
      <c r="C38">
        <v>62</v>
      </c>
      <c r="D38" s="1" t="s">
        <v>5</v>
      </c>
      <c r="E38" s="1">
        <f t="shared" si="0"/>
        <v>1.3588709677419355</v>
      </c>
    </row>
    <row r="39" spans="1:6" x14ac:dyDescent="0.3">
      <c r="A39">
        <v>49</v>
      </c>
      <c r="B39">
        <v>60</v>
      </c>
      <c r="C39">
        <v>89</v>
      </c>
      <c r="D39" s="1" t="s">
        <v>4</v>
      </c>
      <c r="E39" s="1">
        <f t="shared" si="0"/>
        <v>1.2132538408621876</v>
      </c>
      <c r="F39">
        <f>GEOMEAN(E38:E39)</f>
        <v>1.283999774473898</v>
      </c>
    </row>
    <row r="40" spans="1:6" x14ac:dyDescent="0.3">
      <c r="A40">
        <v>15</v>
      </c>
      <c r="B40">
        <v>35</v>
      </c>
      <c r="C40">
        <v>13</v>
      </c>
      <c r="D40" s="1" t="s">
        <v>5</v>
      </c>
      <c r="E40" s="1">
        <f t="shared" si="0"/>
        <v>2.2564102564102564</v>
      </c>
    </row>
    <row r="41" spans="1:6" x14ac:dyDescent="0.3">
      <c r="A41">
        <v>27</v>
      </c>
      <c r="B41">
        <v>50</v>
      </c>
      <c r="C41">
        <v>21</v>
      </c>
      <c r="D41" s="1" t="s">
        <v>4</v>
      </c>
      <c r="E41" s="1">
        <f t="shared" si="0"/>
        <v>1.8042328042328042</v>
      </c>
      <c r="F41">
        <f>GEOMEAN(E40:E41)</f>
        <v>2.0176940809802506</v>
      </c>
    </row>
    <row r="42" spans="1:6" x14ac:dyDescent="0.3">
      <c r="A42">
        <v>67</v>
      </c>
      <c r="B42">
        <v>75</v>
      </c>
      <c r="C42">
        <v>119</v>
      </c>
      <c r="D42" t="s">
        <v>4</v>
      </c>
      <c r="E42">
        <f t="shared" si="0"/>
        <v>1.110999623730089</v>
      </c>
    </row>
    <row r="43" spans="1:6" x14ac:dyDescent="0.3">
      <c r="A43">
        <v>11</v>
      </c>
      <c r="B43">
        <v>30</v>
      </c>
      <c r="C43">
        <v>7</v>
      </c>
      <c r="D43" t="s">
        <v>4</v>
      </c>
      <c r="E43">
        <f t="shared" si="0"/>
        <v>2.5844155844155843</v>
      </c>
    </row>
    <row r="44" spans="1:6" x14ac:dyDescent="0.3">
      <c r="A44">
        <v>40</v>
      </c>
      <c r="B44">
        <v>55</v>
      </c>
      <c r="C44">
        <v>62</v>
      </c>
      <c r="D44" t="s">
        <v>4</v>
      </c>
      <c r="E44">
        <f t="shared" si="0"/>
        <v>1.3588709677419355</v>
      </c>
    </row>
    <row r="45" spans="1:6" x14ac:dyDescent="0.3">
      <c r="A45">
        <v>49</v>
      </c>
      <c r="B45">
        <v>60</v>
      </c>
      <c r="C45">
        <v>89</v>
      </c>
      <c r="D45" t="s">
        <v>4</v>
      </c>
      <c r="E45">
        <f t="shared" si="0"/>
        <v>1.2132538408621876</v>
      </c>
    </row>
    <row r="46" spans="1:6" x14ac:dyDescent="0.3">
      <c r="A46">
        <v>15</v>
      </c>
      <c r="B46">
        <v>35</v>
      </c>
      <c r="C46">
        <v>13</v>
      </c>
      <c r="D46" t="s">
        <v>4</v>
      </c>
      <c r="E46">
        <f t="shared" si="0"/>
        <v>2.2564102564102564</v>
      </c>
    </row>
    <row r="47" spans="1:6" x14ac:dyDescent="0.3">
      <c r="A47">
        <v>67</v>
      </c>
      <c r="B47">
        <v>75</v>
      </c>
      <c r="C47">
        <v>119</v>
      </c>
      <c r="D47" t="s">
        <v>4</v>
      </c>
      <c r="E47">
        <f t="shared" si="0"/>
        <v>1.110999623730089</v>
      </c>
    </row>
    <row r="48" spans="1:6" x14ac:dyDescent="0.3">
      <c r="A48">
        <v>11</v>
      </c>
      <c r="B48">
        <v>30</v>
      </c>
      <c r="C48">
        <v>7</v>
      </c>
      <c r="D48" t="s">
        <v>4</v>
      </c>
      <c r="E48">
        <f t="shared" si="0"/>
        <v>2.5844155844155843</v>
      </c>
    </row>
    <row r="49" spans="1:6" x14ac:dyDescent="0.3">
      <c r="A49">
        <v>27</v>
      </c>
      <c r="B49">
        <v>50</v>
      </c>
      <c r="C49">
        <v>21</v>
      </c>
      <c r="D49" t="s">
        <v>4</v>
      </c>
      <c r="E49">
        <f t="shared" si="0"/>
        <v>1.8042328042328042</v>
      </c>
    </row>
    <row r="50" spans="1:6" x14ac:dyDescent="0.3">
      <c r="A50">
        <v>78</v>
      </c>
      <c r="B50">
        <v>80</v>
      </c>
      <c r="C50">
        <v>162</v>
      </c>
      <c r="D50" t="s">
        <v>5</v>
      </c>
      <c r="E50">
        <f t="shared" si="0"/>
        <v>1.0194681861348527</v>
      </c>
    </row>
    <row r="51" spans="1:6" x14ac:dyDescent="0.3">
      <c r="A51">
        <v>27</v>
      </c>
      <c r="B51">
        <v>50</v>
      </c>
      <c r="C51">
        <v>21</v>
      </c>
      <c r="D51" t="s">
        <v>5</v>
      </c>
      <c r="E51">
        <f t="shared" si="0"/>
        <v>1.8042328042328042</v>
      </c>
    </row>
    <row r="52" spans="1:6" x14ac:dyDescent="0.3">
      <c r="A52">
        <v>11</v>
      </c>
      <c r="B52">
        <v>30</v>
      </c>
      <c r="C52">
        <v>7</v>
      </c>
      <c r="D52" t="s">
        <v>5</v>
      </c>
      <c r="E52">
        <f t="shared" si="0"/>
        <v>2.5844155844155843</v>
      </c>
    </row>
    <row r="53" spans="1:6" x14ac:dyDescent="0.3">
      <c r="A53">
        <v>49</v>
      </c>
      <c r="B53">
        <v>60</v>
      </c>
      <c r="C53">
        <v>89</v>
      </c>
      <c r="D53" t="s">
        <v>5</v>
      </c>
      <c r="E53">
        <f t="shared" si="0"/>
        <v>1.2132538408621876</v>
      </c>
    </row>
    <row r="54" spans="1:6" x14ac:dyDescent="0.3">
      <c r="A54">
        <v>78</v>
      </c>
      <c r="B54">
        <v>80</v>
      </c>
      <c r="C54">
        <v>162</v>
      </c>
      <c r="D54" t="s">
        <v>5</v>
      </c>
      <c r="E54">
        <f t="shared" si="0"/>
        <v>1.0194681861348527</v>
      </c>
    </row>
    <row r="55" spans="1:6" x14ac:dyDescent="0.3">
      <c r="A55">
        <v>67</v>
      </c>
      <c r="B55">
        <v>75</v>
      </c>
      <c r="C55">
        <v>119</v>
      </c>
      <c r="D55" s="1" t="s">
        <v>5</v>
      </c>
      <c r="E55" s="1">
        <f t="shared" si="0"/>
        <v>1.110999623730089</v>
      </c>
    </row>
    <row r="56" spans="1:6" x14ac:dyDescent="0.3">
      <c r="A56">
        <v>15</v>
      </c>
      <c r="B56">
        <v>35</v>
      </c>
      <c r="C56">
        <v>13</v>
      </c>
      <c r="D56" s="1" t="s">
        <v>4</v>
      </c>
      <c r="E56" s="1">
        <f t="shared" si="0"/>
        <v>2.2564102564102564</v>
      </c>
      <c r="F56">
        <f>GEOMEAN(E55:E56)</f>
        <v>1.5833101230815485</v>
      </c>
    </row>
    <row r="57" spans="1:6" x14ac:dyDescent="0.3">
      <c r="A57">
        <v>40</v>
      </c>
      <c r="B57">
        <v>55</v>
      </c>
      <c r="C57">
        <v>62</v>
      </c>
      <c r="D57" t="s">
        <v>4</v>
      </c>
      <c r="E57">
        <f t="shared" si="0"/>
        <v>1.3588709677419355</v>
      </c>
    </row>
    <row r="58" spans="1:6" x14ac:dyDescent="0.3">
      <c r="A58">
        <v>78</v>
      </c>
      <c r="B58">
        <v>80</v>
      </c>
      <c r="C58">
        <v>162</v>
      </c>
      <c r="D58" t="s">
        <v>5</v>
      </c>
      <c r="E58">
        <f t="shared" si="0"/>
        <v>1.0194681861348527</v>
      </c>
    </row>
    <row r="59" spans="1:6" x14ac:dyDescent="0.3">
      <c r="A59">
        <v>15</v>
      </c>
      <c r="B59">
        <v>35</v>
      </c>
      <c r="C59">
        <v>13</v>
      </c>
      <c r="D59" t="s">
        <v>5</v>
      </c>
      <c r="E59">
        <f t="shared" si="0"/>
        <v>2.2564102564102564</v>
      </c>
    </row>
    <row r="60" spans="1:6" x14ac:dyDescent="0.3">
      <c r="A60">
        <v>27</v>
      </c>
      <c r="B60">
        <v>50</v>
      </c>
      <c r="C60">
        <v>21</v>
      </c>
      <c r="D60" t="s">
        <v>5</v>
      </c>
      <c r="E60">
        <f t="shared" si="0"/>
        <v>1.8042328042328042</v>
      </c>
    </row>
    <row r="61" spans="1:6" x14ac:dyDescent="0.3">
      <c r="A61">
        <v>49</v>
      </c>
      <c r="B61">
        <v>60</v>
      </c>
      <c r="C61">
        <v>89</v>
      </c>
      <c r="D61" s="1" t="s">
        <v>5</v>
      </c>
      <c r="E61" s="1">
        <f t="shared" si="0"/>
        <v>1.2132538408621876</v>
      </c>
    </row>
    <row r="62" spans="1:6" x14ac:dyDescent="0.3">
      <c r="A62">
        <v>40</v>
      </c>
      <c r="B62">
        <v>55</v>
      </c>
      <c r="C62">
        <v>62</v>
      </c>
      <c r="D62" s="1" t="s">
        <v>4</v>
      </c>
      <c r="E62" s="1">
        <f t="shared" si="0"/>
        <v>1.3588709677419355</v>
      </c>
      <c r="F62">
        <f>GEOMEAN(E61:E62)</f>
        <v>1.283999774473898</v>
      </c>
    </row>
    <row r="63" spans="1:6" x14ac:dyDescent="0.3">
      <c r="A63">
        <v>11</v>
      </c>
      <c r="B63">
        <v>30</v>
      </c>
      <c r="C63">
        <v>7</v>
      </c>
      <c r="D63" t="s">
        <v>4</v>
      </c>
      <c r="E63">
        <f t="shared" si="0"/>
        <v>2.5844155844155843</v>
      </c>
    </row>
    <row r="64" spans="1:6" x14ac:dyDescent="0.3">
      <c r="A64">
        <v>67</v>
      </c>
      <c r="B64">
        <v>75</v>
      </c>
      <c r="C64">
        <v>119</v>
      </c>
      <c r="D64" t="s">
        <v>4</v>
      </c>
      <c r="E64">
        <f t="shared" si="0"/>
        <v>1.110999623730089</v>
      </c>
    </row>
    <row r="65" spans="1:6" x14ac:dyDescent="0.3">
      <c r="A65">
        <v>67</v>
      </c>
      <c r="B65">
        <v>75</v>
      </c>
      <c r="C65">
        <v>119</v>
      </c>
      <c r="D65" t="s">
        <v>4</v>
      </c>
      <c r="E65">
        <f t="shared" si="0"/>
        <v>1.110999623730089</v>
      </c>
    </row>
    <row r="66" spans="1:6" x14ac:dyDescent="0.3">
      <c r="A66">
        <v>49</v>
      </c>
      <c r="B66">
        <v>60</v>
      </c>
      <c r="C66">
        <v>89</v>
      </c>
      <c r="D66" s="1" t="s">
        <v>5</v>
      </c>
      <c r="E66" s="1">
        <f t="shared" si="0"/>
        <v>1.2132538408621876</v>
      </c>
    </row>
    <row r="67" spans="1:6" x14ac:dyDescent="0.3">
      <c r="A67">
        <v>15</v>
      </c>
      <c r="B67">
        <v>35</v>
      </c>
      <c r="C67">
        <v>13</v>
      </c>
      <c r="D67" s="1" t="s">
        <v>4</v>
      </c>
      <c r="E67" s="1">
        <f t="shared" ref="E67:E100" si="1">((B67/A67)-1/C67)</f>
        <v>2.2564102564102564</v>
      </c>
      <c r="F67">
        <f>GEOMEAN(E66:E67)</f>
        <v>1.6545689499536056</v>
      </c>
    </row>
    <row r="68" spans="1:6" x14ac:dyDescent="0.3">
      <c r="A68">
        <v>40</v>
      </c>
      <c r="B68">
        <v>55</v>
      </c>
      <c r="C68">
        <v>62</v>
      </c>
      <c r="D68" t="s">
        <v>5</v>
      </c>
      <c r="E68">
        <f t="shared" si="1"/>
        <v>1.3588709677419355</v>
      </c>
    </row>
    <row r="69" spans="1:6" x14ac:dyDescent="0.3">
      <c r="A69">
        <v>78</v>
      </c>
      <c r="B69">
        <v>80</v>
      </c>
      <c r="C69">
        <v>162</v>
      </c>
      <c r="D69" t="s">
        <v>5</v>
      </c>
      <c r="E69">
        <f t="shared" si="1"/>
        <v>1.0194681861348527</v>
      </c>
    </row>
    <row r="70" spans="1:6" x14ac:dyDescent="0.3">
      <c r="A70">
        <v>11</v>
      </c>
      <c r="B70">
        <v>30</v>
      </c>
      <c r="C70">
        <v>7</v>
      </c>
      <c r="D70" t="s">
        <v>5</v>
      </c>
      <c r="E70">
        <f t="shared" si="1"/>
        <v>2.5844155844155843</v>
      </c>
    </row>
    <row r="71" spans="1:6" x14ac:dyDescent="0.3">
      <c r="A71">
        <v>27</v>
      </c>
      <c r="B71">
        <v>50</v>
      </c>
      <c r="C71">
        <v>21</v>
      </c>
      <c r="D71" s="1" t="s">
        <v>5</v>
      </c>
      <c r="E71" s="1">
        <f t="shared" si="1"/>
        <v>1.8042328042328042</v>
      </c>
    </row>
    <row r="72" spans="1:6" x14ac:dyDescent="0.3">
      <c r="A72">
        <v>40</v>
      </c>
      <c r="B72">
        <v>55</v>
      </c>
      <c r="C72">
        <v>62</v>
      </c>
      <c r="D72" s="1" t="s">
        <v>4</v>
      </c>
      <c r="E72" s="1">
        <f t="shared" si="1"/>
        <v>1.3588709677419355</v>
      </c>
      <c r="F72">
        <f>GEOMEAN(E71:E72)</f>
        <v>1.5657967865338007</v>
      </c>
    </row>
    <row r="73" spans="1:6" x14ac:dyDescent="0.3">
      <c r="A73">
        <v>67</v>
      </c>
      <c r="B73">
        <v>75</v>
      </c>
      <c r="C73">
        <v>119</v>
      </c>
      <c r="D73" t="s">
        <v>4</v>
      </c>
      <c r="E73">
        <f t="shared" si="1"/>
        <v>1.110999623730089</v>
      </c>
    </row>
    <row r="74" spans="1:6" x14ac:dyDescent="0.3">
      <c r="A74">
        <v>11</v>
      </c>
      <c r="B74">
        <v>30</v>
      </c>
      <c r="C74">
        <v>7</v>
      </c>
      <c r="D74" t="s">
        <v>4</v>
      </c>
      <c r="E74">
        <f t="shared" si="1"/>
        <v>2.5844155844155843</v>
      </c>
    </row>
    <row r="75" spans="1:6" x14ac:dyDescent="0.3">
      <c r="A75">
        <v>27</v>
      </c>
      <c r="B75">
        <v>50</v>
      </c>
      <c r="C75">
        <v>21</v>
      </c>
      <c r="D75" t="s">
        <v>4</v>
      </c>
      <c r="E75">
        <f t="shared" si="1"/>
        <v>1.8042328042328042</v>
      </c>
    </row>
    <row r="76" spans="1:6" x14ac:dyDescent="0.3">
      <c r="A76">
        <v>15</v>
      </c>
      <c r="B76">
        <v>35</v>
      </c>
      <c r="C76">
        <v>13</v>
      </c>
      <c r="D76" t="s">
        <v>5</v>
      </c>
      <c r="E76">
        <f t="shared" si="1"/>
        <v>2.2564102564102564</v>
      </c>
    </row>
    <row r="77" spans="1:6" x14ac:dyDescent="0.3">
      <c r="A77">
        <v>78</v>
      </c>
      <c r="B77">
        <v>80</v>
      </c>
      <c r="C77">
        <v>162</v>
      </c>
      <c r="D77" t="s">
        <v>5</v>
      </c>
      <c r="E77">
        <f t="shared" si="1"/>
        <v>1.0194681861348527</v>
      </c>
    </row>
    <row r="78" spans="1:6" x14ac:dyDescent="0.3">
      <c r="A78">
        <v>49</v>
      </c>
      <c r="B78">
        <v>60</v>
      </c>
      <c r="C78">
        <v>89</v>
      </c>
      <c r="D78" s="1" t="s">
        <v>5</v>
      </c>
      <c r="E78" s="1">
        <f t="shared" si="1"/>
        <v>1.2132538408621876</v>
      </c>
    </row>
    <row r="79" spans="1:6" x14ac:dyDescent="0.3">
      <c r="A79">
        <v>27</v>
      </c>
      <c r="B79">
        <v>50</v>
      </c>
      <c r="C79">
        <v>21</v>
      </c>
      <c r="D79" s="1" t="s">
        <v>4</v>
      </c>
      <c r="E79" s="1">
        <f t="shared" si="1"/>
        <v>1.8042328042328042</v>
      </c>
      <c r="F79">
        <f>GEOMEAN(E78:E79)</f>
        <v>1.479524376123964</v>
      </c>
    </row>
    <row r="80" spans="1:6" x14ac:dyDescent="0.3">
      <c r="A80">
        <v>40</v>
      </c>
      <c r="B80">
        <v>55</v>
      </c>
      <c r="C80">
        <v>62</v>
      </c>
      <c r="D80" t="s">
        <v>5</v>
      </c>
      <c r="E80">
        <f t="shared" si="1"/>
        <v>1.3588709677419355</v>
      </c>
    </row>
    <row r="81" spans="1:6" x14ac:dyDescent="0.3">
      <c r="A81">
        <v>11</v>
      </c>
      <c r="B81">
        <v>30</v>
      </c>
      <c r="C81">
        <v>7</v>
      </c>
      <c r="D81" t="s">
        <v>5</v>
      </c>
      <c r="E81">
        <f t="shared" si="1"/>
        <v>2.5844155844155843</v>
      </c>
    </row>
    <row r="82" spans="1:6" x14ac:dyDescent="0.3">
      <c r="A82">
        <v>67</v>
      </c>
      <c r="B82">
        <v>75</v>
      </c>
      <c r="C82">
        <v>119</v>
      </c>
      <c r="D82" s="1" t="s">
        <v>5</v>
      </c>
      <c r="E82" s="1">
        <f t="shared" si="1"/>
        <v>1.110999623730089</v>
      </c>
    </row>
    <row r="83" spans="1:6" x14ac:dyDescent="0.3">
      <c r="A83">
        <v>78</v>
      </c>
      <c r="B83">
        <v>80</v>
      </c>
      <c r="C83">
        <v>162</v>
      </c>
      <c r="D83" s="1" t="s">
        <v>4</v>
      </c>
      <c r="E83" s="1">
        <f t="shared" si="1"/>
        <v>1.0194681861348527</v>
      </c>
      <c r="F83">
        <f>GEOMEAN(E82:E83)</f>
        <v>1.0642503329577198</v>
      </c>
    </row>
    <row r="84" spans="1:6" x14ac:dyDescent="0.3">
      <c r="A84">
        <v>15</v>
      </c>
      <c r="B84">
        <v>35</v>
      </c>
      <c r="C84">
        <v>13</v>
      </c>
      <c r="D84" t="s">
        <v>4</v>
      </c>
      <c r="E84">
        <f t="shared" si="1"/>
        <v>2.2564102564102564</v>
      </c>
    </row>
    <row r="85" spans="1:6" x14ac:dyDescent="0.3">
      <c r="A85">
        <v>49</v>
      </c>
      <c r="B85">
        <v>60</v>
      </c>
      <c r="C85">
        <v>89</v>
      </c>
      <c r="D85" t="s">
        <v>5</v>
      </c>
      <c r="E85">
        <f t="shared" si="1"/>
        <v>1.2132538408621876</v>
      </c>
    </row>
    <row r="86" spans="1:6" x14ac:dyDescent="0.3">
      <c r="A86">
        <v>49</v>
      </c>
      <c r="B86">
        <v>60</v>
      </c>
      <c r="C86">
        <v>89</v>
      </c>
      <c r="D86" s="1" t="s">
        <v>5</v>
      </c>
      <c r="E86" s="1">
        <f t="shared" si="1"/>
        <v>1.2132538408621876</v>
      </c>
    </row>
    <row r="87" spans="1:6" x14ac:dyDescent="0.3">
      <c r="A87">
        <v>27</v>
      </c>
      <c r="B87">
        <v>50</v>
      </c>
      <c r="C87">
        <v>21</v>
      </c>
      <c r="D87" s="1" t="s">
        <v>4</v>
      </c>
      <c r="E87" s="1">
        <f t="shared" si="1"/>
        <v>1.8042328042328042</v>
      </c>
      <c r="F87">
        <f>GEOMEAN(E86:E87)</f>
        <v>1.479524376123964</v>
      </c>
    </row>
    <row r="88" spans="1:6" x14ac:dyDescent="0.3">
      <c r="A88">
        <v>40</v>
      </c>
      <c r="B88">
        <v>55</v>
      </c>
      <c r="C88">
        <v>62</v>
      </c>
      <c r="D88" t="s">
        <v>5</v>
      </c>
      <c r="E88">
        <f t="shared" si="1"/>
        <v>1.3588709677419355</v>
      </c>
    </row>
    <row r="89" spans="1:6" x14ac:dyDescent="0.3">
      <c r="A89">
        <v>78</v>
      </c>
      <c r="B89">
        <v>80</v>
      </c>
      <c r="C89">
        <v>162</v>
      </c>
      <c r="D89" t="s">
        <v>5</v>
      </c>
      <c r="E89">
        <f t="shared" si="1"/>
        <v>1.0194681861348527</v>
      </c>
    </row>
    <row r="90" spans="1:6" x14ac:dyDescent="0.3">
      <c r="A90">
        <v>11</v>
      </c>
      <c r="B90">
        <v>30</v>
      </c>
      <c r="C90">
        <v>7</v>
      </c>
      <c r="D90" s="1" t="s">
        <v>5</v>
      </c>
      <c r="E90" s="1">
        <f t="shared" si="1"/>
        <v>2.5844155844155843</v>
      </c>
    </row>
    <row r="91" spans="1:6" x14ac:dyDescent="0.3">
      <c r="A91">
        <v>67</v>
      </c>
      <c r="B91">
        <v>75</v>
      </c>
      <c r="C91">
        <v>119</v>
      </c>
      <c r="D91" s="1" t="s">
        <v>4</v>
      </c>
      <c r="E91" s="1">
        <f t="shared" si="1"/>
        <v>1.110999623730089</v>
      </c>
      <c r="F91">
        <f>GEOMEAN(E90:E91)</f>
        <v>1.6944865717520137</v>
      </c>
    </row>
    <row r="92" spans="1:6" x14ac:dyDescent="0.3">
      <c r="A92">
        <v>15</v>
      </c>
      <c r="B92">
        <v>35</v>
      </c>
      <c r="C92">
        <v>13</v>
      </c>
      <c r="D92" t="s">
        <v>4</v>
      </c>
      <c r="E92">
        <f t="shared" si="1"/>
        <v>2.2564102564102564</v>
      </c>
    </row>
    <row r="93" spans="1:6" x14ac:dyDescent="0.3">
      <c r="A93">
        <v>78</v>
      </c>
      <c r="B93">
        <v>80</v>
      </c>
      <c r="C93">
        <v>162</v>
      </c>
      <c r="D93" t="s">
        <v>5</v>
      </c>
      <c r="E93">
        <f t="shared" si="1"/>
        <v>1.0194681861348527</v>
      </c>
    </row>
    <row r="94" spans="1:6" x14ac:dyDescent="0.3">
      <c r="A94">
        <v>15</v>
      </c>
      <c r="B94">
        <v>35</v>
      </c>
      <c r="C94">
        <v>13</v>
      </c>
      <c r="D94" t="s">
        <v>5</v>
      </c>
      <c r="E94">
        <f t="shared" si="1"/>
        <v>2.2564102564102564</v>
      </c>
    </row>
    <row r="95" spans="1:6" x14ac:dyDescent="0.3">
      <c r="A95">
        <v>27</v>
      </c>
      <c r="B95">
        <v>50</v>
      </c>
      <c r="C95">
        <v>21</v>
      </c>
      <c r="D95" s="1" t="s">
        <v>5</v>
      </c>
      <c r="E95" s="1">
        <f t="shared" si="1"/>
        <v>1.8042328042328042</v>
      </c>
    </row>
    <row r="96" spans="1:6" x14ac:dyDescent="0.3">
      <c r="A96">
        <v>40</v>
      </c>
      <c r="B96">
        <v>55</v>
      </c>
      <c r="C96">
        <v>62</v>
      </c>
      <c r="D96" s="1" t="s">
        <v>4</v>
      </c>
      <c r="E96" s="1">
        <f t="shared" si="1"/>
        <v>1.3588709677419355</v>
      </c>
      <c r="F96">
        <f>GEOMEAN(E95:E96)</f>
        <v>1.5657967865338007</v>
      </c>
    </row>
    <row r="97" spans="1:5" x14ac:dyDescent="0.3">
      <c r="A97">
        <v>67</v>
      </c>
      <c r="B97">
        <v>75</v>
      </c>
      <c r="C97">
        <v>119</v>
      </c>
      <c r="D97" t="s">
        <v>4</v>
      </c>
      <c r="E97">
        <f t="shared" si="1"/>
        <v>1.110999623730089</v>
      </c>
    </row>
    <row r="98" spans="1:5" x14ac:dyDescent="0.3">
      <c r="A98">
        <v>49</v>
      </c>
      <c r="B98">
        <v>60</v>
      </c>
      <c r="C98">
        <v>89</v>
      </c>
      <c r="D98" t="s">
        <v>4</v>
      </c>
      <c r="E98">
        <f t="shared" si="1"/>
        <v>1.2132538408621876</v>
      </c>
    </row>
    <row r="99" spans="1:5" x14ac:dyDescent="0.3">
      <c r="A99">
        <v>11</v>
      </c>
      <c r="B99">
        <v>30</v>
      </c>
      <c r="C99">
        <v>7</v>
      </c>
      <c r="D99" t="s">
        <v>5</v>
      </c>
      <c r="E99">
        <f t="shared" si="1"/>
        <v>2.5844155844155843</v>
      </c>
    </row>
    <row r="100" spans="1:5" x14ac:dyDescent="0.3">
      <c r="A100">
        <v>67</v>
      </c>
      <c r="B100">
        <v>75</v>
      </c>
      <c r="C100">
        <v>119</v>
      </c>
      <c r="D100" t="s">
        <v>5</v>
      </c>
      <c r="E100">
        <f t="shared" si="1"/>
        <v>1.110999623730089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32164-1437-48C8-A412-C85A01679A6F}">
  <dimension ref="A1:I100"/>
  <sheetViews>
    <sheetView zoomScale="81" workbookViewId="0">
      <selection activeCell="I4" sqref="I4"/>
    </sheetView>
  </sheetViews>
  <sheetFormatPr defaultRowHeight="14.4" x14ac:dyDescent="0.3"/>
  <cols>
    <col min="1" max="1" width="13.6640625" customWidth="1"/>
    <col min="2" max="2" width="13.5546875" customWidth="1"/>
    <col min="4" max="4" width="12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</row>
    <row r="2" spans="1:9" x14ac:dyDescent="0.3">
      <c r="A2">
        <v>78</v>
      </c>
      <c r="B2">
        <v>80</v>
      </c>
      <c r="C2">
        <v>162</v>
      </c>
      <c r="D2" s="1" t="s">
        <v>5</v>
      </c>
      <c r="E2" s="1">
        <f>((B2/A2)-1/C2)</f>
        <v>1.0194681861348527</v>
      </c>
    </row>
    <row r="3" spans="1:9" x14ac:dyDescent="0.3">
      <c r="A3">
        <v>40</v>
      </c>
      <c r="B3">
        <v>55</v>
      </c>
      <c r="C3">
        <v>62</v>
      </c>
      <c r="D3" s="1" t="s">
        <v>4</v>
      </c>
      <c r="E3" s="1">
        <f t="shared" ref="E3:E66" si="0">((B3/A3)-1/C3)</f>
        <v>1.3588709677419355</v>
      </c>
      <c r="F3">
        <f>GEOMEAN(E2:E3)</f>
        <v>1.1769986069130172</v>
      </c>
    </row>
    <row r="4" spans="1:9" x14ac:dyDescent="0.3">
      <c r="A4">
        <v>11</v>
      </c>
      <c r="B4">
        <v>30</v>
      </c>
      <c r="C4">
        <v>7</v>
      </c>
      <c r="D4" s="1" t="s">
        <v>5</v>
      </c>
      <c r="E4" s="1">
        <f t="shared" si="0"/>
        <v>2.5844155844155843</v>
      </c>
      <c r="H4" s="3" t="s">
        <v>8</v>
      </c>
      <c r="I4" s="4">
        <f>AVERAGE(F1:F100)</f>
        <v>1.5929463257418035</v>
      </c>
    </row>
    <row r="5" spans="1:9" x14ac:dyDescent="0.3">
      <c r="A5">
        <v>15</v>
      </c>
      <c r="B5">
        <v>35</v>
      </c>
      <c r="C5">
        <v>13</v>
      </c>
      <c r="D5" s="1" t="s">
        <v>4</v>
      </c>
      <c r="E5" s="1">
        <f t="shared" si="0"/>
        <v>2.2564102564102564</v>
      </c>
      <c r="F5">
        <f>GEOMEAN(E5:E6)</f>
        <v>1.5833101230815485</v>
      </c>
    </row>
    <row r="6" spans="1:9" x14ac:dyDescent="0.3">
      <c r="A6">
        <v>67</v>
      </c>
      <c r="B6">
        <v>75</v>
      </c>
      <c r="C6">
        <v>119</v>
      </c>
      <c r="D6" s="1" t="s">
        <v>5</v>
      </c>
      <c r="E6" s="1">
        <f t="shared" si="0"/>
        <v>1.110999623730089</v>
      </c>
    </row>
    <row r="7" spans="1:9" x14ac:dyDescent="0.3">
      <c r="A7">
        <v>49</v>
      </c>
      <c r="B7">
        <v>60</v>
      </c>
      <c r="C7">
        <v>89</v>
      </c>
      <c r="D7" s="1" t="s">
        <v>4</v>
      </c>
      <c r="E7" s="1">
        <f t="shared" si="0"/>
        <v>1.2132538408621876</v>
      </c>
      <c r="F7">
        <f>GEOMEAN(E6:E7)</f>
        <v>1.1610015334559105</v>
      </c>
    </row>
    <row r="8" spans="1:9" x14ac:dyDescent="0.3">
      <c r="A8">
        <v>27</v>
      </c>
      <c r="B8">
        <v>50</v>
      </c>
      <c r="C8">
        <v>21</v>
      </c>
      <c r="D8" s="1" t="s">
        <v>5</v>
      </c>
      <c r="E8" s="1">
        <f t="shared" si="0"/>
        <v>1.8042328042328042</v>
      </c>
    </row>
    <row r="9" spans="1:9" x14ac:dyDescent="0.3">
      <c r="A9">
        <v>67</v>
      </c>
      <c r="B9">
        <v>75</v>
      </c>
      <c r="C9">
        <v>119</v>
      </c>
      <c r="D9" s="1" t="s">
        <v>4</v>
      </c>
      <c r="E9" s="1">
        <f t="shared" si="0"/>
        <v>1.110999623730089</v>
      </c>
      <c r="F9">
        <f>GEOMEAN(E8:E9)</f>
        <v>1.4158043532296858</v>
      </c>
    </row>
    <row r="10" spans="1:9" x14ac:dyDescent="0.3">
      <c r="A10">
        <v>40</v>
      </c>
      <c r="B10">
        <v>55</v>
      </c>
      <c r="C10">
        <v>62</v>
      </c>
      <c r="D10" t="s">
        <v>4</v>
      </c>
      <c r="E10">
        <f t="shared" si="0"/>
        <v>1.3588709677419355</v>
      </c>
    </row>
    <row r="11" spans="1:9" x14ac:dyDescent="0.3">
      <c r="A11">
        <v>27</v>
      </c>
      <c r="B11">
        <v>50</v>
      </c>
      <c r="C11">
        <v>21</v>
      </c>
      <c r="D11" t="s">
        <v>4</v>
      </c>
      <c r="E11">
        <f t="shared" si="0"/>
        <v>1.8042328042328042</v>
      </c>
    </row>
    <row r="12" spans="1:9" x14ac:dyDescent="0.3">
      <c r="A12">
        <v>78</v>
      </c>
      <c r="B12">
        <v>80</v>
      </c>
      <c r="C12">
        <v>162</v>
      </c>
      <c r="D12" t="s">
        <v>4</v>
      </c>
      <c r="E12">
        <f t="shared" si="0"/>
        <v>1.0194681861348527</v>
      </c>
    </row>
    <row r="13" spans="1:9" x14ac:dyDescent="0.3">
      <c r="A13">
        <v>49</v>
      </c>
      <c r="B13">
        <v>60</v>
      </c>
      <c r="C13">
        <v>89</v>
      </c>
      <c r="D13" t="s">
        <v>5</v>
      </c>
      <c r="E13">
        <f t="shared" si="0"/>
        <v>1.2132538408621876</v>
      </c>
    </row>
    <row r="14" spans="1:9" x14ac:dyDescent="0.3">
      <c r="A14">
        <v>15</v>
      </c>
      <c r="B14">
        <v>35</v>
      </c>
      <c r="C14">
        <v>13</v>
      </c>
      <c r="D14" s="1" t="s">
        <v>5</v>
      </c>
      <c r="E14" s="1">
        <f t="shared" si="0"/>
        <v>2.2564102564102564</v>
      </c>
    </row>
    <row r="15" spans="1:9" x14ac:dyDescent="0.3">
      <c r="A15">
        <v>11</v>
      </c>
      <c r="B15">
        <v>30</v>
      </c>
      <c r="C15">
        <v>7</v>
      </c>
      <c r="D15" s="1" t="s">
        <v>4</v>
      </c>
      <c r="E15" s="1">
        <f t="shared" si="0"/>
        <v>2.5844155844155843</v>
      </c>
      <c r="F15">
        <f>GEOMEAN(E14:E15)</f>
        <v>2.4148502710316908</v>
      </c>
    </row>
    <row r="16" spans="1:9" x14ac:dyDescent="0.3">
      <c r="A16">
        <v>49</v>
      </c>
      <c r="B16">
        <v>60</v>
      </c>
      <c r="C16">
        <v>89</v>
      </c>
      <c r="D16" s="1" t="s">
        <v>5</v>
      </c>
      <c r="E16" s="1">
        <f t="shared" si="0"/>
        <v>1.2132538408621876</v>
      </c>
    </row>
    <row r="17" spans="1:6" x14ac:dyDescent="0.3">
      <c r="A17">
        <v>15</v>
      </c>
      <c r="B17">
        <v>35</v>
      </c>
      <c r="C17">
        <v>13</v>
      </c>
      <c r="D17" s="1" t="s">
        <v>4</v>
      </c>
      <c r="E17" s="1">
        <f t="shared" si="0"/>
        <v>2.2564102564102564</v>
      </c>
      <c r="F17">
        <f>GEOMEAN(E16:E17)</f>
        <v>1.6545689499536056</v>
      </c>
    </row>
    <row r="18" spans="1:6" x14ac:dyDescent="0.3">
      <c r="A18">
        <v>27</v>
      </c>
      <c r="B18">
        <v>50</v>
      </c>
      <c r="C18">
        <v>21</v>
      </c>
      <c r="D18" t="s">
        <v>4</v>
      </c>
      <c r="E18">
        <f t="shared" si="0"/>
        <v>1.8042328042328042</v>
      </c>
    </row>
    <row r="19" spans="1:6" x14ac:dyDescent="0.3">
      <c r="A19">
        <v>11</v>
      </c>
      <c r="B19">
        <v>30</v>
      </c>
      <c r="C19">
        <v>7</v>
      </c>
      <c r="D19" t="s">
        <v>5</v>
      </c>
      <c r="E19">
        <f t="shared" si="0"/>
        <v>2.5844155844155843</v>
      </c>
    </row>
    <row r="20" spans="1:6" x14ac:dyDescent="0.3">
      <c r="A20">
        <v>40</v>
      </c>
      <c r="B20">
        <v>55</v>
      </c>
      <c r="C20">
        <v>62</v>
      </c>
      <c r="D20" s="1" t="s">
        <v>5</v>
      </c>
      <c r="E20" s="1">
        <f t="shared" si="0"/>
        <v>1.3588709677419355</v>
      </c>
    </row>
    <row r="21" spans="1:6" x14ac:dyDescent="0.3">
      <c r="A21">
        <v>78</v>
      </c>
      <c r="B21">
        <v>80</v>
      </c>
      <c r="C21">
        <v>162</v>
      </c>
      <c r="D21" s="1" t="s">
        <v>4</v>
      </c>
      <c r="E21" s="1">
        <f t="shared" si="0"/>
        <v>1.0194681861348527</v>
      </c>
      <c r="F21">
        <f>GEOMEAN(E20:E21)</f>
        <v>1.1769986069130172</v>
      </c>
    </row>
    <row r="22" spans="1:6" x14ac:dyDescent="0.3">
      <c r="A22">
        <v>67</v>
      </c>
      <c r="B22">
        <v>75</v>
      </c>
      <c r="C22">
        <v>119</v>
      </c>
      <c r="D22" t="s">
        <v>4</v>
      </c>
      <c r="E22">
        <f t="shared" si="0"/>
        <v>1.110999623730089</v>
      </c>
    </row>
    <row r="23" spans="1:6" x14ac:dyDescent="0.3">
      <c r="A23">
        <v>15</v>
      </c>
      <c r="B23">
        <v>35</v>
      </c>
      <c r="C23">
        <v>13</v>
      </c>
      <c r="D23" t="s">
        <v>4</v>
      </c>
      <c r="E23">
        <f t="shared" si="0"/>
        <v>2.2564102564102564</v>
      </c>
    </row>
    <row r="24" spans="1:6" x14ac:dyDescent="0.3">
      <c r="A24">
        <v>67</v>
      </c>
      <c r="B24">
        <v>75</v>
      </c>
      <c r="C24">
        <v>119</v>
      </c>
      <c r="D24" t="s">
        <v>4</v>
      </c>
      <c r="E24">
        <f t="shared" si="0"/>
        <v>1.110999623730089</v>
      </c>
    </row>
    <row r="25" spans="1:6" x14ac:dyDescent="0.3">
      <c r="A25">
        <v>40</v>
      </c>
      <c r="B25">
        <v>55</v>
      </c>
      <c r="C25">
        <v>62</v>
      </c>
      <c r="D25" t="s">
        <v>4</v>
      </c>
      <c r="E25">
        <f t="shared" si="0"/>
        <v>1.3588709677419355</v>
      </c>
    </row>
    <row r="26" spans="1:6" x14ac:dyDescent="0.3">
      <c r="A26">
        <v>49</v>
      </c>
      <c r="B26">
        <v>60</v>
      </c>
      <c r="C26">
        <v>89</v>
      </c>
      <c r="D26" t="s">
        <v>4</v>
      </c>
      <c r="E26">
        <f t="shared" si="0"/>
        <v>1.2132538408621876</v>
      </c>
    </row>
    <row r="27" spans="1:6" x14ac:dyDescent="0.3">
      <c r="A27">
        <v>78</v>
      </c>
      <c r="B27">
        <v>80</v>
      </c>
      <c r="C27">
        <v>162</v>
      </c>
      <c r="D27" t="s">
        <v>4</v>
      </c>
      <c r="E27">
        <f t="shared" si="0"/>
        <v>1.0194681861348527</v>
      </c>
    </row>
    <row r="28" spans="1:6" x14ac:dyDescent="0.3">
      <c r="A28">
        <v>27</v>
      </c>
      <c r="B28">
        <v>50</v>
      </c>
      <c r="C28">
        <v>21</v>
      </c>
      <c r="D28" s="1" t="s">
        <v>5</v>
      </c>
      <c r="E28" s="1">
        <f t="shared" si="0"/>
        <v>1.8042328042328042</v>
      </c>
    </row>
    <row r="29" spans="1:6" x14ac:dyDescent="0.3">
      <c r="A29">
        <v>11</v>
      </c>
      <c r="B29">
        <v>30</v>
      </c>
      <c r="C29">
        <v>7</v>
      </c>
      <c r="D29" s="1" t="s">
        <v>4</v>
      </c>
      <c r="E29" s="1">
        <f t="shared" si="0"/>
        <v>2.5844155844155843</v>
      </c>
      <c r="F29">
        <f>GEOMEAN(E28:E29)</f>
        <v>2.1593719867528827</v>
      </c>
    </row>
    <row r="30" spans="1:6" x14ac:dyDescent="0.3">
      <c r="A30">
        <v>11</v>
      </c>
      <c r="B30">
        <v>30</v>
      </c>
      <c r="C30">
        <v>7</v>
      </c>
      <c r="D30" s="1" t="s">
        <v>5</v>
      </c>
      <c r="E30" s="1">
        <f t="shared" si="0"/>
        <v>2.5844155844155843</v>
      </c>
    </row>
    <row r="31" spans="1:6" x14ac:dyDescent="0.3">
      <c r="A31">
        <v>40</v>
      </c>
      <c r="B31">
        <v>55</v>
      </c>
      <c r="C31">
        <v>62</v>
      </c>
      <c r="D31" s="1" t="s">
        <v>4</v>
      </c>
      <c r="E31" s="1">
        <f t="shared" si="0"/>
        <v>1.3588709677419355</v>
      </c>
      <c r="F31">
        <f>GEOMEAN(E30:E31)</f>
        <v>1.8740030166043344</v>
      </c>
    </row>
    <row r="32" spans="1:6" x14ac:dyDescent="0.3">
      <c r="A32">
        <v>15</v>
      </c>
      <c r="B32">
        <v>35</v>
      </c>
      <c r="C32">
        <v>13</v>
      </c>
      <c r="D32" t="s">
        <v>5</v>
      </c>
      <c r="E32">
        <f t="shared" si="0"/>
        <v>2.2564102564102564</v>
      </c>
    </row>
    <row r="33" spans="1:6" x14ac:dyDescent="0.3">
      <c r="A33">
        <v>78</v>
      </c>
      <c r="B33">
        <v>80</v>
      </c>
      <c r="C33">
        <v>162</v>
      </c>
      <c r="D33" s="1" t="s">
        <v>5</v>
      </c>
      <c r="E33" s="1">
        <f t="shared" si="0"/>
        <v>1.0194681861348527</v>
      </c>
    </row>
    <row r="34" spans="1:6" x14ac:dyDescent="0.3">
      <c r="A34">
        <v>27</v>
      </c>
      <c r="B34">
        <v>50</v>
      </c>
      <c r="C34">
        <v>21</v>
      </c>
      <c r="D34" s="1" t="s">
        <v>4</v>
      </c>
      <c r="E34" s="1">
        <f t="shared" si="0"/>
        <v>1.8042328042328042</v>
      </c>
      <c r="F34">
        <f>GEOMEAN(E33:E34)</f>
        <v>1.3562293111034784</v>
      </c>
    </row>
    <row r="35" spans="1:6" x14ac:dyDescent="0.3">
      <c r="A35">
        <v>67</v>
      </c>
      <c r="B35">
        <v>75</v>
      </c>
      <c r="C35">
        <v>119</v>
      </c>
      <c r="D35" t="s">
        <v>4</v>
      </c>
      <c r="E35">
        <f t="shared" si="0"/>
        <v>1.110999623730089</v>
      </c>
    </row>
    <row r="36" spans="1:6" x14ac:dyDescent="0.3">
      <c r="A36">
        <v>49</v>
      </c>
      <c r="B36">
        <v>60</v>
      </c>
      <c r="C36">
        <v>89</v>
      </c>
      <c r="D36" t="s">
        <v>5</v>
      </c>
      <c r="E36">
        <f t="shared" si="0"/>
        <v>1.2132538408621876</v>
      </c>
    </row>
    <row r="37" spans="1:6" x14ac:dyDescent="0.3">
      <c r="A37">
        <v>15</v>
      </c>
      <c r="B37">
        <v>35</v>
      </c>
      <c r="C37">
        <v>13</v>
      </c>
      <c r="D37" t="s">
        <v>5</v>
      </c>
      <c r="E37">
        <f t="shared" si="0"/>
        <v>2.2564102564102564</v>
      </c>
    </row>
    <row r="38" spans="1:6" x14ac:dyDescent="0.3">
      <c r="A38">
        <v>11</v>
      </c>
      <c r="B38">
        <v>30</v>
      </c>
      <c r="C38">
        <v>7</v>
      </c>
      <c r="D38" t="s">
        <v>5</v>
      </c>
      <c r="E38">
        <f t="shared" si="0"/>
        <v>2.5844155844155843</v>
      </c>
    </row>
    <row r="39" spans="1:6" x14ac:dyDescent="0.3">
      <c r="A39">
        <v>27</v>
      </c>
      <c r="B39">
        <v>50</v>
      </c>
      <c r="C39">
        <v>21</v>
      </c>
      <c r="D39" s="1" t="s">
        <v>5</v>
      </c>
      <c r="E39" s="1">
        <f t="shared" si="0"/>
        <v>1.8042328042328042</v>
      </c>
    </row>
    <row r="40" spans="1:6" x14ac:dyDescent="0.3">
      <c r="A40">
        <v>49</v>
      </c>
      <c r="B40">
        <v>60</v>
      </c>
      <c r="C40">
        <v>89</v>
      </c>
      <c r="D40" s="1" t="s">
        <v>4</v>
      </c>
      <c r="E40" s="1">
        <f t="shared" si="0"/>
        <v>1.2132538408621876</v>
      </c>
      <c r="F40">
        <f>GEOMEAN(E39:E40)</f>
        <v>1.479524376123964</v>
      </c>
    </row>
    <row r="41" spans="1:6" x14ac:dyDescent="0.3">
      <c r="A41">
        <v>67</v>
      </c>
      <c r="B41">
        <v>75</v>
      </c>
      <c r="C41">
        <v>119</v>
      </c>
      <c r="D41" t="s">
        <v>4</v>
      </c>
      <c r="E41">
        <f t="shared" si="0"/>
        <v>1.110999623730089</v>
      </c>
    </row>
    <row r="42" spans="1:6" x14ac:dyDescent="0.3">
      <c r="A42">
        <v>40</v>
      </c>
      <c r="B42">
        <v>55</v>
      </c>
      <c r="C42">
        <v>62</v>
      </c>
      <c r="D42" t="s">
        <v>4</v>
      </c>
      <c r="E42">
        <f t="shared" si="0"/>
        <v>1.3588709677419355</v>
      </c>
    </row>
    <row r="43" spans="1:6" x14ac:dyDescent="0.3">
      <c r="A43">
        <v>78</v>
      </c>
      <c r="B43">
        <v>80</v>
      </c>
      <c r="C43">
        <v>162</v>
      </c>
      <c r="D43" t="s">
        <v>5</v>
      </c>
      <c r="E43">
        <f t="shared" si="0"/>
        <v>1.0194681861348527</v>
      </c>
    </row>
    <row r="44" spans="1:6" x14ac:dyDescent="0.3">
      <c r="A44">
        <v>49</v>
      </c>
      <c r="B44">
        <v>60</v>
      </c>
      <c r="C44">
        <v>89</v>
      </c>
      <c r="D44" t="s">
        <v>5</v>
      </c>
      <c r="E44">
        <f t="shared" si="0"/>
        <v>1.2132538408621876</v>
      </c>
    </row>
    <row r="45" spans="1:6" x14ac:dyDescent="0.3">
      <c r="A45">
        <v>67</v>
      </c>
      <c r="B45">
        <v>75</v>
      </c>
      <c r="C45">
        <v>119</v>
      </c>
      <c r="D45" s="1" t="s">
        <v>5</v>
      </c>
      <c r="E45" s="1">
        <f t="shared" si="0"/>
        <v>1.110999623730089</v>
      </c>
    </row>
    <row r="46" spans="1:6" x14ac:dyDescent="0.3">
      <c r="A46">
        <v>78</v>
      </c>
      <c r="B46">
        <v>80</v>
      </c>
      <c r="C46">
        <v>162</v>
      </c>
      <c r="D46" s="1" t="s">
        <v>4</v>
      </c>
      <c r="E46" s="1">
        <f t="shared" si="0"/>
        <v>1.0194681861348527</v>
      </c>
      <c r="F46">
        <f>GEOMEAN(E45:E46)</f>
        <v>1.0642503329577198</v>
      </c>
    </row>
    <row r="47" spans="1:6" x14ac:dyDescent="0.3">
      <c r="A47">
        <v>15</v>
      </c>
      <c r="B47">
        <v>35</v>
      </c>
      <c r="C47">
        <v>13</v>
      </c>
      <c r="D47" s="1" t="s">
        <v>5</v>
      </c>
      <c r="E47" s="1">
        <f t="shared" si="0"/>
        <v>2.2564102564102564</v>
      </c>
    </row>
    <row r="48" spans="1:6" x14ac:dyDescent="0.3">
      <c r="A48">
        <v>11</v>
      </c>
      <c r="B48">
        <v>30</v>
      </c>
      <c r="C48">
        <v>7</v>
      </c>
      <c r="D48" s="1" t="s">
        <v>4</v>
      </c>
      <c r="E48" s="1">
        <f t="shared" si="0"/>
        <v>2.5844155844155843</v>
      </c>
      <c r="F48">
        <f>GEOMEAN(E47:E48)</f>
        <v>2.4148502710316908</v>
      </c>
    </row>
    <row r="49" spans="1:6" x14ac:dyDescent="0.3">
      <c r="A49">
        <v>40</v>
      </c>
      <c r="B49">
        <v>55</v>
      </c>
      <c r="C49">
        <v>62</v>
      </c>
      <c r="D49" t="s">
        <v>4</v>
      </c>
      <c r="E49">
        <f t="shared" si="0"/>
        <v>1.3588709677419355</v>
      </c>
    </row>
    <row r="50" spans="1:6" x14ac:dyDescent="0.3">
      <c r="A50">
        <v>27</v>
      </c>
      <c r="B50">
        <v>50</v>
      </c>
      <c r="C50">
        <v>21</v>
      </c>
      <c r="D50" s="1" t="s">
        <v>5</v>
      </c>
      <c r="E50" s="1">
        <f t="shared" si="0"/>
        <v>1.8042328042328042</v>
      </c>
    </row>
    <row r="51" spans="1:6" x14ac:dyDescent="0.3">
      <c r="A51">
        <v>78</v>
      </c>
      <c r="B51">
        <v>80</v>
      </c>
      <c r="C51">
        <v>162</v>
      </c>
      <c r="D51" s="1" t="s">
        <v>4</v>
      </c>
      <c r="E51" s="1">
        <f t="shared" si="0"/>
        <v>1.0194681861348527</v>
      </c>
      <c r="F51">
        <f>GEOMEAN(E50:E51)</f>
        <v>1.3562293111034784</v>
      </c>
    </row>
    <row r="52" spans="1:6" x14ac:dyDescent="0.3">
      <c r="A52">
        <v>49</v>
      </c>
      <c r="B52">
        <v>60</v>
      </c>
      <c r="C52">
        <v>89</v>
      </c>
      <c r="D52" s="1" t="s">
        <v>5</v>
      </c>
      <c r="E52" s="1">
        <f t="shared" si="0"/>
        <v>1.2132538408621876</v>
      </c>
    </row>
    <row r="53" spans="1:6" x14ac:dyDescent="0.3">
      <c r="A53">
        <v>67</v>
      </c>
      <c r="B53">
        <v>75</v>
      </c>
      <c r="C53">
        <v>119</v>
      </c>
      <c r="D53" s="1" t="s">
        <v>4</v>
      </c>
      <c r="E53" s="1">
        <f t="shared" si="0"/>
        <v>1.110999623730089</v>
      </c>
      <c r="F53">
        <f>GEOMEAN(E52:E53)</f>
        <v>1.1610015334559105</v>
      </c>
    </row>
    <row r="54" spans="1:6" x14ac:dyDescent="0.3">
      <c r="A54">
        <v>15</v>
      </c>
      <c r="B54">
        <v>35</v>
      </c>
      <c r="C54">
        <v>13</v>
      </c>
      <c r="D54" s="1" t="s">
        <v>5</v>
      </c>
      <c r="E54" s="1">
        <f t="shared" si="0"/>
        <v>2.2564102564102564</v>
      </c>
    </row>
    <row r="55" spans="1:6" x14ac:dyDescent="0.3">
      <c r="A55">
        <v>11</v>
      </c>
      <c r="B55">
        <v>30</v>
      </c>
      <c r="C55">
        <v>7</v>
      </c>
      <c r="D55" s="1" t="s">
        <v>4</v>
      </c>
      <c r="E55" s="1">
        <f t="shared" si="0"/>
        <v>2.5844155844155843</v>
      </c>
      <c r="F55">
        <f>GEOMEAN(E54:E55)</f>
        <v>2.4148502710316908</v>
      </c>
    </row>
    <row r="56" spans="1:6" x14ac:dyDescent="0.3">
      <c r="A56">
        <v>27</v>
      </c>
      <c r="B56">
        <v>50</v>
      </c>
      <c r="C56">
        <v>21</v>
      </c>
      <c r="D56" t="s">
        <v>4</v>
      </c>
      <c r="E56">
        <f t="shared" si="0"/>
        <v>1.8042328042328042</v>
      </c>
    </row>
    <row r="57" spans="1:6" x14ac:dyDescent="0.3">
      <c r="A57">
        <v>40</v>
      </c>
      <c r="B57">
        <v>55</v>
      </c>
      <c r="C57">
        <v>62</v>
      </c>
      <c r="D57" t="s">
        <v>4</v>
      </c>
      <c r="E57">
        <f t="shared" si="0"/>
        <v>1.3588709677419355</v>
      </c>
    </row>
    <row r="58" spans="1:6" x14ac:dyDescent="0.3">
      <c r="A58">
        <v>11</v>
      </c>
      <c r="B58">
        <v>30</v>
      </c>
      <c r="C58">
        <v>7</v>
      </c>
      <c r="D58" t="s">
        <v>5</v>
      </c>
      <c r="E58">
        <f t="shared" si="0"/>
        <v>2.5844155844155843</v>
      </c>
    </row>
    <row r="59" spans="1:6" x14ac:dyDescent="0.3">
      <c r="A59">
        <v>27</v>
      </c>
      <c r="B59">
        <v>50</v>
      </c>
      <c r="C59">
        <v>21</v>
      </c>
      <c r="D59" t="s">
        <v>5</v>
      </c>
      <c r="E59">
        <f t="shared" si="0"/>
        <v>1.8042328042328042</v>
      </c>
    </row>
    <row r="60" spans="1:6" x14ac:dyDescent="0.3">
      <c r="A60">
        <v>15</v>
      </c>
      <c r="B60">
        <v>35</v>
      </c>
      <c r="C60">
        <v>13</v>
      </c>
      <c r="D60" s="1" t="s">
        <v>5</v>
      </c>
      <c r="E60" s="1">
        <f t="shared" si="0"/>
        <v>2.2564102564102564</v>
      </c>
    </row>
    <row r="61" spans="1:6" x14ac:dyDescent="0.3">
      <c r="A61">
        <v>78</v>
      </c>
      <c r="B61">
        <v>80</v>
      </c>
      <c r="C61">
        <v>162</v>
      </c>
      <c r="D61" s="1" t="s">
        <v>4</v>
      </c>
      <c r="E61" s="1">
        <f t="shared" si="0"/>
        <v>1.0194681861348527</v>
      </c>
      <c r="F61">
        <f>GEOMEAN(E60:E61)</f>
        <v>1.5166866753811223</v>
      </c>
    </row>
    <row r="62" spans="1:6" x14ac:dyDescent="0.3">
      <c r="A62">
        <v>67</v>
      </c>
      <c r="B62">
        <v>75</v>
      </c>
      <c r="C62">
        <v>119</v>
      </c>
      <c r="D62" s="1" t="s">
        <v>5</v>
      </c>
      <c r="E62" s="1">
        <f t="shared" si="0"/>
        <v>1.110999623730089</v>
      </c>
    </row>
    <row r="63" spans="1:6" x14ac:dyDescent="0.3">
      <c r="A63">
        <v>49</v>
      </c>
      <c r="B63">
        <v>60</v>
      </c>
      <c r="C63">
        <v>89</v>
      </c>
      <c r="D63" s="1" t="s">
        <v>4</v>
      </c>
      <c r="E63" s="1">
        <f t="shared" si="0"/>
        <v>1.2132538408621876</v>
      </c>
      <c r="F63">
        <f>GEOMEAN(E62:E63)</f>
        <v>1.1610015334559105</v>
      </c>
    </row>
    <row r="64" spans="1:6" x14ac:dyDescent="0.3">
      <c r="A64">
        <v>40</v>
      </c>
      <c r="B64">
        <v>55</v>
      </c>
      <c r="C64">
        <v>62</v>
      </c>
      <c r="D64" s="1" t="s">
        <v>5</v>
      </c>
      <c r="E64" s="1">
        <f t="shared" si="0"/>
        <v>1.3588709677419355</v>
      </c>
    </row>
    <row r="65" spans="1:6" x14ac:dyDescent="0.3">
      <c r="A65">
        <v>67</v>
      </c>
      <c r="B65">
        <v>75</v>
      </c>
      <c r="C65">
        <v>119</v>
      </c>
      <c r="D65" s="1" t="s">
        <v>4</v>
      </c>
      <c r="E65" s="1">
        <f t="shared" si="0"/>
        <v>1.110999623730089</v>
      </c>
      <c r="F65">
        <f>GEOMEAN(E64:E65)</f>
        <v>1.2287005875554191</v>
      </c>
    </row>
    <row r="66" spans="1:6" x14ac:dyDescent="0.3">
      <c r="A66">
        <v>15</v>
      </c>
      <c r="B66">
        <v>35</v>
      </c>
      <c r="C66">
        <v>13</v>
      </c>
      <c r="D66" t="s">
        <v>5</v>
      </c>
      <c r="E66">
        <f t="shared" si="0"/>
        <v>2.2564102564102564</v>
      </c>
    </row>
    <row r="67" spans="1:6" x14ac:dyDescent="0.3">
      <c r="A67">
        <v>40</v>
      </c>
      <c r="B67">
        <v>55</v>
      </c>
      <c r="C67">
        <v>62</v>
      </c>
      <c r="D67" s="1" t="s">
        <v>5</v>
      </c>
      <c r="E67" s="1">
        <f t="shared" ref="E67:E99" si="1">((B67/A67)-1/C67)</f>
        <v>1.3588709677419355</v>
      </c>
    </row>
    <row r="68" spans="1:6" x14ac:dyDescent="0.3">
      <c r="A68">
        <v>49</v>
      </c>
      <c r="B68">
        <v>60</v>
      </c>
      <c r="C68">
        <v>89</v>
      </c>
      <c r="D68" s="1" t="s">
        <v>4</v>
      </c>
      <c r="E68" s="1">
        <f t="shared" si="1"/>
        <v>1.2132538408621876</v>
      </c>
      <c r="F68">
        <f>GEOMEAN(E67:E68)</f>
        <v>1.283999774473898</v>
      </c>
    </row>
    <row r="69" spans="1:6" x14ac:dyDescent="0.3">
      <c r="A69">
        <v>78</v>
      </c>
      <c r="B69">
        <v>80</v>
      </c>
      <c r="C69">
        <v>162</v>
      </c>
      <c r="D69" s="1" t="s">
        <v>5</v>
      </c>
      <c r="E69" s="1">
        <f t="shared" si="1"/>
        <v>1.0194681861348527</v>
      </c>
    </row>
    <row r="70" spans="1:6" x14ac:dyDescent="0.3">
      <c r="A70">
        <v>27</v>
      </c>
      <c r="B70">
        <v>50</v>
      </c>
      <c r="C70">
        <v>21</v>
      </c>
      <c r="D70" s="1" t="s">
        <v>4</v>
      </c>
      <c r="E70" s="1">
        <f t="shared" si="1"/>
        <v>1.8042328042328042</v>
      </c>
      <c r="F70">
        <f>GEOMEAN(E70:E71)</f>
        <v>2.1593719867528827</v>
      </c>
    </row>
    <row r="71" spans="1:6" x14ac:dyDescent="0.3">
      <c r="A71">
        <v>11</v>
      </c>
      <c r="B71">
        <v>30</v>
      </c>
      <c r="C71">
        <v>7</v>
      </c>
      <c r="D71" s="1" t="s">
        <v>5</v>
      </c>
      <c r="E71" s="1">
        <f t="shared" si="1"/>
        <v>2.5844155844155843</v>
      </c>
    </row>
    <row r="72" spans="1:6" x14ac:dyDescent="0.3">
      <c r="A72">
        <v>67</v>
      </c>
      <c r="B72">
        <v>75</v>
      </c>
      <c r="C72">
        <v>119</v>
      </c>
      <c r="D72" s="1" t="s">
        <v>4</v>
      </c>
      <c r="E72" s="1">
        <f t="shared" si="1"/>
        <v>1.110999623730089</v>
      </c>
      <c r="F72">
        <f>GEOMEAN(E71:E72)</f>
        <v>1.6944865717520137</v>
      </c>
    </row>
    <row r="73" spans="1:6" x14ac:dyDescent="0.3">
      <c r="A73">
        <v>15</v>
      </c>
      <c r="B73">
        <v>35</v>
      </c>
      <c r="C73">
        <v>13</v>
      </c>
      <c r="D73" s="1" t="s">
        <v>5</v>
      </c>
      <c r="E73" s="1">
        <f t="shared" si="1"/>
        <v>2.2564102564102564</v>
      </c>
    </row>
    <row r="74" spans="1:6" x14ac:dyDescent="0.3">
      <c r="A74">
        <v>78</v>
      </c>
      <c r="B74">
        <v>80</v>
      </c>
      <c r="C74">
        <v>162</v>
      </c>
      <c r="D74" s="1" t="s">
        <v>4</v>
      </c>
      <c r="E74" s="1">
        <f t="shared" si="1"/>
        <v>1.0194681861348527</v>
      </c>
      <c r="F74">
        <f>GEOMEAN(E73:E74)</f>
        <v>1.5166866753811223</v>
      </c>
    </row>
    <row r="75" spans="1:6" x14ac:dyDescent="0.3">
      <c r="A75">
        <v>27</v>
      </c>
      <c r="B75">
        <v>50</v>
      </c>
      <c r="C75">
        <v>21</v>
      </c>
      <c r="D75" t="s">
        <v>4</v>
      </c>
      <c r="E75">
        <f t="shared" si="1"/>
        <v>1.8042328042328042</v>
      </c>
    </row>
    <row r="76" spans="1:6" x14ac:dyDescent="0.3">
      <c r="A76">
        <v>40</v>
      </c>
      <c r="B76">
        <v>55</v>
      </c>
      <c r="C76">
        <v>62</v>
      </c>
      <c r="D76" t="s">
        <v>4</v>
      </c>
      <c r="E76">
        <f t="shared" si="1"/>
        <v>1.3588709677419355</v>
      </c>
    </row>
    <row r="77" spans="1:6" x14ac:dyDescent="0.3">
      <c r="A77">
        <v>49</v>
      </c>
      <c r="B77">
        <v>60</v>
      </c>
      <c r="C77">
        <v>89</v>
      </c>
      <c r="D77" t="s">
        <v>5</v>
      </c>
      <c r="E77">
        <f t="shared" si="1"/>
        <v>1.2132538408621876</v>
      </c>
    </row>
    <row r="78" spans="1:6" x14ac:dyDescent="0.3">
      <c r="A78">
        <v>11</v>
      </c>
      <c r="B78">
        <v>30</v>
      </c>
      <c r="C78">
        <v>7</v>
      </c>
      <c r="D78" s="1" t="s">
        <v>5</v>
      </c>
      <c r="E78" s="1">
        <f t="shared" si="1"/>
        <v>2.5844155844155843</v>
      </c>
    </row>
    <row r="79" spans="1:6" x14ac:dyDescent="0.3">
      <c r="A79">
        <v>40</v>
      </c>
      <c r="B79">
        <v>55</v>
      </c>
      <c r="C79">
        <v>62</v>
      </c>
      <c r="D79" s="1" t="s">
        <v>4</v>
      </c>
      <c r="E79" s="1">
        <f t="shared" si="1"/>
        <v>1.3588709677419355</v>
      </c>
      <c r="F79">
        <f>GEOMEAN(E78:E79)</f>
        <v>1.8740030166043344</v>
      </c>
    </row>
    <row r="80" spans="1:6" x14ac:dyDescent="0.3">
      <c r="A80">
        <v>15</v>
      </c>
      <c r="B80">
        <v>35</v>
      </c>
      <c r="C80">
        <v>13</v>
      </c>
      <c r="D80" t="s">
        <v>4</v>
      </c>
      <c r="E80">
        <f t="shared" si="1"/>
        <v>2.2564102564102564</v>
      </c>
    </row>
    <row r="81" spans="1:6" x14ac:dyDescent="0.3">
      <c r="A81">
        <v>11</v>
      </c>
      <c r="B81">
        <v>30</v>
      </c>
      <c r="C81">
        <v>7</v>
      </c>
      <c r="D81" s="1" t="s">
        <v>5</v>
      </c>
      <c r="E81" s="1">
        <f t="shared" si="1"/>
        <v>2.5844155844155843</v>
      </c>
    </row>
    <row r="82" spans="1:6" x14ac:dyDescent="0.3">
      <c r="A82">
        <v>78</v>
      </c>
      <c r="B82">
        <v>80</v>
      </c>
      <c r="C82">
        <v>162</v>
      </c>
      <c r="D82" s="1" t="s">
        <v>4</v>
      </c>
      <c r="E82" s="1">
        <f t="shared" si="1"/>
        <v>1.0194681861348527</v>
      </c>
      <c r="F82">
        <f>GEOMEAN(E81:E82)</f>
        <v>1.6231849765392732</v>
      </c>
    </row>
    <row r="83" spans="1:6" x14ac:dyDescent="0.3">
      <c r="A83">
        <v>27</v>
      </c>
      <c r="B83">
        <v>50</v>
      </c>
      <c r="C83">
        <v>21</v>
      </c>
      <c r="D83" s="1" t="s">
        <v>5</v>
      </c>
      <c r="E83" s="1">
        <f t="shared" si="1"/>
        <v>1.8042328042328042</v>
      </c>
    </row>
    <row r="84" spans="1:6" x14ac:dyDescent="0.3">
      <c r="A84">
        <v>49</v>
      </c>
      <c r="B84">
        <v>60</v>
      </c>
      <c r="C84">
        <v>89</v>
      </c>
      <c r="D84" s="1" t="s">
        <v>4</v>
      </c>
      <c r="E84" s="1">
        <f t="shared" si="1"/>
        <v>1.2132538408621876</v>
      </c>
      <c r="F84">
        <f>GEOMEAN(E83:E84)</f>
        <v>1.479524376123964</v>
      </c>
    </row>
    <row r="85" spans="1:6" x14ac:dyDescent="0.3">
      <c r="A85">
        <v>67</v>
      </c>
      <c r="B85">
        <v>75</v>
      </c>
      <c r="C85">
        <v>119</v>
      </c>
      <c r="D85" t="s">
        <v>4</v>
      </c>
      <c r="E85">
        <f t="shared" si="1"/>
        <v>1.110999623730089</v>
      </c>
    </row>
    <row r="86" spans="1:6" x14ac:dyDescent="0.3">
      <c r="A86">
        <v>11</v>
      </c>
      <c r="B86">
        <v>30</v>
      </c>
      <c r="C86">
        <v>7</v>
      </c>
      <c r="D86" t="s">
        <v>5</v>
      </c>
      <c r="E86">
        <f t="shared" si="1"/>
        <v>2.5844155844155843</v>
      </c>
    </row>
    <row r="87" spans="1:6" x14ac:dyDescent="0.3">
      <c r="A87">
        <v>27</v>
      </c>
      <c r="B87">
        <v>50</v>
      </c>
      <c r="C87">
        <v>21</v>
      </c>
      <c r="D87" t="s">
        <v>5</v>
      </c>
      <c r="E87">
        <f t="shared" si="1"/>
        <v>1.8042328042328042</v>
      </c>
    </row>
    <row r="88" spans="1:6" x14ac:dyDescent="0.3">
      <c r="A88">
        <v>67</v>
      </c>
      <c r="B88">
        <v>75</v>
      </c>
      <c r="C88">
        <v>119</v>
      </c>
      <c r="D88" t="s">
        <v>5</v>
      </c>
      <c r="E88">
        <f t="shared" si="1"/>
        <v>1.110999623730089</v>
      </c>
    </row>
    <row r="89" spans="1:6" x14ac:dyDescent="0.3">
      <c r="A89">
        <v>15</v>
      </c>
      <c r="B89">
        <v>35</v>
      </c>
      <c r="C89">
        <v>13</v>
      </c>
      <c r="D89" s="1" t="s">
        <v>5</v>
      </c>
      <c r="E89" s="1">
        <f t="shared" si="1"/>
        <v>2.2564102564102564</v>
      </c>
    </row>
    <row r="90" spans="1:6" x14ac:dyDescent="0.3">
      <c r="A90">
        <v>78</v>
      </c>
      <c r="B90">
        <v>80</v>
      </c>
      <c r="C90">
        <v>162</v>
      </c>
      <c r="D90" s="1" t="s">
        <v>4</v>
      </c>
      <c r="E90" s="1">
        <f t="shared" si="1"/>
        <v>1.0194681861348527</v>
      </c>
      <c r="F90">
        <f>GEOMEAN(E89:E90)</f>
        <v>1.5166866753811223</v>
      </c>
    </row>
    <row r="91" spans="1:6" x14ac:dyDescent="0.3">
      <c r="A91">
        <v>40</v>
      </c>
      <c r="B91">
        <v>55</v>
      </c>
      <c r="C91">
        <v>62</v>
      </c>
      <c r="D91" t="s">
        <v>4</v>
      </c>
      <c r="E91">
        <f t="shared" si="1"/>
        <v>1.3588709677419355</v>
      </c>
    </row>
    <row r="92" spans="1:6" x14ac:dyDescent="0.3">
      <c r="A92">
        <v>49</v>
      </c>
      <c r="B92">
        <v>60</v>
      </c>
      <c r="C92">
        <v>89</v>
      </c>
      <c r="D92" t="s">
        <v>4</v>
      </c>
      <c r="E92">
        <f t="shared" si="1"/>
        <v>1.2132538408621876</v>
      </c>
    </row>
    <row r="93" spans="1:6" x14ac:dyDescent="0.3">
      <c r="A93">
        <v>11</v>
      </c>
      <c r="B93">
        <v>30</v>
      </c>
      <c r="C93">
        <v>7</v>
      </c>
      <c r="D93" t="s">
        <v>4</v>
      </c>
      <c r="E93">
        <f t="shared" si="1"/>
        <v>2.5844155844155843</v>
      </c>
    </row>
    <row r="94" spans="1:6" x14ac:dyDescent="0.3">
      <c r="A94">
        <v>27</v>
      </c>
      <c r="B94">
        <v>50</v>
      </c>
      <c r="C94">
        <v>21</v>
      </c>
      <c r="D94" s="1" t="s">
        <v>5</v>
      </c>
      <c r="E94" s="1">
        <f t="shared" si="1"/>
        <v>1.8042328042328042</v>
      </c>
    </row>
    <row r="95" spans="1:6" x14ac:dyDescent="0.3">
      <c r="A95">
        <v>49</v>
      </c>
      <c r="B95">
        <v>60</v>
      </c>
      <c r="C95">
        <v>89</v>
      </c>
      <c r="D95" s="1" t="s">
        <v>4</v>
      </c>
      <c r="E95" s="1">
        <f t="shared" si="1"/>
        <v>1.2132538408621876</v>
      </c>
      <c r="F95">
        <f>GEOMEAN(E94:E95)</f>
        <v>1.479524376123964</v>
      </c>
    </row>
    <row r="96" spans="1:6" x14ac:dyDescent="0.3">
      <c r="A96">
        <v>67</v>
      </c>
      <c r="B96">
        <v>75</v>
      </c>
      <c r="C96">
        <v>119</v>
      </c>
      <c r="D96" t="s">
        <v>4</v>
      </c>
      <c r="E96">
        <f t="shared" si="1"/>
        <v>1.110999623730089</v>
      </c>
    </row>
    <row r="97" spans="1:6" x14ac:dyDescent="0.3">
      <c r="A97">
        <v>78</v>
      </c>
      <c r="B97">
        <v>80</v>
      </c>
      <c r="C97">
        <v>162</v>
      </c>
      <c r="D97" s="1" t="s">
        <v>5</v>
      </c>
      <c r="E97" s="1">
        <f t="shared" si="1"/>
        <v>1.0194681861348527</v>
      </c>
    </row>
    <row r="98" spans="1:6" x14ac:dyDescent="0.3">
      <c r="A98">
        <v>15</v>
      </c>
      <c r="B98">
        <v>35</v>
      </c>
      <c r="C98">
        <v>13</v>
      </c>
      <c r="D98" s="1" t="s">
        <v>4</v>
      </c>
      <c r="E98" s="1">
        <f t="shared" si="1"/>
        <v>2.2564102564102564</v>
      </c>
      <c r="F98">
        <f>GEOMEAN(E97:E98)</f>
        <v>1.5166866753811223</v>
      </c>
    </row>
    <row r="99" spans="1:6" x14ac:dyDescent="0.3">
      <c r="A99">
        <v>40</v>
      </c>
      <c r="B99">
        <v>55</v>
      </c>
      <c r="C99">
        <v>62</v>
      </c>
      <c r="D99" s="1" t="s">
        <v>5</v>
      </c>
      <c r="E99" s="1">
        <f t="shared" si="1"/>
        <v>1.3588709677419355</v>
      </c>
    </row>
    <row r="100" spans="1:6" x14ac:dyDescent="0.3">
      <c r="A100">
        <v>11</v>
      </c>
      <c r="B100">
        <v>30</v>
      </c>
      <c r="C100">
        <v>7</v>
      </c>
      <c r="D100" s="1" t="s">
        <v>4</v>
      </c>
      <c r="E100" s="1">
        <f>((B100/A100)-1/C100)</f>
        <v>2.5844155844155843</v>
      </c>
      <c r="F100">
        <f>GEOMEAN(E99:E100)</f>
        <v>1.8740030166043344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4BAA6-D885-4FFF-8E1B-C5243A21B4CF}">
  <dimension ref="A1:B5"/>
  <sheetViews>
    <sheetView tabSelected="1" workbookViewId="0">
      <selection sqref="A1:B5"/>
    </sheetView>
  </sheetViews>
  <sheetFormatPr defaultRowHeight="14.4" x14ac:dyDescent="0.3"/>
  <cols>
    <col min="1" max="1" width="13" customWidth="1"/>
  </cols>
  <sheetData>
    <row r="1" spans="1:2" x14ac:dyDescent="0.3">
      <c r="A1" s="5" t="s">
        <v>9</v>
      </c>
      <c r="B1" s="5" t="s">
        <v>10</v>
      </c>
    </row>
    <row r="2" spans="1:2" x14ac:dyDescent="0.3">
      <c r="A2" s="5">
        <v>1</v>
      </c>
      <c r="B2" s="5">
        <v>1.6301149259428431</v>
      </c>
    </row>
    <row r="3" spans="1:2" x14ac:dyDescent="0.3">
      <c r="A3" s="5">
        <v>2</v>
      </c>
      <c r="B3" s="5">
        <v>1.5484552699062959</v>
      </c>
    </row>
    <row r="4" spans="1:2" x14ac:dyDescent="0.3">
      <c r="A4" s="5">
        <v>3</v>
      </c>
      <c r="B4" s="5">
        <v>1.4844488843761328</v>
      </c>
    </row>
    <row r="5" spans="1:2" x14ac:dyDescent="0.3">
      <c r="A5" s="5">
        <v>4</v>
      </c>
      <c r="B5" s="5">
        <v>1.5929463257418035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P1</vt:lpstr>
      <vt:lpstr>P2</vt:lpstr>
      <vt:lpstr>P3</vt:lpstr>
      <vt:lpstr>P4</vt:lpstr>
      <vt:lpstr>final analysis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Harshitta Gupta</dc:creator>
  <cp:lastModifiedBy>Harshitta Gupta</cp:lastModifiedBy>
  <dcterms:created xsi:type="dcterms:W3CDTF">2025-11-06T10:25:41Z</dcterms:created>
  <dcterms:modified xsi:type="dcterms:W3CDTF">2025-11-06T14:19:33Z</dcterms:modified>
</cp:coreProperties>
</file>